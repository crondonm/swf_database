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3eb52eec8da34d1e/GitHub/AMR_SWF_Full_Iris/data-raw/xlsx/"/>
    </mc:Choice>
  </mc:AlternateContent>
  <xr:revisionPtr revIDLastSave="223" documentId="8_{5396B6D8-9EC1-4F95-A82F-5A7610E4C1F7}" xr6:coauthVersionLast="47" xr6:coauthVersionMax="47" xr10:uidLastSave="{EA02E95F-D455-4DE3-97D2-B21CB941DBE6}"/>
  <bookViews>
    <workbookView xWindow="-108" yWindow="-108" windowWidth="23256" windowHeight="12456" activeTab="3" xr2:uid="{00000000-000D-0000-FFFF-FFFF00000000}"/>
  </bookViews>
  <sheets>
    <sheet name="Read me" sheetId="19" r:id="rId1"/>
    <sheet name="Variables" sheetId="18" r:id="rId2"/>
    <sheet name="raw_data_national" sheetId="21" r:id="rId3"/>
    <sheet name="SWF_panel" sheetId="20" r:id="rId4"/>
    <sheet name="Exchange_rate" sheetId="22" r:id="rId5"/>
    <sheet name="Metadata" sheetId="15" r:id="rId6"/>
    <sheet name="casos" sheetId="23" r:id="rId7"/>
  </sheets>
  <externalReferences>
    <externalReference r:id="rId8"/>
  </externalReferences>
  <definedNames>
    <definedName name="_xlnm._FilterDatabase" localSheetId="2" hidden="1">raw_data_national!$A$1:$V$116</definedName>
    <definedName name="_xlnm._FilterDatabase" localSheetId="3" hidden="1">SWF_panel!$A$1:$J$1302</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refMode="R1C1" iterateCount="0" calcOnSave="0"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41" i="20" l="1"/>
  <c r="C142" i="20"/>
  <c r="C143" i="20"/>
  <c r="C144" i="20"/>
  <c r="C145" i="20"/>
  <c r="C146" i="20"/>
  <c r="C147" i="20"/>
  <c r="C148" i="20"/>
  <c r="C149" i="20"/>
  <c r="C150" i="20"/>
  <c r="C151" i="20"/>
  <c r="C152" i="20"/>
  <c r="C153" i="20"/>
  <c r="C154" i="20"/>
  <c r="C155" i="20"/>
  <c r="C156" i="20"/>
  <c r="C157" i="20"/>
  <c r="C158" i="20"/>
  <c r="C159" i="20"/>
  <c r="C287" i="20"/>
  <c r="C288" i="20"/>
  <c r="C289" i="20"/>
  <c r="C290" i="20"/>
  <c r="C291" i="20"/>
  <c r="C292" i="20"/>
  <c r="C293" i="20"/>
  <c r="C294" i="20"/>
  <c r="C295" i="20"/>
  <c r="C296" i="20"/>
  <c r="C297" i="20"/>
  <c r="C298" i="20"/>
  <c r="C299" i="20"/>
  <c r="C300" i="20"/>
  <c r="C301" i="20"/>
  <c r="C302" i="20"/>
  <c r="C303" i="20"/>
  <c r="C304" i="20"/>
  <c r="C305" i="20"/>
  <c r="C306" i="20"/>
  <c r="C307" i="20"/>
  <c r="C308" i="20"/>
  <c r="C309" i="20"/>
  <c r="C310" i="20"/>
  <c r="C311" i="20"/>
  <c r="C312" i="20"/>
  <c r="C313" i="20"/>
  <c r="C314" i="20"/>
  <c r="C315" i="20"/>
  <c r="C316" i="20"/>
  <c r="C317" i="20"/>
  <c r="C318" i="20"/>
  <c r="C319" i="20"/>
  <c r="C320" i="20"/>
  <c r="C321" i="20"/>
  <c r="C322" i="20"/>
  <c r="C323" i="20"/>
  <c r="C324" i="20"/>
  <c r="C325" i="20"/>
  <c r="C326" i="20"/>
  <c r="C331" i="20"/>
  <c r="C332" i="20"/>
  <c r="C333" i="20"/>
  <c r="C334" i="20"/>
  <c r="C335" i="20"/>
  <c r="C336" i="20"/>
  <c r="C337" i="20"/>
  <c r="C338" i="20"/>
  <c r="C339" i="20"/>
  <c r="C340" i="20"/>
  <c r="C341" i="20"/>
  <c r="C342" i="20"/>
  <c r="C343" i="20"/>
  <c r="C412" i="20"/>
  <c r="C413" i="20"/>
  <c r="C414" i="20"/>
  <c r="C415" i="20"/>
  <c r="C416" i="20"/>
  <c r="C417" i="20"/>
  <c r="C418" i="20"/>
  <c r="C419" i="20"/>
  <c r="C420" i="20"/>
  <c r="C421" i="20"/>
  <c r="C422" i="20"/>
  <c r="C423" i="20"/>
  <c r="C424" i="20"/>
  <c r="C425" i="20"/>
  <c r="C426" i="20"/>
  <c r="C427" i="20"/>
  <c r="C428" i="20"/>
  <c r="C429" i="20"/>
  <c r="C430" i="20"/>
  <c r="C431" i="20"/>
  <c r="C432" i="20"/>
  <c r="C433" i="20"/>
  <c r="C434" i="20"/>
  <c r="C435" i="20"/>
  <c r="C436" i="20"/>
  <c r="C437" i="20"/>
  <c r="C438" i="20"/>
  <c r="C439" i="20"/>
  <c r="C557" i="20"/>
  <c r="C558" i="20"/>
  <c r="C559" i="20"/>
  <c r="C560" i="20"/>
  <c r="C561" i="20"/>
  <c r="C562" i="20"/>
  <c r="C563" i="20"/>
  <c r="C564" i="20"/>
  <c r="C565" i="20"/>
  <c r="C566" i="20"/>
  <c r="C567" i="20"/>
  <c r="C568" i="20"/>
  <c r="C569" i="20"/>
  <c r="C570" i="20"/>
  <c r="C571" i="20"/>
  <c r="C572" i="20"/>
  <c r="C573" i="20"/>
  <c r="C574" i="20"/>
  <c r="C575" i="20"/>
  <c r="C576" i="20"/>
  <c r="C577" i="20"/>
  <c r="C578" i="20"/>
  <c r="C579" i="20"/>
  <c r="C580" i="20"/>
  <c r="C581" i="20"/>
  <c r="C582" i="20"/>
  <c r="C583" i="20"/>
  <c r="C584" i="20"/>
  <c r="C585" i="20"/>
  <c r="C586" i="20"/>
  <c r="C587" i="20"/>
  <c r="C588" i="20"/>
  <c r="C589" i="20"/>
  <c r="C590" i="20"/>
  <c r="C591" i="20"/>
  <c r="C592" i="20"/>
  <c r="C593" i="20"/>
  <c r="C594" i="20"/>
  <c r="C595" i="20"/>
  <c r="C596" i="20"/>
  <c r="C597" i="20"/>
  <c r="C598" i="20"/>
  <c r="C599" i="20"/>
  <c r="C600" i="20"/>
  <c r="C601" i="20"/>
  <c r="C602" i="20"/>
  <c r="C603" i="20"/>
  <c r="C604" i="20"/>
  <c r="C605" i="20"/>
  <c r="C606" i="20"/>
  <c r="C607" i="20"/>
  <c r="C608" i="20"/>
  <c r="C609" i="20"/>
  <c r="C610" i="20"/>
  <c r="C611" i="20"/>
  <c r="C612" i="20"/>
  <c r="C613" i="20"/>
  <c r="C614" i="20"/>
  <c r="C615" i="20"/>
  <c r="C616" i="20"/>
  <c r="C617" i="20"/>
  <c r="C618" i="20"/>
  <c r="C619" i="20"/>
  <c r="C620" i="20"/>
  <c r="C621" i="20"/>
  <c r="C622" i="20"/>
  <c r="C623" i="20"/>
  <c r="C624" i="20"/>
  <c r="C625" i="20"/>
  <c r="T116" i="21"/>
  <c r="K9" i="21"/>
  <c r="T2" i="21"/>
  <c r="N116" i="21"/>
  <c r="M116" i="21"/>
  <c r="L116" i="21"/>
  <c r="K116" i="21"/>
  <c r="C116" i="21"/>
  <c r="T115" i="21"/>
  <c r="N115" i="21"/>
  <c r="M115" i="21"/>
  <c r="L115" i="21"/>
  <c r="K115" i="21"/>
  <c r="C115" i="21"/>
  <c r="T114" i="21"/>
  <c r="N114" i="21"/>
  <c r="M114" i="21"/>
  <c r="L114" i="21"/>
  <c r="K114" i="21"/>
  <c r="C114" i="21"/>
  <c r="T113" i="21"/>
  <c r="N113" i="21"/>
  <c r="M113" i="21"/>
  <c r="L113" i="21"/>
  <c r="K113" i="21"/>
  <c r="C113" i="21"/>
  <c r="T112" i="21"/>
  <c r="N112" i="21"/>
  <c r="M112" i="21"/>
  <c r="L112" i="21"/>
  <c r="K112" i="21"/>
  <c r="C112" i="21"/>
  <c r="T111" i="21"/>
  <c r="C111" i="21"/>
  <c r="T110" i="21"/>
  <c r="C110" i="21"/>
  <c r="T109" i="21"/>
  <c r="N109" i="21"/>
  <c r="M109" i="21"/>
  <c r="L109" i="21"/>
  <c r="K109" i="21"/>
  <c r="C109" i="21"/>
  <c r="T108" i="21"/>
  <c r="C108" i="21"/>
  <c r="T107" i="21"/>
  <c r="C107" i="21"/>
  <c r="T106" i="21"/>
  <c r="C106" i="21"/>
  <c r="T105" i="21"/>
  <c r="C105" i="21"/>
  <c r="T104" i="21"/>
  <c r="N104" i="21"/>
  <c r="M104" i="21"/>
  <c r="L104" i="21"/>
  <c r="K104" i="21"/>
  <c r="C104" i="21"/>
  <c r="T103" i="21"/>
  <c r="N103" i="21"/>
  <c r="M103" i="21"/>
  <c r="L103" i="21"/>
  <c r="K103" i="21"/>
  <c r="C103" i="21"/>
  <c r="T102" i="21"/>
  <c r="N102" i="21"/>
  <c r="M102" i="21"/>
  <c r="L102" i="21"/>
  <c r="K102" i="21"/>
  <c r="C102" i="21"/>
  <c r="T101" i="21"/>
  <c r="N101" i="21"/>
  <c r="M101" i="21"/>
  <c r="L101" i="21"/>
  <c r="K101" i="21"/>
  <c r="C101" i="21"/>
  <c r="T100" i="21"/>
  <c r="N100" i="21"/>
  <c r="M100" i="21"/>
  <c r="L100" i="21"/>
  <c r="K100" i="21"/>
  <c r="C100" i="21"/>
  <c r="T99" i="21"/>
  <c r="N99" i="21"/>
  <c r="M99" i="21"/>
  <c r="L99" i="21"/>
  <c r="K99" i="21"/>
  <c r="C99" i="21"/>
  <c r="T98" i="21"/>
  <c r="N98" i="21"/>
  <c r="M98" i="21"/>
  <c r="L98" i="21"/>
  <c r="K98" i="21"/>
  <c r="C98" i="21"/>
  <c r="T97" i="21"/>
  <c r="N97" i="21"/>
  <c r="M97" i="21"/>
  <c r="L97" i="21"/>
  <c r="K97" i="21"/>
  <c r="C97" i="21"/>
  <c r="T96" i="21"/>
  <c r="N96" i="21"/>
  <c r="M96" i="21"/>
  <c r="L96" i="21"/>
  <c r="K96" i="21"/>
  <c r="C96" i="21"/>
  <c r="T95" i="21"/>
  <c r="N95" i="21"/>
  <c r="M95" i="21"/>
  <c r="L95" i="21"/>
  <c r="K95" i="21"/>
  <c r="C95" i="21"/>
  <c r="T94" i="21"/>
  <c r="N94" i="21"/>
  <c r="M94" i="21"/>
  <c r="L94" i="21"/>
  <c r="K94" i="21"/>
  <c r="C94" i="21"/>
  <c r="T93" i="21"/>
  <c r="N93" i="21"/>
  <c r="M93" i="21"/>
  <c r="L93" i="21"/>
  <c r="K93" i="21"/>
  <c r="C93" i="21"/>
  <c r="T92" i="21"/>
  <c r="N92" i="21"/>
  <c r="M92" i="21"/>
  <c r="L92" i="21"/>
  <c r="K92" i="21"/>
  <c r="C92" i="21"/>
  <c r="T91" i="21"/>
  <c r="N91" i="21"/>
  <c r="M91" i="21"/>
  <c r="L91" i="21"/>
  <c r="K91" i="21"/>
  <c r="C91" i="21"/>
  <c r="T90" i="21"/>
  <c r="N90" i="21"/>
  <c r="M90" i="21"/>
  <c r="L90" i="21"/>
  <c r="K90" i="21"/>
  <c r="C90" i="21"/>
  <c r="T89" i="21"/>
  <c r="N89" i="21"/>
  <c r="M89" i="21"/>
  <c r="L89" i="21"/>
  <c r="K89" i="21"/>
  <c r="C89" i="21"/>
  <c r="T88" i="21"/>
  <c r="N88" i="21"/>
  <c r="M88" i="21"/>
  <c r="L88" i="21"/>
  <c r="K88" i="21"/>
  <c r="C88" i="21"/>
  <c r="T87" i="21"/>
  <c r="N87" i="21"/>
  <c r="M87" i="21"/>
  <c r="L87" i="21"/>
  <c r="K87" i="21"/>
  <c r="C87" i="21"/>
  <c r="T86" i="21"/>
  <c r="N86" i="21"/>
  <c r="M86" i="21"/>
  <c r="L86" i="21"/>
  <c r="K86" i="21"/>
  <c r="C86" i="21"/>
  <c r="T85" i="21"/>
  <c r="N85" i="21"/>
  <c r="M85" i="21"/>
  <c r="L85" i="21"/>
  <c r="K85" i="21"/>
  <c r="C85" i="21"/>
  <c r="T84" i="21"/>
  <c r="N84" i="21"/>
  <c r="M84" i="21"/>
  <c r="L84" i="21"/>
  <c r="K84" i="21"/>
  <c r="C84" i="21"/>
  <c r="T83" i="21"/>
  <c r="N83" i="21"/>
  <c r="M83" i="21"/>
  <c r="L83" i="21"/>
  <c r="K83" i="21"/>
  <c r="C83" i="21"/>
  <c r="T82" i="21"/>
  <c r="N82" i="21"/>
  <c r="M82" i="21"/>
  <c r="L82" i="21"/>
  <c r="K82" i="21"/>
  <c r="C82" i="21"/>
  <c r="T81" i="21"/>
  <c r="N81" i="21"/>
  <c r="M81" i="21"/>
  <c r="L81" i="21"/>
  <c r="K81" i="21"/>
  <c r="C81" i="21"/>
  <c r="T80" i="21"/>
  <c r="N80" i="21"/>
  <c r="M80" i="21"/>
  <c r="L80" i="21"/>
  <c r="K80" i="21"/>
  <c r="C80" i="21"/>
  <c r="T79" i="21"/>
  <c r="N79" i="21"/>
  <c r="M79" i="21"/>
  <c r="L79" i="21"/>
  <c r="K79" i="21"/>
  <c r="C79" i="21"/>
  <c r="T78" i="21"/>
  <c r="N78" i="21"/>
  <c r="M78" i="21"/>
  <c r="L78" i="21"/>
  <c r="K78" i="21"/>
  <c r="C78" i="21"/>
  <c r="T77" i="21"/>
  <c r="N77" i="21"/>
  <c r="M77" i="21"/>
  <c r="L77" i="21"/>
  <c r="K77" i="21"/>
  <c r="C77" i="21"/>
  <c r="T76" i="21"/>
  <c r="N76" i="21"/>
  <c r="M76" i="21"/>
  <c r="L76" i="21"/>
  <c r="K76" i="21"/>
  <c r="C76" i="21"/>
  <c r="T75" i="21"/>
  <c r="N75" i="21"/>
  <c r="M75" i="21"/>
  <c r="L75" i="21"/>
  <c r="K75" i="21"/>
  <c r="C75" i="21"/>
  <c r="T74" i="21"/>
  <c r="N74" i="21"/>
  <c r="M74" i="21"/>
  <c r="L74" i="21"/>
  <c r="K74" i="21"/>
  <c r="C74" i="21"/>
  <c r="T73" i="21"/>
  <c r="N73" i="21"/>
  <c r="M73" i="21"/>
  <c r="L73" i="21"/>
  <c r="K73" i="21"/>
  <c r="C73" i="21"/>
  <c r="T72" i="21"/>
  <c r="N72" i="21"/>
  <c r="M72" i="21"/>
  <c r="L72" i="21"/>
  <c r="K72" i="21"/>
  <c r="C72" i="21"/>
  <c r="T71" i="21"/>
  <c r="N71" i="21"/>
  <c r="M71" i="21"/>
  <c r="L71" i="21"/>
  <c r="K71" i="21"/>
  <c r="C71" i="21"/>
  <c r="T70" i="21"/>
  <c r="N70" i="21"/>
  <c r="M70" i="21"/>
  <c r="L70" i="21"/>
  <c r="K70" i="21"/>
  <c r="C70" i="21"/>
  <c r="T69" i="21"/>
  <c r="C69" i="21"/>
  <c r="T68" i="21"/>
  <c r="N68" i="21"/>
  <c r="M68" i="21"/>
  <c r="L68" i="21"/>
  <c r="K68" i="21"/>
  <c r="C68" i="21"/>
  <c r="T67" i="21"/>
  <c r="N67" i="21"/>
  <c r="M67" i="21"/>
  <c r="L67" i="21"/>
  <c r="K67" i="21"/>
  <c r="C67" i="21"/>
  <c r="T66" i="21"/>
  <c r="N66" i="21"/>
  <c r="M66" i="21"/>
  <c r="L66" i="21"/>
  <c r="K66" i="21"/>
  <c r="C66" i="21"/>
  <c r="T65" i="21"/>
  <c r="N65" i="21"/>
  <c r="M65" i="21"/>
  <c r="L65" i="21"/>
  <c r="K65" i="21"/>
  <c r="C65" i="21"/>
  <c r="T64" i="21"/>
  <c r="C64" i="21"/>
  <c r="T63" i="21"/>
  <c r="N63" i="21"/>
  <c r="M63" i="21"/>
  <c r="L63" i="21"/>
  <c r="K63" i="21"/>
  <c r="C63" i="21"/>
  <c r="T62" i="21"/>
  <c r="N62" i="21"/>
  <c r="M62" i="21"/>
  <c r="L62" i="21"/>
  <c r="K62" i="21"/>
  <c r="C62" i="21"/>
  <c r="T61" i="21"/>
  <c r="N61" i="21"/>
  <c r="M61" i="21"/>
  <c r="L61" i="21"/>
  <c r="K61" i="21"/>
  <c r="C61" i="21"/>
  <c r="T60" i="21"/>
  <c r="N60" i="21"/>
  <c r="M60" i="21"/>
  <c r="L60" i="21"/>
  <c r="K60" i="21"/>
  <c r="C60" i="21"/>
  <c r="T59" i="21"/>
  <c r="N59" i="21"/>
  <c r="M59" i="21"/>
  <c r="L59" i="21"/>
  <c r="K59" i="21"/>
  <c r="C59" i="21"/>
  <c r="T58" i="21"/>
  <c r="N58" i="21"/>
  <c r="M58" i="21"/>
  <c r="L58" i="21"/>
  <c r="K58" i="21"/>
  <c r="C58" i="21"/>
  <c r="T57" i="21"/>
  <c r="N57" i="21"/>
  <c r="M57" i="21"/>
  <c r="L57" i="21"/>
  <c r="K57" i="21"/>
  <c r="T56" i="21"/>
  <c r="N56" i="21"/>
  <c r="M56" i="21"/>
  <c r="L56" i="21"/>
  <c r="K56" i="21"/>
  <c r="C56" i="21"/>
  <c r="T55" i="21"/>
  <c r="N55" i="21"/>
  <c r="M55" i="21"/>
  <c r="L55" i="21"/>
  <c r="K55" i="21"/>
  <c r="C55" i="21"/>
  <c r="T54" i="21"/>
  <c r="N54" i="21"/>
  <c r="M54" i="21"/>
  <c r="L54" i="21"/>
  <c r="K54" i="21"/>
  <c r="C54" i="21"/>
  <c r="T53" i="21"/>
  <c r="N53" i="21"/>
  <c r="M53" i="21"/>
  <c r="L53" i="21"/>
  <c r="K53" i="21"/>
  <c r="C53" i="21"/>
  <c r="T52" i="21"/>
  <c r="N52" i="21"/>
  <c r="M52" i="21"/>
  <c r="L52" i="21"/>
  <c r="K52" i="21"/>
  <c r="C52" i="21"/>
  <c r="T51" i="21"/>
  <c r="C51" i="21"/>
  <c r="T50" i="21"/>
  <c r="N50" i="21"/>
  <c r="M50" i="21"/>
  <c r="L50" i="21"/>
  <c r="K50" i="21"/>
  <c r="C50" i="21"/>
  <c r="T49" i="21"/>
  <c r="N49" i="21"/>
  <c r="M49" i="21"/>
  <c r="L49" i="21"/>
  <c r="K49" i="21"/>
  <c r="C49" i="21"/>
  <c r="T48" i="21"/>
  <c r="N48" i="21"/>
  <c r="M48" i="21"/>
  <c r="L48" i="21"/>
  <c r="K48" i="21"/>
  <c r="C48" i="21"/>
  <c r="T47" i="21"/>
  <c r="N47" i="21"/>
  <c r="M47" i="21"/>
  <c r="L47" i="21"/>
  <c r="K47" i="21"/>
  <c r="C47" i="21"/>
  <c r="T46" i="21"/>
  <c r="N46" i="21"/>
  <c r="M46" i="21"/>
  <c r="L46" i="21"/>
  <c r="K46" i="21"/>
  <c r="C46" i="21"/>
  <c r="T45" i="21"/>
  <c r="N45" i="21"/>
  <c r="M45" i="21"/>
  <c r="L45" i="21"/>
  <c r="K45" i="21"/>
  <c r="C45" i="21"/>
  <c r="T44" i="21"/>
  <c r="C44" i="21"/>
  <c r="T43" i="21"/>
  <c r="N43" i="21"/>
  <c r="M43" i="21"/>
  <c r="L43" i="21"/>
  <c r="K43" i="21"/>
  <c r="C43" i="21"/>
  <c r="T42" i="21"/>
  <c r="N42" i="21"/>
  <c r="M42" i="21"/>
  <c r="L42" i="21"/>
  <c r="K42" i="21"/>
  <c r="C42" i="21"/>
  <c r="T41" i="21"/>
  <c r="N41" i="21"/>
  <c r="M41" i="21"/>
  <c r="L41" i="21"/>
  <c r="K41" i="21"/>
  <c r="C41" i="21"/>
  <c r="T40" i="21"/>
  <c r="N40" i="21"/>
  <c r="M40" i="21"/>
  <c r="L40" i="21"/>
  <c r="K40" i="21"/>
  <c r="C40" i="21"/>
  <c r="T39" i="21"/>
  <c r="N39" i="21"/>
  <c r="M39" i="21"/>
  <c r="L39" i="21"/>
  <c r="K39" i="21"/>
  <c r="C39" i="21"/>
  <c r="T38" i="21"/>
  <c r="N38" i="21"/>
  <c r="M38" i="21"/>
  <c r="L38" i="21"/>
  <c r="K38" i="21"/>
  <c r="C38" i="21"/>
  <c r="T37" i="21"/>
  <c r="N37" i="21"/>
  <c r="M37" i="21"/>
  <c r="L37" i="21"/>
  <c r="K37" i="21"/>
  <c r="C37" i="21"/>
  <c r="T36" i="21"/>
  <c r="N36" i="21"/>
  <c r="M36" i="21"/>
  <c r="L36" i="21"/>
  <c r="K36" i="21"/>
  <c r="C36" i="21"/>
  <c r="T35" i="21"/>
  <c r="N35" i="21"/>
  <c r="M35" i="21"/>
  <c r="L35" i="21"/>
  <c r="K35" i="21"/>
  <c r="C35" i="21"/>
  <c r="T34" i="21"/>
  <c r="C34" i="21"/>
  <c r="T33" i="21"/>
  <c r="C33" i="21"/>
  <c r="T32" i="21"/>
  <c r="N32" i="21"/>
  <c r="M32" i="21"/>
  <c r="L32" i="21"/>
  <c r="K32" i="21"/>
  <c r="C32" i="21"/>
  <c r="T31" i="21"/>
  <c r="C31" i="21"/>
  <c r="T30" i="21"/>
  <c r="N30" i="21"/>
  <c r="M30" i="21"/>
  <c r="L30" i="21"/>
  <c r="K30" i="21"/>
  <c r="C30" i="21"/>
  <c r="T29" i="21"/>
  <c r="N29" i="21"/>
  <c r="M29" i="21"/>
  <c r="L29" i="21"/>
  <c r="K29" i="21"/>
  <c r="C29" i="21"/>
  <c r="T28" i="21"/>
  <c r="N28" i="21"/>
  <c r="M28" i="21"/>
  <c r="L28" i="21"/>
  <c r="K28" i="21"/>
  <c r="C28" i="21"/>
  <c r="T27" i="21"/>
  <c r="N27" i="21"/>
  <c r="M27" i="21"/>
  <c r="L27" i="21"/>
  <c r="K27" i="21"/>
  <c r="C27" i="21"/>
  <c r="T26" i="21"/>
  <c r="N26" i="21"/>
  <c r="M26" i="21"/>
  <c r="L26" i="21"/>
  <c r="K26" i="21"/>
  <c r="C26" i="21"/>
  <c r="T25" i="21"/>
  <c r="N25" i="21"/>
  <c r="M25" i="21"/>
  <c r="L25" i="21"/>
  <c r="K25" i="21"/>
  <c r="C25" i="21"/>
  <c r="T24" i="21"/>
  <c r="N24" i="21"/>
  <c r="M24" i="21"/>
  <c r="L24" i="21"/>
  <c r="K24" i="21"/>
  <c r="C24" i="21"/>
  <c r="T23" i="21"/>
  <c r="N23" i="21"/>
  <c r="M23" i="21"/>
  <c r="L23" i="21"/>
  <c r="K23" i="21"/>
  <c r="C23" i="21"/>
  <c r="T22" i="21"/>
  <c r="N22" i="21"/>
  <c r="M22" i="21"/>
  <c r="L22" i="21"/>
  <c r="K22" i="21"/>
  <c r="C22" i="21"/>
  <c r="T21" i="21"/>
  <c r="N21" i="21"/>
  <c r="M21" i="21"/>
  <c r="L21" i="21"/>
  <c r="K21" i="21"/>
  <c r="C21" i="21"/>
  <c r="T20" i="21"/>
  <c r="N20" i="21"/>
  <c r="M20" i="21"/>
  <c r="L20" i="21"/>
  <c r="K20" i="21"/>
  <c r="C20" i="21"/>
  <c r="T19" i="21"/>
  <c r="N19" i="21"/>
  <c r="M19" i="21"/>
  <c r="L19" i="21"/>
  <c r="K19" i="21"/>
  <c r="C19" i="21"/>
  <c r="T18" i="21"/>
  <c r="N18" i="21"/>
  <c r="M18" i="21"/>
  <c r="L18" i="21"/>
  <c r="K18" i="21"/>
  <c r="C18" i="21"/>
  <c r="T17" i="21"/>
  <c r="N17" i="21"/>
  <c r="M17" i="21"/>
  <c r="L17" i="21"/>
  <c r="K17" i="21"/>
  <c r="C17" i="21"/>
  <c r="T16" i="21"/>
  <c r="N16" i="21"/>
  <c r="M16" i="21"/>
  <c r="L16" i="21"/>
  <c r="K16" i="21"/>
  <c r="C16" i="21"/>
  <c r="T15" i="21"/>
  <c r="N15" i="21"/>
  <c r="M15" i="21"/>
  <c r="L15" i="21"/>
  <c r="K15" i="21"/>
  <c r="C15" i="21"/>
  <c r="T14" i="21"/>
  <c r="N14" i="21"/>
  <c r="M14" i="21"/>
  <c r="L14" i="21"/>
  <c r="K14" i="21"/>
  <c r="C14" i="21"/>
  <c r="T13" i="21"/>
  <c r="N13" i="21"/>
  <c r="M13" i="21"/>
  <c r="L13" i="21"/>
  <c r="K13" i="21"/>
  <c r="C13" i="21"/>
  <c r="T12" i="21"/>
  <c r="N12" i="21"/>
  <c r="M12" i="21"/>
  <c r="L12" i="21"/>
  <c r="K12" i="21"/>
  <c r="C12" i="21"/>
  <c r="T11" i="21"/>
  <c r="N11" i="21"/>
  <c r="M11" i="21"/>
  <c r="L11" i="21"/>
  <c r="K11" i="21"/>
  <c r="C11" i="21"/>
  <c r="T10" i="21"/>
  <c r="N10" i="21"/>
  <c r="M10" i="21"/>
  <c r="L10" i="21"/>
  <c r="K10" i="21"/>
  <c r="C10" i="21"/>
  <c r="T9" i="21"/>
  <c r="N9" i="21"/>
  <c r="M9" i="21"/>
  <c r="L9" i="21"/>
  <c r="C9" i="21"/>
  <c r="T8" i="21"/>
  <c r="N8" i="21"/>
  <c r="M8" i="21"/>
  <c r="L8" i="21"/>
  <c r="K8" i="21"/>
  <c r="C8" i="21"/>
  <c r="T7" i="21"/>
  <c r="N7" i="21"/>
  <c r="M7" i="21"/>
  <c r="L7" i="21"/>
  <c r="K7" i="21"/>
  <c r="C7" i="21"/>
  <c r="T6" i="21"/>
  <c r="N6" i="21"/>
  <c r="M6" i="21"/>
  <c r="L6" i="21"/>
  <c r="K6" i="21"/>
  <c r="C6" i="21"/>
  <c r="T5" i="21"/>
  <c r="N5" i="21"/>
  <c r="M5" i="21"/>
  <c r="L5" i="21"/>
  <c r="K5" i="21"/>
  <c r="C5" i="21"/>
  <c r="T4" i="21"/>
  <c r="N4" i="21"/>
  <c r="M4" i="21"/>
  <c r="L4" i="21"/>
  <c r="K4" i="21"/>
  <c r="C4" i="21"/>
  <c r="T3" i="21"/>
  <c r="N3" i="21"/>
  <c r="M3" i="21"/>
  <c r="L3" i="21"/>
  <c r="K3" i="21"/>
  <c r="C3" i="21"/>
  <c r="N2" i="21"/>
  <c r="M2" i="21"/>
  <c r="L2" i="21"/>
  <c r="K2" i="21"/>
  <c r="C2" i="21"/>
</calcChain>
</file>

<file path=xl/sharedStrings.xml><?xml version="1.0" encoding="utf-8"?>
<sst xmlns="http://schemas.openxmlformats.org/spreadsheetml/2006/main" count="14907" uniqueCount="1435">
  <si>
    <t>Title</t>
  </si>
  <si>
    <t>Database description</t>
  </si>
  <si>
    <t>This dataset is an annual unbalanced panel of sovereign wealth funds (SWFs) containing financial information at the fund–year level. It covers 63 sovereign wealth funds across 52 jurisdictions (including Taiwan) over the period 1956–2024.
Each observation corresponds to a specific sovereign wealth fund in a given year and reports key balance-sheet and asset measures. Due to differences in fund creation dates, reporting practices, and data availability, not all funds are observed in all years.</t>
  </si>
  <si>
    <t>Last data update</t>
  </si>
  <si>
    <t xml:space="preserve">The latest data update was on January 15, 2026. </t>
  </si>
  <si>
    <t>Currency and exchange rate</t>
  </si>
  <si>
    <t>Metadata</t>
  </si>
  <si>
    <r>
      <t xml:space="preserve">The metadata sheet documents the institutional sources and documentary evidence used to construct the Sovereign Wealth Fund panel dataset. For each fund-year observation, it records the reporting institution, official and document-level links, consultation dates, and notes on revisions or data quality issues. This sheet enables full transparency, replicability, and long-term maintenance of the dataset.
</t>
    </r>
    <r>
      <rPr>
        <b/>
        <sz val="12"/>
        <rFont val="Times New Roman"/>
        <family val="1"/>
      </rPr>
      <t xml:space="preserve">The metadata contains: </t>
    </r>
    <r>
      <rPr>
        <sz val="12"/>
        <rFont val="Times New Roman"/>
        <family val="1"/>
      </rPr>
      <t xml:space="preserve">
</t>
    </r>
    <r>
      <rPr>
        <b/>
        <sz val="12"/>
        <rFont val="Times New Roman"/>
        <family val="1"/>
      </rPr>
      <t xml:space="preserve">swf_name: </t>
    </r>
    <r>
      <rPr>
        <sz val="12"/>
        <rFont val="Times New Roman"/>
        <family val="1"/>
      </rPr>
      <t xml:space="preserve"> Official name of the sovereign wealth fund
</t>
    </r>
    <r>
      <rPr>
        <b/>
        <sz val="12"/>
        <rFont val="Times New Roman"/>
        <family val="1"/>
      </rPr>
      <t xml:space="preserve">year: </t>
    </r>
    <r>
      <rPr>
        <sz val="12"/>
        <rFont val="Times New Roman"/>
        <family val="1"/>
      </rPr>
      <t xml:space="preserve">year of the observation 
</t>
    </r>
    <r>
      <rPr>
        <b/>
        <sz val="12"/>
        <rFont val="Times New Roman"/>
        <family val="1"/>
      </rPr>
      <t xml:space="preserve">Name of the reporting institution: </t>
    </r>
    <r>
      <rPr>
        <sz val="12"/>
        <rFont val="Times New Roman"/>
        <family val="1"/>
      </rPr>
      <t xml:space="preserve">Name of the institution responsible for publishing the information
</t>
    </r>
    <r>
      <rPr>
        <b/>
        <sz val="12"/>
        <rFont val="Times New Roman"/>
        <family val="1"/>
      </rPr>
      <t xml:space="preserve">Institutional URL: </t>
    </r>
    <r>
      <rPr>
        <sz val="12"/>
        <rFont val="Times New Roman"/>
        <family val="1"/>
      </rPr>
      <t xml:space="preserve">Link to the official website of the reporting institution
</t>
    </r>
    <r>
      <rPr>
        <b/>
        <sz val="12"/>
        <rFont val="Times New Roman"/>
        <family val="1"/>
      </rPr>
      <t xml:space="preserve">Document URL: </t>
    </r>
    <r>
      <rPr>
        <sz val="12"/>
        <rFont val="Times New Roman"/>
        <family val="1"/>
      </rPr>
      <t xml:space="preserve">Direct link to the specific document used for that year
</t>
    </r>
    <r>
      <rPr>
        <b/>
        <sz val="12"/>
        <rFont val="Times New Roman"/>
        <family val="1"/>
      </rPr>
      <t xml:space="preserve">Notes: </t>
    </r>
    <r>
      <rPr>
        <sz val="12"/>
        <rFont val="Times New Roman"/>
        <family val="1"/>
      </rPr>
      <t xml:space="preserve">Comments related to data restatements, interpretation and data extraction
</t>
    </r>
    <r>
      <rPr>
        <b/>
        <sz val="12"/>
        <rFont val="Times New Roman"/>
        <family val="1"/>
      </rPr>
      <t xml:space="preserve">Date of last consultation: </t>
    </r>
    <r>
      <rPr>
        <sz val="12"/>
        <rFont val="Times New Roman"/>
        <family val="1"/>
      </rPr>
      <t xml:space="preserve">Date when the source was last accessed </t>
    </r>
  </si>
  <si>
    <t>Missing values</t>
  </si>
  <si>
    <t xml:space="preserve">Missing observations may reflect either non reporting in a given year, unavailable information or non disclosure of specific financial variables, and should not be interpreted as zero. </t>
  </si>
  <si>
    <t>Variable definitions</t>
  </si>
  <si>
    <t xml:space="preserve">All variables are reported in billions of current US dollars. All financial data are measured as of the end of the year fund's fiscal year.  </t>
  </si>
  <si>
    <t>SWF_panel sheet</t>
  </si>
  <si>
    <t>swf_name</t>
  </si>
  <si>
    <t>Official name of the sovereign wealth fund.</t>
  </si>
  <si>
    <t>net assets</t>
  </si>
  <si>
    <t>Difference between a sovereign wealth fund's total assets and total liabilities.</t>
  </si>
  <si>
    <t>total assets</t>
  </si>
  <si>
    <t>Full value of all financial holdings, investment, and reserves owned by the fund.</t>
  </si>
  <si>
    <t>liabiilties</t>
  </si>
  <si>
    <t>Sum of all obligations, debts, or commietments the fund owes.</t>
  </si>
  <si>
    <t>portfolio value</t>
  </si>
  <si>
    <t xml:space="preserve">Fund's total investment holdings measured at current market value for the reporting yeart of the observation </t>
  </si>
  <si>
    <t xml:space="preserve">aum </t>
  </si>
  <si>
    <t xml:space="preserve">Assets under management.Total market value of assets managed by the fund. </t>
  </si>
  <si>
    <t>raw_data_national sheet</t>
  </si>
  <si>
    <t>year</t>
  </si>
  <si>
    <t>Corresponds to the beginning of operations of the sovereign wealth fund: when the operational year is unavailable, it records the fund's official year of creation</t>
  </si>
  <si>
    <t>year_end</t>
  </si>
  <si>
    <t>Year in which the fund ceased operations; missing if the fund remains operational</t>
  </si>
  <si>
    <t>Fund objective dummies</t>
  </si>
  <si>
    <t xml:space="preserve">         stab</t>
  </si>
  <si>
    <t>Equals 1 if the fund's primary objective is stabilization; 0 otherwise</t>
  </si>
  <si>
    <t xml:space="preserve">         savings</t>
  </si>
  <si>
    <t>Equals 1 if the fund is a savings fund; 0 otherwise</t>
  </si>
  <si>
    <t xml:space="preserve">         other</t>
  </si>
  <si>
    <t>Equals 1 if the fund has other objectives not classified as stabilization or savings; 0 otherwise</t>
  </si>
  <si>
    <t xml:space="preserve">         nonstab</t>
  </si>
  <si>
    <t>Equals 1 if the fund is not classified as a stabilization fund (it's classified as savings fund or other); 0 otherwise</t>
  </si>
  <si>
    <t>country</t>
  </si>
  <si>
    <t>iso3</t>
  </si>
  <si>
    <t>assets</t>
  </si>
  <si>
    <t>continent</t>
  </si>
  <si>
    <t>is_in_ifsfw</t>
  </si>
  <si>
    <t>name_ifsfw</t>
  </si>
  <si>
    <t>nacional</t>
  </si>
  <si>
    <t>stabilisation_old</t>
  </si>
  <si>
    <t>savings_old</t>
  </si>
  <si>
    <t>strategic_old</t>
  </si>
  <si>
    <t>hybrid_old</t>
  </si>
  <si>
    <t>link</t>
  </si>
  <si>
    <t>description</t>
  </si>
  <si>
    <t>stab</t>
  </si>
  <si>
    <t>savings</t>
  </si>
  <si>
    <t>other</t>
  </si>
  <si>
    <t>nonstab</t>
  </si>
  <si>
    <t>link2</t>
  </si>
  <si>
    <t>notes</t>
  </si>
  <si>
    <t>notes_sg</t>
  </si>
  <si>
    <t>Revenue Regulation Fund</t>
  </si>
  <si>
    <t>Algeria</t>
  </si>
  <si>
    <t>Africa</t>
  </si>
  <si>
    <t>https://www.investopedia.com/terms/r/revenue-regulation-fund.asp#:~:text=The%20term%20Revenue%20Regulation%20Fund,Fond%20de%20Regulation%20des%20Recettes</t>
  </si>
  <si>
    <t>Busca estabilizar la economía nacional y tener un colchón ante la volatilidad del gas y el petróleo (link no oficial)</t>
  </si>
  <si>
    <t>It is used to cover the deficit: the revenue regulation fund reaches 2300 billion dinars - Maghreb Emergent</t>
  </si>
  <si>
    <t>Fundo Soberano de Angola</t>
  </si>
  <si>
    <t>Angola</t>
  </si>
  <si>
    <t>Overview | Fundo Soberano de Angola</t>
  </si>
  <si>
    <t>Generar retornos y riqueza para la población de Angola. Busca también estimular el desarrollo. No se hace mención a nada de estabilización</t>
  </si>
  <si>
    <t>Armenian National Interests Fund</t>
  </si>
  <si>
    <t>Armenia</t>
  </si>
  <si>
    <t>Asia</t>
  </si>
  <si>
    <t>Armenian National Interests Fund (ANIF)</t>
  </si>
  <si>
    <t>ANIF – Armenian National Interests Fund</t>
  </si>
  <si>
    <t>Objetivo es ser inversionista proactivo y socio en la región para generar y facilitar inversiones es sectrores cruciales de la economía y en infraestructura.</t>
  </si>
  <si>
    <t>Future Fund</t>
  </si>
  <si>
    <t>Australia</t>
  </si>
  <si>
    <t>Australia and Pacific</t>
  </si>
  <si>
    <t>Future Fund | Our funds</t>
  </si>
  <si>
    <t>Fortalecer la posición financiera del gobierno en el largo plazo. Ayuda a pagar las Commonwealth's unfunded liabilities y le saca presión al gobierno, en especial pensando que la población va envejeciendo y eso presionaría las finanzas. No sacó plata durante el 2020 para fortalecer más su posición a futuro. Permite hacer retiros, por lo que podría usarse para estabilización (aunque no se hizo para el covid)</t>
  </si>
  <si>
    <r>
      <t xml:space="preserve">Podría usarse: </t>
    </r>
    <r>
      <rPr>
        <i/>
        <sz val="11"/>
        <color theme="1"/>
        <rFont val="Calibri"/>
        <family val="2"/>
        <scheme val="minor"/>
      </rPr>
      <t xml:space="preserve">In accordance with the Future Fund Act 2006, from 2020 funds can be withdrawn from it to cover the annual unfunded Commonwealth superannuation liabilities. </t>
    </r>
    <r>
      <rPr>
        <sz val="11"/>
        <color theme="1"/>
        <rFont val="Calibri"/>
        <family val="2"/>
        <scheme val="minor"/>
      </rPr>
      <t>Pero como no parece ser su main goal, lo puse como 0</t>
    </r>
  </si>
  <si>
    <t>Oesterreichische Beteiligungs AG</t>
  </si>
  <si>
    <t>Austria</t>
  </si>
  <si>
    <t>Europe</t>
  </si>
  <si>
    <t>Startseite - ÖBAG (oebag.gv.at)</t>
  </si>
  <si>
    <t>Objetivo preservar y aumentar inversionaes para las generaciones y crear y asegurar treabajos en el país.</t>
  </si>
  <si>
    <t>State Oil Fund of Azerbaijan</t>
  </si>
  <si>
    <t>Azerbaijan</t>
  </si>
  <si>
    <t>State Oil Fund of the Republic of Azerbaijan</t>
  </si>
  <si>
    <t>Mission and Objectives (oilfund.az)</t>
  </si>
  <si>
    <t>Busca convertir reservar de hidrocarburos en activos financieros que generen ingresos perpetuos. También preserva estabilidad macro asegurando la disciplina fiscal, estimulando desarrollo en sector no petrolero y financiando proyectos a escala nacional. Puede transferir recursos al gobierno</t>
  </si>
  <si>
    <t>COVID-19 Active Response and Expenditure Support Program: Assessment of State Oil Fund of Azerbaijan (SOFAZ) and Fiscal Management Framework (adb.org)</t>
  </si>
  <si>
    <t>Ver punto 9 de link anterior. Se financia gobierno si lo neecsita más, pero de manera prudente.</t>
  </si>
  <si>
    <t>Azerbaijan Investment Holding</t>
  </si>
  <si>
    <t>About Azerbaijan Investment Holding - AİH (aih.gov.az)</t>
  </si>
  <si>
    <t>Busca expandir el desarrollo de largo plazo y la prosperidad de Azerbaijan a través inversiones transparentes.</t>
  </si>
  <si>
    <t>Bahrain Future Generations Reserve Fund</t>
  </si>
  <si>
    <t>Bahrain</t>
  </si>
  <si>
    <t>Middle East</t>
  </si>
  <si>
    <t>Future Generation Reserve Fund</t>
  </si>
  <si>
    <t>Bahrain's Future Generations Fund Profile: Commitments &amp; Mandates | PitchBook</t>
  </si>
  <si>
    <t>Busca fortalecer posición fical en el largo plazo y mantener la riqueza de los hidrocarburos (link no oficial)</t>
  </si>
  <si>
    <t>Mumtalakat Holding</t>
  </si>
  <si>
    <t>Bahrain Mumtalakat Holding Company</t>
  </si>
  <si>
    <t>Mumtalakat | Who We Are</t>
  </si>
  <si>
    <t>Busca generar retornos financieros sostenible a largo plazo. Son agnósticos con respecto a los sectores.</t>
  </si>
  <si>
    <t>SFPI-FPIM</t>
  </si>
  <si>
    <t>Belgium</t>
  </si>
  <si>
    <t>Société Fédérale de Participations et d'Investissement-Société Fédérale de Participations (SFPI-FPIM)</t>
  </si>
  <si>
    <t>Accueil - SFPIM</t>
  </si>
  <si>
    <t>Busca ser un socio de firmas belgas y ayudar a que sean un referente en sus sectores. También ayuda a la estabilidad a largo plazo de la economía belga.</t>
  </si>
  <si>
    <t>Bhutan Economic Stabilization Fund</t>
  </si>
  <si>
    <t>Bhutan</t>
  </si>
  <si>
    <t>Bhutan Economic Stabilisation Fund</t>
  </si>
  <si>
    <t>Bhutan Economic Stabilization Fund stands at Nu 167 mn – The Bhutanese</t>
  </si>
  <si>
    <t>Creado para mantener ingresos del estado constantes (link no oficial)</t>
  </si>
  <si>
    <t>On 12/30/2008, R$ 14,243,999,592.36 were allocated to the FSB through the issuance of 10,201,373 domestic bonds issued by the National Treasury of Brazil. On that date, FSB invested the full amount in the Fundo Fiscal de Investimento e Estabilização (Fiscal Fund for Investment and Stabilization) - FFIE, according to the Law 11,887/2008. That is a mutual fund, duly registered at the Securities and Exchange Commission of Brazil (Comissão de Valores Mobiliários - CVM) which has the FSB as its exclusive investor.</t>
  </si>
  <si>
    <t>Fund for Productive Industrial Revolution</t>
  </si>
  <si>
    <t>Bolivia</t>
  </si>
  <si>
    <t>Latin America</t>
  </si>
  <si>
    <t>Fondo para la Revolución Industrial Productiva (FINPRO)</t>
  </si>
  <si>
    <t>Ministerio de Economia y Finanzas Publicas | Contenido</t>
  </si>
  <si>
    <t>Finalidad es financiar la inversión de emprendiminetos productivos del Estado que generen excedentes, a cargo de todas las empresas públicas (link no oficial),</t>
  </si>
  <si>
    <t>MISSION: To safeguard Brunei Darussalam's Sovereign Nationhood Though Dynamic Reserve Management</t>
  </si>
  <si>
    <t>Pula Fund</t>
  </si>
  <si>
    <t>Botswana</t>
  </si>
  <si>
    <t>Pula Fund | Bank of Botswana</t>
  </si>
  <si>
    <t xml:space="preserve">Preservar ingresos por diamantes para generaciones futuras. </t>
  </si>
  <si>
    <t>Botswana central bank seeks law to preserve shrinking sovereign wealth fund | Reuters</t>
  </si>
  <si>
    <t>Los gobienos lo usan para limitar déficits y también dejan ahí los superavits</t>
  </si>
  <si>
    <t>https://furtherafrica.com/2021/02/19/head-of-cape-verde-sovereign-wealth-fund-appointed/</t>
  </si>
  <si>
    <t>Fundo Soberano do Brasil (FSB)</t>
  </si>
  <si>
    <t>Brazil</t>
  </si>
  <si>
    <t>Fundo Soberano do Brasil (FSB) — Tesouro Nacional (www.gov.br)</t>
  </si>
  <si>
    <t>Promueve inversiones en Brasil y en el extranjero, genera ahorros públicos, mitiga efectos de ciclos económicos y desarrolla proyectos estratégicos. Desapareció el 2018</t>
  </si>
  <si>
    <t>Sobre — Tesouro Nacional (www.gov.br)</t>
  </si>
  <si>
    <t>Ya no existe</t>
  </si>
  <si>
    <t>Fundo Soberano de Cabo Verde (Cape Verde Sovereign Wealth Fund)</t>
  </si>
  <si>
    <t>Cape Verde</t>
  </si>
  <si>
    <t>Cape Verde Sovereign Wealth Fund</t>
  </si>
  <si>
    <t>Fundo Soberano - Asset Display Page - Ministério das Finanças (gov.cv)</t>
  </si>
  <si>
    <t>Poca información oficial. Al parecer facilita acceso a financiamiento externo para compañías del país y financia grandes inversiones que impoulsen la economía (link no oficial)</t>
  </si>
  <si>
    <t>Cape Verde's US$100 million Sovereign Fund starts definitively (expansao.co.ao)</t>
  </si>
  <si>
    <t>Chile Pension Reserve Fund</t>
  </si>
  <si>
    <t>Chile</t>
  </si>
  <si>
    <t>Pension Reserve Fund</t>
  </si>
  <si>
    <t>Pension Reserve Fund (hacienda.cl)</t>
  </si>
  <si>
    <t>Ayudar al financiamiento de obligaciones fiscales de pensiones. Va aumentando en el timepo independiente de la situación fiscal de cada año,</t>
  </si>
  <si>
    <t>Social and Economic Stabilization Fund</t>
  </si>
  <si>
    <t>Economic and Social Stabilization Fund</t>
  </si>
  <si>
    <t>Economic and Social Stabilization Fund (hacienda.cl)</t>
  </si>
  <si>
    <t>Financia déficits fiscales y amortizaciones de deuda pública, reduciendo depedencia de ciclos globales y de fluctuaciones del precio del cobre.</t>
  </si>
  <si>
    <t>National Council for Social Security Fund</t>
  </si>
  <si>
    <t>China</t>
  </si>
  <si>
    <t>英文介绍- (ssf.gov.cn)</t>
  </si>
  <si>
    <t>Busca tener fondos para sistema social (links no oficiales)</t>
  </si>
  <si>
    <t>National Council for Social Security Fund - Company Profile and News - Bloomberg Markets</t>
  </si>
  <si>
    <t>China’s National Social Security Fund (NSSF) Definition (investopedia.com)</t>
  </si>
  <si>
    <t>China Investment Corporation</t>
  </si>
  <si>
    <t>China Investment Corporation (china-inv.cn)</t>
  </si>
  <si>
    <t xml:space="preserve">Busca diversificar reservas internacionales y buscar el máximo retorno dentro de un rango de tolerancia aceptable. </t>
  </si>
  <si>
    <t>Fondo de Ahorro y Estabilización Petrolera (FAEP)</t>
  </si>
  <si>
    <t>Colombia</t>
  </si>
  <si>
    <t>America</t>
  </si>
  <si>
    <t>Decreto 3238 de 2007 - Gestor Normativo - Función Pública (funcionpublica.gov.co)</t>
  </si>
  <si>
    <t>Propósitos exclusivos de ahorro fiscal y estabilización macroeconómica</t>
  </si>
  <si>
    <t>https://elpais.com/economia/2014/03/14/actualidad/1394816273_722346.html</t>
  </si>
  <si>
    <t>Colombia Savings and Stabilization Fund</t>
  </si>
  <si>
    <t>Fideicomiso Fondo de Ahorro y Estabilización (FAE)</t>
  </si>
  <si>
    <t>FAE (minhacienda.gov.co)</t>
  </si>
  <si>
    <t xml:space="preserve">Promueve estabilidad fiscal y macroeconómica a través delos principios de ahorro y estabilización, contribuyendo a la distribución equitativa de los ingresos provenientes de explotación de recursos naturales no renovables. Mantiene el gasto público estable. </t>
  </si>
  <si>
    <t>Cyprus National Investment Fund</t>
  </si>
  <si>
    <t>Cyprus</t>
  </si>
  <si>
    <t>National Investment Fund</t>
  </si>
  <si>
    <t>National Investment Fund | International Forum of Sovereign Wealth Funds (ifswf.org)</t>
  </si>
  <si>
    <t>Tener retornos en el largo plazo (link no oficial). Aún no encuentro más info porque las páginas solo están en griego y no sale mucho.</t>
  </si>
  <si>
    <t>Vaekstfonden</t>
  </si>
  <si>
    <t>Denmark</t>
  </si>
  <si>
    <t>Danmarks Eksport- og Investeringsfond (eifo.dk)</t>
  </si>
  <si>
    <t>Export and Investment Fund of Denmark. Financia compañías principalmente</t>
  </si>
  <si>
    <t>Fonds Souverain de Djibouti (Djibouti Sovereign Fund)</t>
  </si>
  <si>
    <t>Djibouti</t>
  </si>
  <si>
    <t>Fonds Souverain de Djibouti</t>
  </si>
  <si>
    <t>Fonds Souverain de Djibouti | International Forum of Sovereign Wealth Funds (ifswf.org)</t>
  </si>
  <si>
    <t>Inversiones sustentables y estratégicas, diversificar y modernizar economía del país (link no oficial)</t>
  </si>
  <si>
    <t>Sovereign Fund of Egypt</t>
  </si>
  <si>
    <t>Egypt</t>
  </si>
  <si>
    <t>The Sovereign Fund of Egypt</t>
  </si>
  <si>
    <t>The Sovereign Fund of Egypt (TSFE) | Homepage</t>
  </si>
  <si>
    <t>Busca impulsar el crecimiento de Egipto con inversiones en distintos sectores y promover el compromiso del sector privado en el desarrollo del país.</t>
  </si>
  <si>
    <t>Ethiopian Investment Holdings</t>
  </si>
  <si>
    <t>Ethiopia</t>
  </si>
  <si>
    <t>Ethiopian Investment Holdings (eih.et)</t>
  </si>
  <si>
    <t>Creación de valor en sectores prioritarios en el largo plazo.,</t>
  </si>
  <si>
    <t>Solidium</t>
  </si>
  <si>
    <t>Finland</t>
  </si>
  <si>
    <t>Etusivu - English - Solidium</t>
  </si>
  <si>
    <t>Busca fortalecer y estabilizar la propiedad finlandesa en compañías de importancia nacional e incrementar su valor en el largo plazo. Parece ser que a veces distribuye más ganancias al estado, lo cual podría ser para estabilizar (ver gráfico en link 2)</t>
  </si>
  <si>
    <t>Holdings - Solidium</t>
  </si>
  <si>
    <t>Finnish Industry Investment (Tesi)</t>
  </si>
  <si>
    <t>Tesi - Creating global success stories</t>
  </si>
  <si>
    <t>Venture capital e inversiones en empresas finlandesas.</t>
  </si>
  <si>
    <t>Fonds Strategique d'Investissement </t>
  </si>
  <si>
    <t>France</t>
  </si>
  <si>
    <t>Fonds Stratégique d'Investissement | La préfecture et les services de l'État en région Centre-Val de Loire (prefectures-regions.gouv.fr)</t>
  </si>
  <si>
    <t xml:space="preserve">Ayuda a pymes y a empresas de sectores en procesos de cambio y asegura capital en empresas estratégicas. Todo eso con el fin de apoyarlas en su desarrollo. </t>
  </si>
  <si>
    <t>Groupe Caisse des Dépôts | Ensemble, faisons grandir la France (caissedesdepots.fr)</t>
  </si>
  <si>
    <t>Segundo link parece ser lo mismo con otro nombre. En ese caso, se ratifica que es un fondo más estratégico/desarrollo</t>
  </si>
  <si>
    <t>BpiFrance Investissements (formerly CDC International Capital)</t>
  </si>
  <si>
    <t>Our mission - Bpifrance.com</t>
  </si>
  <si>
    <t>Busca favorecer el crecimiento de Francia ayudando a emprendedores. Financian a innovadores y ayudan a crecer a empresas, además de crear eventos para emprendedores.</t>
  </si>
  <si>
    <t>Fonds Souverain de la Republique Gabonaise (Gabonese Fund for Strategic Investments)</t>
  </si>
  <si>
    <t>Gabon</t>
  </si>
  <si>
    <t>Fonds Gabonais d’Investissements Stratégiques</t>
  </si>
  <si>
    <t>About (fgis-gabon.com)</t>
  </si>
  <si>
    <t xml:space="preserve">Fondo de desarrollo. Financia la implementación de las prioridades del gobierno en beneficio de la población y futuras generaciones. </t>
  </si>
  <si>
    <t>Caisses de Stabilisation et de Péréquation (Gabonese Stabilization and Equalization Fund)</t>
  </si>
  <si>
    <t>LA DIRECTION GENERALE DES CAISSES DE STABILISATION ET DE PEREQUATION – caistab</t>
  </si>
  <si>
    <t>Lo principal es potenciar la industria del café y el cacao en el país. Además busca estabilizar el suministro y precio de hidrocarburos</t>
  </si>
  <si>
    <t>Partnership Fund</t>
  </si>
  <si>
    <t>Georgia</t>
  </si>
  <si>
    <t>JSC Partnership Fund (tbilisisrf.gov.ge)</t>
  </si>
  <si>
    <t>Se creó para consolidar la propiedad de las empresas estatales más grandes. Su objetivo es promover la inversión en Georgia proveyendo financiamiento en proyectos en sus etapas de desarrollo.</t>
  </si>
  <si>
    <t>Nuclear Waste Disposal Fund</t>
  </si>
  <si>
    <t>Germany</t>
  </si>
  <si>
    <t>German Nuclear Waste Management Fund - KENFO</t>
  </si>
  <si>
    <t>Buscar proveer fondos para los desechos provenientes de energía nuclear</t>
  </si>
  <si>
    <t>Ghana Heritage Fund</t>
  </si>
  <si>
    <t>Ghana</t>
  </si>
  <si>
    <t>About Ghana Petroleum Funds – Bank of Ghana (bog.gov.gh)</t>
  </si>
  <si>
    <t>Busca tener ingresos para cuando las reservas de petróleo se hayan acabado.</t>
  </si>
  <si>
    <t>Ghana Stabilisation Fund (Ghana Stabilization Fund)</t>
  </si>
  <si>
    <t xml:space="preserve">Sostener el gasto en periódos de bajo precio del petróleo. </t>
  </si>
  <si>
    <t>Ghana Infrastructure Investment Fund</t>
  </si>
  <si>
    <t>GIIF Investment Policy Statement_April62017.pdf (mofep.gov.gh)</t>
  </si>
  <si>
    <t>Moviliza, administra, coordina y provee recursos financieros para catalizar el desarrollo de infraestructura crítica en Ghana y para generar retornos financieros a los shareholders.</t>
  </si>
  <si>
    <t>Ghana Minerals Income Investment Fund (Minerals Income Investment Fund)</t>
  </si>
  <si>
    <t>Ghana Petroleum Funds</t>
  </si>
  <si>
    <t>https://www.google.com/url?sa=t&amp;rct=j&amp;q=&amp;esrc=s&amp;source=web&amp;cd=&amp;ved=2ahUKEwiDzqLV_PX_AhW6BLkGHQXuAaYQFnoECBQQAQ&amp;url=https%3A%2F%2Fmiif.gov.gh%2F&amp;usg=AOvVaw22xE9eNGG-1EqaRG2T3Reh&amp;opi=89978449</t>
  </si>
  <si>
    <t>Página caída al revisar, pero parece ser para maximizar retornos de la minería.</t>
  </si>
  <si>
    <t>Hellenic Corporation of Assets and Participations S.A.</t>
  </si>
  <si>
    <t>Greece</t>
  </si>
  <si>
    <t>Hellenic Corporation of Assets and Participations</t>
  </si>
  <si>
    <t>Company – GROWTHFUND | THE NATIONAL FUND OF GREECE (hcap.gr)</t>
  </si>
  <si>
    <t xml:space="preserve">Contribuye recursos para la implementación de la política de inversiones de Grecia y para fortalecer el desarrollo de la economía. También busca reducir las obligaciones financieras del país. </t>
  </si>
  <si>
    <t>Guyana Natural Resource Fund</t>
  </si>
  <si>
    <t>Guyana</t>
  </si>
  <si>
    <t>Natural Resources Fund</t>
  </si>
  <si>
    <t>NRF-Act_2019.pdf (finance.gov.gy)</t>
  </si>
  <si>
    <t>Usar recursos naturales de Guyana para asegurar que la volatilidad de los precios no implique volatilidad del gasto público, que ingresos de recursos naturales no disminuyan competitividad económica, transferir riqueza entre generaciones y usar la riqueza natural para financiar las prioridades del desarrollo nacional, incluyendo iniciativas inclusivas verdes.</t>
  </si>
  <si>
    <t>CNIC Corporation Limited</t>
  </si>
  <si>
    <t>Hong Kong</t>
  </si>
  <si>
    <t>国新国际投资有限公司 (cnic.com)</t>
  </si>
  <si>
    <t xml:space="preserve">Busca generar ingresos en el largo plazo. Aparenta funcionar mucho como una empresa, no se nombra el Estado en su página. </t>
  </si>
  <si>
    <t>Hong Kong Investment Corporation</t>
  </si>
  <si>
    <t>HKIC | The Hong Kong Investment Corporation Limited</t>
  </si>
  <si>
    <t>Busca identificar oportunidades de inversión y promover desarrollo en sectores específicos, así como promover la competitividad de Honkg Kong en el largo plazo y generar retornos.</t>
  </si>
  <si>
    <t>National Infrastructure Investment Fund (NIIF)</t>
  </si>
  <si>
    <t>India</t>
  </si>
  <si>
    <t>Infrastructure and Private Equity Investment | About Us | NIIF (niifindia.in)</t>
  </si>
  <si>
    <t>Invierten en infraestructura y en crecimiento equitativo. Quieren generar retornos y tienen 3 fondos. Uno es para proyectos de infraestructura, otro es para generar retornos invirtiendo en distintas firmas y el otro es para financiar emprendedores con potencial y acelerar su crecimiento.</t>
  </si>
  <si>
    <t>Indonesia Investment Authority</t>
  </si>
  <si>
    <t>Indonesia</t>
  </si>
  <si>
    <t>Indonesia Investment Authority (INA)</t>
  </si>
  <si>
    <t>Indonesia Investment Authority | Partner for Future Prosperity (ina.go.id)</t>
  </si>
  <si>
    <t xml:space="preserve">Buscan generar riqueza para generaciones futuras y contribuir a un desarrollo económico sustentable. </t>
  </si>
  <si>
    <t>National Development Fund of Iran</t>
  </si>
  <si>
    <t>Iran</t>
  </si>
  <si>
    <t>National Development Fund of Islamic Republic of Iran &gt; HOME (ndf.ir)</t>
  </si>
  <si>
    <t>Fondo de inversiones que busca retornos a largo plazo para diversificar la economía</t>
  </si>
  <si>
    <t>Oil Stabilization Fund of Iran</t>
  </si>
  <si>
    <t>National Development Fund of Islamic Republic of Iran &gt; About NDF &gt; History</t>
  </si>
  <si>
    <t>Actualmente solo mantiene el presupuesto fiscal balanceado. Antes también cumplía las funciones que ahora cumple el National Development Fund of Iran</t>
  </si>
  <si>
    <t>National Pensions Reserve Fund (NPRF)</t>
  </si>
  <si>
    <t>Ireland</t>
  </si>
  <si>
    <t>National Pensions Reserve Fund (NPRF) | NTMA</t>
  </si>
  <si>
    <t xml:space="preserve">Buscaba cubrir lo máximo posible el sistema de pensiones de Irlanda, pero fue disuelto el 2014 y pasó a ser el ISIF. El estado de Irlanda le daba recursos todos los años y tenía un horizonte de largo plazo. Para la crisis financiera se usaron recursos para recapitalizar bancos. </t>
  </si>
  <si>
    <t>NPRF-Annual-Report-2013.pdf (ntma.ie)</t>
  </si>
  <si>
    <t>Ireland Strategic Investment Fund</t>
  </si>
  <si>
    <t>About | ISIF</t>
  </si>
  <si>
    <t>Fondo que invierte para apoyar la actividad económica y el empleo en Irlanda. Invierte con criterios comerciales que ayuda proyectos innovadores. Reemplazó al NPRF WK 19|4</t>
  </si>
  <si>
    <t>Israeli Citizens Fund</t>
  </si>
  <si>
    <t>Israel</t>
  </si>
  <si>
    <t>Annual Report 2022 The Citizens of Israel Fund (www.gov.il)</t>
  </si>
  <si>
    <t xml:space="preserve">Fondo para promover justicia intergeneracional de las rentas del petróleto y el gas. Las transferencias al gobierno son con reglas ya fijadas, proporcionales a los activos del fondo y al retorno promedio de la última década. </t>
  </si>
  <si>
    <t>CDP Equity</t>
  </si>
  <si>
    <t>Italy</t>
  </si>
  <si>
    <t>Invierte en el largo plazo y en sectores estratégicos. Promueve inversiones innovadoras en tecnología y en infraestructura para que el país crezca.</t>
  </si>
  <si>
    <t>Japan Investment Corporation</t>
  </si>
  <si>
    <t>Japan</t>
  </si>
  <si>
    <t>Philosophy｜JIC JAPAN INVESTMENT CORPORATION (j-ic.co.jp)</t>
  </si>
  <si>
    <t xml:space="preserve">Busca generr un círculo virtuoso de capital de riesgo para las next-generation industries de Japón. Es un fondo que invierte en firmas que creannuevos mercados e industrias. </t>
  </si>
  <si>
    <t>Kazakhstan National Fund</t>
  </si>
  <si>
    <t>Kazakhstan</t>
  </si>
  <si>
    <t>National Oil Fund</t>
  </si>
  <si>
    <t>Kazakhstan National Fund Definition (investopedia.com)</t>
  </si>
  <si>
    <t>Fondo de estabilización para disminuir el impacto de la volatilidad de los precios del gas y petróleo. No tiene página oficial según el link que encontré.</t>
  </si>
  <si>
    <t>COVID-19 Active Response and Expenditure Support Program: National Fund of the Republic of Kazakhstan (adb.org)</t>
  </si>
  <si>
    <t>Samruk-Kazyna</t>
  </si>
  <si>
    <t>About the Fund — АО «Самрук-Қазына» (sk.kz)</t>
  </si>
  <si>
    <t xml:space="preserve">Busca asegurar la sostenibilidad en el largo plazo para generaciones futuras y aumentar la riqueza del país. </t>
  </si>
  <si>
    <t>National Investment Corporation of the National Bank of Kazakhstan JSC</t>
  </si>
  <si>
    <t>nicnbk</t>
  </si>
  <si>
    <t>Busca entregar retornos en el largo plazo y realizar inversiones estratégicas en el sector tecnológico. Además diversifica las reservas del país.</t>
  </si>
  <si>
    <t>Kiribati Revenue Equalization Reserve Fund</t>
  </si>
  <si>
    <t>Kiribati</t>
  </si>
  <si>
    <t>Revenue Equalization Reserve Fund</t>
  </si>
  <si>
    <t>Revenue Equalization Reserve Fund Definition (investopedia.com)</t>
  </si>
  <si>
    <t>Fondo que acumula riquezas del fosfato. Se ha usado para estabilizar presupuesto fiscal (link no oficial pero hay links del IMF)</t>
  </si>
  <si>
    <t>Kiribati: 2011 Article IV Consultation-Staff Report, Informational Annexes, Debt Sustainability Analysis, Public Information Notice on the Executive Board Discussion, and Statement by the Executive Director for Kiribati (imf.org)</t>
  </si>
  <si>
    <t>Ver punto 14, página 10.</t>
  </si>
  <si>
    <t>Sovereign Fund of the Republic of Kosovo</t>
  </si>
  <si>
    <t>Kosovo</t>
  </si>
  <si>
    <t>KOS</t>
  </si>
  <si>
    <t>Projektligj-per-Fondin-Sovran-te-Republikes-se-Kosoves.pdf (rks-gov.net)</t>
  </si>
  <si>
    <t>Utiliza los activos públicos para generar retornos en el largo plazo, diversificar la economía, aumentar las habilidades alborales y tecnológicas del país, aumentar la competitividad y representar los intereses financieros del país.</t>
  </si>
  <si>
    <t>Kuwait Investment Authority</t>
  </si>
  <si>
    <t>Kuwait</t>
  </si>
  <si>
    <t>Kuwait Investment Authority (kia.gov.kw)</t>
  </si>
  <si>
    <t>Busca un retorno a largo plazo sobre las reservas financieras alternativas a las reservas de petróleo, pensando en las generaciones futuras. Diversifican inversiones.</t>
  </si>
  <si>
    <t>Libyan Investment Authority</t>
  </si>
  <si>
    <t>Libya</t>
  </si>
  <si>
    <t>Our Goal - Libyan Investment Authority (lia.ly)</t>
  </si>
  <si>
    <t>Busca administrar la riqueza del país para futuras generaciones, contribuir al desarrollo sostenible y diversificar fuentes de ingreso. También estabiliza el presupuesto fiscal ante volatilidades del petróleo.</t>
  </si>
  <si>
    <t>si bien se creo en el contexto del covid, no parece ser de estabilizacion sino de recuperacion, no creo q sea lo mismo</t>
  </si>
  <si>
    <t>Luxembourg Intergenerational Sovereign Fund</t>
  </si>
  <si>
    <t>Luxembourg</t>
  </si>
  <si>
    <t>Fonds souverain intergénérationnel du Luxembourg - Ministère des Finances // Le gouvernement luxembourgeois</t>
  </si>
  <si>
    <t>Fondo para ahorrar para futuras generaciones. El 2035 se debería poder pasar el 50% de sus ingresos al estado (o cuando tenga 1000 millones acumulados)</t>
  </si>
  <si>
    <t>Khazanah Nasional</t>
  </si>
  <si>
    <t>Malaysia</t>
  </si>
  <si>
    <t>Khazanah Nasional BHD</t>
  </si>
  <si>
    <t>About Us | Khazanah Nasional Berhad |</t>
  </si>
  <si>
    <t>Buscan retornos de largo plazo e invierten en areas de crecimiento nuevas, fortaleciendo la competitividad económica del país y contribuyendo a resultados socioeconómicos prioritarios.</t>
  </si>
  <si>
    <t>Malta Government Investments</t>
  </si>
  <si>
    <t>Malta</t>
  </si>
  <si>
    <t>About - MGI - Malta Government Investments (mgis.com.mt)</t>
  </si>
  <si>
    <t>Buscan retornos a largo plazo y fomentar el desarrollo económico del país</t>
  </si>
  <si>
    <t>National Development and Social Fund (Malta)</t>
  </si>
  <si>
    <t>National Development and Social Fund</t>
  </si>
  <si>
    <t>The Mission (ndsf.com.mt)</t>
  </si>
  <si>
    <t>Fondo que busca promover y ayudar a grandes proyectos e iniciativas de importancia nacional e interés público que busquen desarrollar y mejorar la economía, servicios públicos y bienestar general de generaciones presentes y futuras</t>
  </si>
  <si>
    <t>Marhsall Islands Trust Fund</t>
  </si>
  <si>
    <t>Marshall Islands (the)</t>
  </si>
  <si>
    <t>Oceania</t>
  </si>
  <si>
    <t>Micronesia and Marshall Islands Trust Funds</t>
  </si>
  <si>
    <t>RMI (rmicfatf.com)</t>
  </si>
  <si>
    <t>Son fondos para contribuir al avance económico y en la autosuficiencia de Marshall Islands, proveyendo una fuente anual de Ingresos. Es un trato junto con EEUU y, al parecer, con Taiwán.</t>
  </si>
  <si>
    <t>Al parecer son fondos para disminuir la influencia de China en la región (https://www.reuters.com/world/asia-pacific/us-signs-agreement-continue-micronesia-assistance-under-strategic-pact-2023-05-23/#:~:text=WASHINGTON%2C%20May%2023%20(Reuters),against%20China%20in%20the%20Pacific.)</t>
  </si>
  <si>
    <t>Fonds National des Revenus des Hydrocarbures (FNRH)</t>
  </si>
  <si>
    <t>Mauritania</t>
  </si>
  <si>
    <t>Fonds National des Revenus des Hydrocarbures</t>
  </si>
  <si>
    <t>afficher.php (tresor.mr)</t>
  </si>
  <si>
    <t>Fondo destinado a recaudar todos los ingresos del Estado por la operación de recursos de hidrocarburos nacionales. Desempeña un papel estabilizador de la política fiscal, que permite retiros limitados y está indexado, entere otros, sobre el déficir presupuestario</t>
  </si>
  <si>
    <t>Mauritius Investment Corporation</t>
  </si>
  <si>
    <t>Mauritius</t>
  </si>
  <si>
    <t>https://www.mic-ltd.mu/</t>
  </si>
  <si>
    <t>Es un acelerador estratégico. Busca asegurar la creación de riqueza de la nación</t>
  </si>
  <si>
    <t>Fondo de Estabilización de los Ingresos Presupuestarios</t>
  </si>
  <si>
    <t>Mexico</t>
  </si>
  <si>
    <t>https://cefp.gob.mx/publicaciones/nota/2020/notacefp0092020.pdf</t>
  </si>
  <si>
    <t>El FEIP es un instrumento de previsión y estabilización fiscal del estado mexicano que opera como un mecanismo contracíclico.</t>
  </si>
  <si>
    <t>Fondo Mexicano del Petroleo para la Estabilización y el Desarrollo</t>
  </si>
  <si>
    <t>https://www.fmped.org.mx/index.html</t>
  </si>
  <si>
    <t>Creado para garantizar el manejo responsable y transparente de los ingresos ptroleros, recibe los recursos de empresas encargadas de la exploración y extracción de hidrocarburos para luego ser transferidos al Estado en los plazos y cantidades determinadas por otras instituciones públicas (Hacienda y Crédito Público). Su finalidad es brindar seguridad y mayor estabilidad en las finanzas públicas.</t>
  </si>
  <si>
    <t>Micronesia Trust Fund</t>
  </si>
  <si>
    <t>Micronesia</t>
  </si>
  <si>
    <t>FSM (fsmcfatf.com)</t>
  </si>
  <si>
    <t>Monaco Constitutional Reserve Fund</t>
  </si>
  <si>
    <t>Monaco</t>
  </si>
  <si>
    <t>Fonds de Réserve constitutionnel (FRC)</t>
  </si>
  <si>
    <t>No encuentro nada oficial aún, pero según Global SWF acumula superávits para confrontar situaciuones económicas negativas.</t>
  </si>
  <si>
    <t>FRC (Monaco) - Fund Profile - Global SWF</t>
  </si>
  <si>
    <t>Fiscal Stability Fund</t>
  </si>
  <si>
    <t>Mongolia</t>
  </si>
  <si>
    <t>Fiscal Stabilisation Fund</t>
  </si>
  <si>
    <t>No encuentro link oficial, pero al parecer es un fondo que busca estabilizar el presupuesto fiscal ante fluctuaciones de los precios d e los minerales de Mongolia</t>
  </si>
  <si>
    <t>Economic Research Institute (eri.mn)</t>
  </si>
  <si>
    <t>Mongolia Future Heritage Fund</t>
  </si>
  <si>
    <t>Future Heritage Fund</t>
  </si>
  <si>
    <t>No encuentro el link oficial, pero al parecer deja ahí los recursos de la extracción de minerales y busca generar retornos a largo plazo.</t>
  </si>
  <si>
    <t>Mohammed VI Investment Fund Morocco</t>
  </si>
  <si>
    <t>Morocco</t>
  </si>
  <si>
    <t>Ithmar Capital</t>
  </si>
  <si>
    <t>Note-Pres-Fond-Med-VI-Inv-Loi-76-20-Fr.pdf (finances.gov.ma)</t>
  </si>
  <si>
    <t>Fondo que se creó para combatir efectos del COVID. Apoya empresas para reactivar la economía (notas estaban en francés así que tuve que recurrir a traductores, se me pudo haber pasado algo)</t>
  </si>
  <si>
    <t>BO-Fond-Med-VI-Inv-Loi-76-20-FR.pdf (finances.gov.ma)</t>
  </si>
  <si>
    <t>Minerals Development Fund of Namibia (Namibia MDF)</t>
  </si>
  <si>
    <t>Namibia</t>
  </si>
  <si>
    <t>Minerals Development Fund of Namibia Act 19 of 1996 (lac.org.na)</t>
  </si>
  <si>
    <t>Fondo para cuidar, diversificar y ayudar al sector minero de Namibia. Mejoran los datos geológicos y expanden los programas y lugares de entrenamiento.</t>
  </si>
  <si>
    <t>Ministry of Mines and Energy - Minerals Development Fund (gov.na)</t>
  </si>
  <si>
    <t>Welwitschia Fund</t>
  </si>
  <si>
    <t>Bank of Namibia - Welwitschia Fund (bon.com.na)</t>
  </si>
  <si>
    <t>Busca mejorar la resiliencia nacional para aislar shocks cíclicos y promover la propseridad integeneracional para distribuir los recursos de los recursos naturales en el tiempo</t>
  </si>
  <si>
    <t>Intergenerational Trust Fund for the People of the Republic of Nauru</t>
  </si>
  <si>
    <t>Nauru</t>
  </si>
  <si>
    <t>Intergenerational trust fund - Department of Finance - Nauru (naurufinance.info)</t>
  </si>
  <si>
    <t>Fondo para generar retornos en el largo plazo y tener fuentes de financiamiento en el futuro (post 2033 inicialmente)</t>
  </si>
  <si>
    <t>Microsoft Word - FINAL 2022 Annual Report 15 December 2022.docx (naurufinance.info)</t>
  </si>
  <si>
    <t>New Zealand Superannuation Fund</t>
  </si>
  <si>
    <t>New Zealand</t>
  </si>
  <si>
    <t>NZ Super Fund - About the Guardians</t>
  </si>
  <si>
    <t>Fondo para pagar pensiones pensado en el largo plazo. Además existe otro fondo menor que apoya empresas ynecesitan capital para seguir avanzando.</t>
  </si>
  <si>
    <t>Nigeria Sovereign Investment Authority</t>
  </si>
  <si>
    <t>Nigeria</t>
  </si>
  <si>
    <t>About Us - NSIA</t>
  </si>
  <si>
    <t>Fondo que usa los recursos del petróleo para ahorrar en el largo plazo, mejorar el desarrollo de la infraestructura nigeriana y proveer estabilización en períodos de estrés económico.</t>
  </si>
  <si>
    <t>Norway Government Pension Fund Global</t>
  </si>
  <si>
    <t>Norway</t>
  </si>
  <si>
    <t>Government Pension Fund Global</t>
  </si>
  <si>
    <t>About the fund | Norges Bank Investment Management (nbim.no)</t>
  </si>
  <si>
    <t>Creado para defenderse defluctuaciones del precio del petróleo. Además sirve para ahorrar en el largo plazo.</t>
  </si>
  <si>
    <t>Oman Investment Authority</t>
  </si>
  <si>
    <t>Oman</t>
  </si>
  <si>
    <t>Oman Investment Authority (oia.gov.om)</t>
  </si>
  <si>
    <t>Fondo que ayuda a financiar el presupuesto del estado, maneja los activos del sultanato, genera reservas financieras e implementa políticas del gobierno para avanzar en sectores económicos elegidos. En su informe anual sale que los superavits presupuestarios se van al fondo pero que también contribuye al presupuesto para lograr sostenibilidad financiera. Parece estabilizar el presupuesto.</t>
  </si>
  <si>
    <t>Oman Future Fund</t>
  </si>
  <si>
    <t>Oman Future Fund: A key to financing big projects - Oman Observer</t>
  </si>
  <si>
    <t>Fondo para financiar proyectos en el sector privado, atraer inversiones, proveer trabajosy apoyar pymes. En general, es para promover la inversión y la economía (links no oficiales).</t>
  </si>
  <si>
    <t>Omani officials welcome launch of 'Oman Future Fund' (zawya.com)</t>
  </si>
  <si>
    <t>Palestine Investment Fund</t>
  </si>
  <si>
    <t>Palestinian Authority</t>
  </si>
  <si>
    <t>At a Glance (pif.ps)</t>
  </si>
  <si>
    <t>Busca maximizar el impacto invirtiendo en proyectos estratégicos y desarrollando sectores vitales.. Se enfoca en energía, agricultura, salud, infraestructura, bienes raices y emprendimiento.</t>
  </si>
  <si>
    <t>Fondo de Ahorro de Panama</t>
  </si>
  <si>
    <t>Panama</t>
  </si>
  <si>
    <t>Fondo de Ahorro de Panamá</t>
  </si>
  <si>
    <t>Nuestra Historia — Fondo de Ahorro de Panama (fondoahorropanama.com)</t>
  </si>
  <si>
    <t>Creado para proveer un mecanismo de estabilización para casos de estado de emergenccia y desaceleración económica. Además promueve inversiones públicas de desasrrollo de país.</t>
  </si>
  <si>
    <t>Fondo de Estabilización Fiscal</t>
  </si>
  <si>
    <t>Peru</t>
  </si>
  <si>
    <t>Fondo de Estabilización Fiscal (FEF)</t>
  </si>
  <si>
    <t>moneda-174-07.pdf (bcrp.gob.pe)</t>
  </si>
  <si>
    <t>Su objetivo es acumular recursos durante las épicas de auge económico con la finalidad de poder utilizarlos en épocas de recesión o contingencias (link no oficial)</t>
  </si>
  <si>
    <t>Perú tiene Fondo de Estabilización Fiscal capaz de afrontar contingencia externa e interna (congreso.gob.pe)</t>
  </si>
  <si>
    <t>Polski Fundusz Rozwoju S.A. (Polish Development Fund)</t>
  </si>
  <si>
    <t>Poland</t>
  </si>
  <si>
    <t>Polish Development Fund Group - Investments for Poland (pfr.pl)</t>
  </si>
  <si>
    <t>Es un grupo de fondos que dan apoyo financiero y consejo a emprendedores, gobiernos locales e individuos invirtiendo en el desarrollo sustentable social y económico del país. Coordinan los disitntos programas de desarrollo del país.</t>
  </si>
  <si>
    <t>Qatar Investment Authority</t>
  </si>
  <si>
    <t>Qatar</t>
  </si>
  <si>
    <t>About (qia.qa)</t>
  </si>
  <si>
    <t>Fondo que crea valor a largo plazo para el Estado y para futuras generaciones, apoya el desarrollo de la economía y estabiliza la economía local según sea necesario.</t>
  </si>
  <si>
    <t>National Welfare Fund</t>
  </si>
  <si>
    <t>Russian Federation</t>
  </si>
  <si>
    <t xml:space="preserve">National Wealth Fund </t>
  </si>
  <si>
    <t>Минфин России (Архив) :: National Wealth Fund (minfin.gov.ru)</t>
  </si>
  <si>
    <t>Fondo que ayuda a financiar pensiones. Sin embargo desde el 2914 el gobierno puede sacar dinero  para pagar deudas, reducir préstamos y balancear el presupuesto.</t>
  </si>
  <si>
    <t>Russian Direct Investment Fund</t>
  </si>
  <si>
    <t>RDIF attracts direct and venture investments into the Russian Federation economy, manages mutual funds.</t>
  </si>
  <si>
    <t>Invierten directamente en compañías nacionales líderes y prometedoras. Promueven el desarrollo de empresas rusas.</t>
  </si>
  <si>
    <t>Agaciro Development Fund Corporate Trust Limited (Agaciro)</t>
  </si>
  <si>
    <t>Rwanda</t>
  </si>
  <si>
    <t>Agaciro Development Fund</t>
  </si>
  <si>
    <t>Agaciro</t>
  </si>
  <si>
    <t>Fondo que busca maximizar el retorno en el largo plazo para disminuir la debt burden y asegurar un mejor país para generaciones futuras. En la sección de historia de la página del fondo sale que también buscan generar ahorros para mantener la estbilidad en tiempos de shocks a la economía.</t>
  </si>
  <si>
    <t>Public Investment Fund</t>
  </si>
  <si>
    <t>Saudi Arabia</t>
  </si>
  <si>
    <t>PIF - Who We Are | Public Investment Fund</t>
  </si>
  <si>
    <t>Promueve el crecimiento de nuevos sectores, compañías y trabajos. Buscan el desarrollo y la diversificación de la economía Saudí. No se habla de estabilización ni de ingresos para el fisco nunca.</t>
  </si>
  <si>
    <t>Senegal FONSIS</t>
  </si>
  <si>
    <t>Senegal</t>
  </si>
  <si>
    <t>Fonds Souverain d’Investissements Stratégiques (FONSIS)</t>
  </si>
  <si>
    <t>Accueil | FONSIS - Fonds Souverain d'Investissements Stratégiques du Sénégal</t>
  </si>
  <si>
    <t xml:space="preserve">Buscan crear campeones nacionales (página en francés, eso dice el traductor) y sustituir la producción nacional por importaciones para consolidar la soberanía nacional sobre sectores clave. </t>
  </si>
  <si>
    <t>Temasek Holdings</t>
  </si>
  <si>
    <t>Singapore</t>
  </si>
  <si>
    <t>Our Purpose, Charter &amp; Values - Temasek</t>
  </si>
  <si>
    <t>Buscan generar valor en el largo plazo y mejorar el bienestar. Invierten en una variedad de industrias en busca de retornos</t>
  </si>
  <si>
    <t>GIC Private Limited</t>
  </si>
  <si>
    <t>GIC Pte. Limited</t>
  </si>
  <si>
    <t>Who We Are | GIC</t>
  </si>
  <si>
    <t>Es un buffer para los downturns y aumenta la confianza de los inversionistas, mejorando la resiliencia al dólar. Además, fenera ingresos extra para el país.</t>
  </si>
  <si>
    <t>Slovenian Sovereign Holding</t>
  </si>
  <si>
    <t>Slovenia</t>
  </si>
  <si>
    <t>SDH - Purpose, Vision, Values</t>
  </si>
  <si>
    <t>Fondo que busca crear valor y generar retornos en el largo plazo.</t>
  </si>
  <si>
    <t>Korea Investment Corporation</t>
  </si>
  <si>
    <t>South Korea</t>
  </si>
  <si>
    <t>Background | Korea Investment Corporation (kic.kr)</t>
  </si>
  <si>
    <t>Genera retornos a largo plazo, apoya la inversión de excesos de reservas en el extranjero e impulsa la copetitividad de la industria financiera local.</t>
  </si>
  <si>
    <t>Sociedad Estatal de Participaciones Industriales</t>
  </si>
  <si>
    <t>Spain</t>
  </si>
  <si>
    <t>Cofides</t>
  </si>
  <si>
    <t>Objetivos | SEPI</t>
  </si>
  <si>
    <t>Busca obtener rentabilidad invirtiendo en distintas sociedades.</t>
  </si>
  <si>
    <t>Savings and Stability Fund Suriname (SSF)</t>
  </si>
  <si>
    <t>Suriname</t>
  </si>
  <si>
    <t>Savings and Stabilisation Fund</t>
  </si>
  <si>
    <t>DaniellaWondelStrategicAssetAllocationforasavingsandstabilizationfundTheCaseofSurinameDW_Paper14-10-2017.pdf (cert-net.com)</t>
  </si>
  <si>
    <t>No encuentro información oficial. El link es de un paper donde en algún punto dice que los ingresos del Estado de Suriname son volátiles por el precio de los commodities, y que este fondo se creó para mantener estabilidad a las operaciones del gobierno.</t>
  </si>
  <si>
    <t>Taiwan National Development Fund</t>
  </si>
  <si>
    <t>Taiwan (Province of China)</t>
  </si>
  <si>
    <t>National Development Council-National Development Fund (ndc.gov.tw)</t>
  </si>
  <si>
    <t>Tiene tres ramas. La primera busca impulsar el angel investment en Taiwan. La segunda busca estimular inversiones en el sector privado, crear trabajos y revitalizar la economía. La tercera es buscar motores para el crecimiento de Taiwán, funcionando como una firma de venture capital.</t>
  </si>
  <si>
    <t>National Financial Stabilization Fund</t>
  </si>
  <si>
    <t>Statute for the Establishment and Administration of the National Financial Stabilization Fund-Ministry of Finance, R.O.C (mof.gov.tw)</t>
  </si>
  <si>
    <t>Es un fondo para estabilizar los emrcados financieros, no el presupuesto fiscal. De todos modos las ganancias y pérdidas van hacia el gobierno. Revisar si cuenta como estabilizador o no.</t>
  </si>
  <si>
    <t>Timor-Leste Petroleum Fund</t>
  </si>
  <si>
    <t>Timor-Leste</t>
  </si>
  <si>
    <t>Petroleum Fund of Timor–Leste</t>
  </si>
  <si>
    <t>Timor-Leste Petroleum Fund | International Forum of Sovereign Wealth Funds (ifswf.org)</t>
  </si>
  <si>
    <t>Fondo para administrar la riqueza del petróleo. Entre otros, suaviza el gasto en períodos de altos ingresos petroleros y protege ante volatilidad de los ingresos del petróleo (link no oficial)</t>
  </si>
  <si>
    <t>Heritage and Stabilization Fund</t>
  </si>
  <si>
    <t>Trinidad and Tobago</t>
  </si>
  <si>
    <t>North America</t>
  </si>
  <si>
    <t>HSF-AR-2022.pdf (finance.gov.tt)</t>
  </si>
  <si>
    <t>Ahorra e invierte ingresos petroleros para amortiguar el impactode caídas de los ingresos en el gasto público, genera una fuente alternativa de ingresos y promueve un patrimonio para generaciones futuras.</t>
  </si>
  <si>
    <t>Turkey Wealth Fund</t>
  </si>
  <si>
    <t>Turkey</t>
  </si>
  <si>
    <t>TWF | Turkey Wealth Fund | Our Mandate (tvf.com.tr)</t>
  </si>
  <si>
    <t>Busca generar valor y proveer financiamiento a inversiones estratégicas del país. Ionvierte en proyectos visionarios de alto valor agregado en industrias altamente tecnológicas que reducirán el déficit de cuenta corriente e incrementarán el ahorro del país.</t>
  </si>
  <si>
    <t>Turkmenistan Stabilization Fund</t>
  </si>
  <si>
    <t>Turkmenistan</t>
  </si>
  <si>
    <t>Turkmenistan Stabilization Fund Profile: Commitments &amp; Mandates | PitchBook</t>
  </si>
  <si>
    <t>Fondo creado para ser menos vulnerables a shocks externos. También realiza inversiones a gran escala en el país (links no oficiales). Es poco transaprente el fondo según EEUU, así que no hay mucho detalle más</t>
  </si>
  <si>
    <t>Turkmenistan - United States Department of State</t>
  </si>
  <si>
    <t>Stabilization Fund of Turkmenistan will allocate funds for the development of horse breeding | Society (turkmenportal.com)</t>
  </si>
  <si>
    <t>Tuvalu Trust Fund</t>
  </si>
  <si>
    <t>Tuvalu</t>
  </si>
  <si>
    <t>Our FAQs (tuvalutrustfund.tv)</t>
  </si>
  <si>
    <t>Se creó para ayudar al Estado de Tuvalu a generar una mayor autonomía en el manejo de su presupuesto, para mejorar la infraestructura y servicios del país, para mejorar la capacidad del gobierno de recibir y utilizar capital de desarrollo extranjero, para ayudar a mantener ingraestructura y servicios en el largo plazo y para desarrollar la economía de Tuvalu. Es un fondo que se creó junto con Australia, Nueva Zelanda y UK, pero este último se salió.</t>
  </si>
  <si>
    <t>Abu Dhabi Investment Authority</t>
  </si>
  <si>
    <t>UAE</t>
  </si>
  <si>
    <t>ADIA does not officially disclose its total AUM.</t>
  </si>
  <si>
    <t>Invests Abu Dhabi's surplus oil revenues across global markets.</t>
  </si>
  <si>
    <t>Mubadala Investment Company</t>
  </si>
  <si>
    <t>https://www.mubadala.com/en/investors/overview</t>
  </si>
  <si>
    <t>Established by a decree from the Government of Abu Dhabi to serve as a principal strategic investment vehicle to help diversify the emirate's economy.</t>
  </si>
  <si>
    <t>Fujairah Holding</t>
  </si>
  <si>
    <t>https://www.fujairahholding.ae/home</t>
  </si>
  <si>
    <t>Our objective is to attract strategic investors to Emirate of Fujairah and contribute to its growth by accelerating industry operations across a variety of sectors.</t>
  </si>
  <si>
    <t>Investment Corporation of Dubai</t>
  </si>
  <si>
    <t>https://icd.gov.ae/group-performance/#financial_statements</t>
  </si>
  <si>
    <t>The Investment Corporation of Dubai (ICD) is the principal investment arm of the Government of Dubai.</t>
  </si>
  <si>
    <t>Emirates Investment Authority</t>
  </si>
  <si>
    <t>Home - EIA</t>
  </si>
  <si>
    <t>Invierte estratégicamente los activos federales de UAE para crear valor a largo plazo y contribuir a la propesperidad del país.</t>
  </si>
  <si>
    <t>Sharjah Asset Management</t>
  </si>
  <si>
    <t>https://www.sam.ae/about</t>
  </si>
  <si>
    <t>Official investment arm of the Government of Sharjah. It was established by an Emiri Decree in 2008 with the primary mission of managing and growing the asset portfolio of the Sharjah government to promote economic development and diversification for the emirate.</t>
  </si>
  <si>
    <t>Abu Dhabi Developmental Holding Company (ADQ)</t>
  </si>
  <si>
    <t>ADQ does not officially publish a detailed time series of its Assets Under Management (AUM)</t>
  </si>
  <si>
    <t>Manages a broad portfolio of Abu Dhabi's major state-owned enterprises in key sectors like transportation, energy, and healthcare.</t>
  </si>
  <si>
    <t>Petroleum Revenue Investment Reserve (Uganda Petroleum Fund)</t>
  </si>
  <si>
    <t>Uganda</t>
  </si>
  <si>
    <t>Petroleum Investment Fund</t>
  </si>
  <si>
    <t>Petroleum-Fund-Semi-Annual-Report-on-Inflows-Outflows-and-Assets-of-the-Fund-for-the-Period-ended-31st-December-2021.pdf (parliamentwatch.ug)</t>
  </si>
  <si>
    <t>Fondo donde se dejan los ingresos del petróleo. En 2021 transfirieron muchos recursos al fisco</t>
  </si>
  <si>
    <t>ANNUAL AUDITED FINANCIAL STATEMENTS OF THE PETROLEUM FUND FOR THE YEAR ENDED 30 JUNE 2020.pdf (finance.go.ug)</t>
  </si>
  <si>
    <t>Fund for Reconstruction and Development of Uzbekistan</t>
  </si>
  <si>
    <t>Uzbekistan</t>
  </si>
  <si>
    <t>Financial-Statement_FRD_NAS-2017_ENG_KPMG.pdf (ufrd.uz)</t>
  </si>
  <si>
    <t>Busca acumular activos para el Estado y financiar proyectos que sean clave en el desarrollo económico, cambios estructurales y modernización de la producción.</t>
  </si>
  <si>
    <t>FIEM - Macroeconomic Stabilization Fund</t>
  </si>
  <si>
    <t>Venezuela (Bolivarian Republic of)</t>
  </si>
  <si>
    <t>https://www.monedasdevenezuela.com/economia/dolares-ahorrados-fondo-estabilizacion-macroeconomica/</t>
  </si>
  <si>
    <t>Parece ser el mismo que el Fondo para la Estabilización Macroeconómica. De facto, desapareció en 2011.</t>
  </si>
  <si>
    <t>State Capital Investment Corporation</t>
  </si>
  <si>
    <t>Vietnam</t>
  </si>
  <si>
    <t>State Capital Investment Corp</t>
  </si>
  <si>
    <t>ABOUT US (scic.vn)</t>
  </si>
  <si>
    <t>Busca ser un inversor estratégico del Estado y generar retornos. Representan los intereses del Estado en las inversiones, hacen inversión directa, levantan capitaly proveen consultorías financieras, entre otras actividades.</t>
  </si>
  <si>
    <t>Sovereign Wealth Fund of Zimbabwe</t>
  </si>
  <si>
    <t>Zimbabwe</t>
  </si>
  <si>
    <t>Sovereign Wealth Fund of Zimbabwe Act [Chapter 22-20]_0.pdf (rbz.co.zw)</t>
  </si>
  <si>
    <t>Realiza inversiones para el beneficio de futuras generaciones, para apoyar los objetivos de desarrollo del Estado, para apoyar en la estabilización financiera, especialmente por las fluctuaciones de precios de minerales, y para contribuir a los ingresos de Zimbabwe.</t>
  </si>
  <si>
    <t>isocode</t>
  </si>
  <si>
    <t>currency</t>
  </si>
  <si>
    <t>liabilities</t>
  </si>
  <si>
    <t>aum</t>
  </si>
  <si>
    <t>DZA</t>
  </si>
  <si>
    <t>USD Billions</t>
  </si>
  <si>
    <t>AGO</t>
  </si>
  <si>
    <t>AUS</t>
  </si>
  <si>
    <t>AUT</t>
  </si>
  <si>
    <t>AZE</t>
  </si>
  <si>
    <t>BEL</t>
  </si>
  <si>
    <t>BRA</t>
  </si>
  <si>
    <t>CPV</t>
  </si>
  <si>
    <t>CHL</t>
  </si>
  <si>
    <t>CHN</t>
  </si>
  <si>
    <t>COL</t>
  </si>
  <si>
    <t>FRA</t>
  </si>
  <si>
    <t>FIN</t>
  </si>
  <si>
    <t>GEO</t>
  </si>
  <si>
    <t>DEU</t>
  </si>
  <si>
    <t>GRC</t>
  </si>
  <si>
    <t>GUY</t>
  </si>
  <si>
    <t>IRL</t>
  </si>
  <si>
    <t>ISR</t>
  </si>
  <si>
    <t>ITA</t>
  </si>
  <si>
    <t>JPN</t>
  </si>
  <si>
    <t>KAZ</t>
  </si>
  <si>
    <t>KOR</t>
  </si>
  <si>
    <t>LUX</t>
  </si>
  <si>
    <t>MYS</t>
  </si>
  <si>
    <t>MLT</t>
  </si>
  <si>
    <t>MHL</t>
  </si>
  <si>
    <t>MEX</t>
  </si>
  <si>
    <t>FSM</t>
  </si>
  <si>
    <t>MCO</t>
  </si>
  <si>
    <t>NOR</t>
  </si>
  <si>
    <t>NRU</t>
  </si>
  <si>
    <t>NZL</t>
  </si>
  <si>
    <t>NGA</t>
  </si>
  <si>
    <t>PAN</t>
  </si>
  <si>
    <t>PER</t>
  </si>
  <si>
    <t>POL</t>
  </si>
  <si>
    <t>RUS</t>
  </si>
  <si>
    <t>SAU</t>
  </si>
  <si>
    <t>SGP</t>
  </si>
  <si>
    <t>ESP</t>
  </si>
  <si>
    <t>TWN</t>
  </si>
  <si>
    <t>TLS</t>
  </si>
  <si>
    <t>TTO</t>
  </si>
  <si>
    <t>TUR</t>
  </si>
  <si>
    <t>ARE</t>
  </si>
  <si>
    <t>UZB</t>
  </si>
  <si>
    <t>Name of the reporting institution</t>
  </si>
  <si>
    <t>Institutional Link</t>
  </si>
  <si>
    <t xml:space="preserve">Document link </t>
  </si>
  <si>
    <t>Notes</t>
  </si>
  <si>
    <t>Date of last consultation</t>
  </si>
  <si>
    <t>Direction Générale de la Prévision et des Politiques</t>
  </si>
  <si>
    <t>https://dgpp.mf.gov.dz/finances-publiques/</t>
  </si>
  <si>
    <t>Downloaded Document</t>
  </si>
  <si>
    <t>09/20/2025</t>
  </si>
  <si>
    <t>https://fundosoberano.ao/en/</t>
  </si>
  <si>
    <t>https://issuu.com/fundosoberanoao/docs/fsdea_annual-report_pt_2013_b4854b10169289?utm_medium=referral&amp;utm_source=fundosoberano.ao</t>
  </si>
  <si>
    <t>https://issuu.com/fundosoberanoao/docs/fsdea_annual_report_pt_11_62d3d7684ef690?utm_medium=referral&amp;utm_source=fundosoberano.ao</t>
  </si>
  <si>
    <t>Values for this year were restated in the following year</t>
  </si>
  <si>
    <t>https://issuu.com/fundosoberanoao/docs/fsdea-relato_rio-anual-2015_1007201?utm_medium=referral&amp;utm_source=fundosoberano.ao</t>
  </si>
  <si>
    <t>https://issuu.com/fundosoberanoao/docs/relat_rio_e_contas_2016?utm_medium=referral&amp;utm_source=fundosoberano.ao</t>
  </si>
  <si>
    <t>https://issuu.com/fundosoberanoao/docs/demostra__es_financeiras_e_notas_2017</t>
  </si>
  <si>
    <t>https://issuu.com/fundosoberanoao/docs/relat_rio___contas_2019?utm_medium=referral&amp;utm_source=fundosoberano.ao</t>
  </si>
  <si>
    <t>https://issuu.com/fundosoberanoao/docs/relat_rio_contas_2020_assinado_com_pareceres?utm_medium=referral&amp;utm_source=fundosoberano.ao</t>
  </si>
  <si>
    <t>https://issuu.com/fundosoberanoao/docs/rc_fsdea_2021_16062022_final_publica_o_site-merge?utm_medium=referral&amp;utm_source=fundosoberano.ao</t>
  </si>
  <si>
    <t>https://fundosoberano.ao/en/viewer?u=https%3A%2F%2Ffundosoberano.ao%2Fpublicfiles%2Fdocuments%2FRC_2023_Final.pdf&amp;lp_u=https%3A%2F%2Ffundosoberano.ao%2Fen%2Freports%2Fannual-reports</t>
  </si>
  <si>
    <t>https://fundosoberano.ao/en/viewer?u=https%3A%2F%2Ffundosoberano.ao%2FPublicFiles%2FFiles%2F6%2FSubContent%2F1fd7afcc-5cde-4ef9-8f84-5bdc9f686f08.pdf&amp;lp_u=https%3A%2F%2Ffundosoberano.ao%2Fen%2Freports%2Fannual-reports</t>
  </si>
  <si>
    <t xml:space="preserve">Futurefund </t>
  </si>
  <si>
    <t>https://www.futurefund.gov.au/</t>
  </si>
  <si>
    <t>https://www.futurefund.gov.au/-/media/A177CB70DF89432789D6A8CF08A830EF.ashx</t>
  </si>
  <si>
    <t>09/30/2025</t>
  </si>
  <si>
    <t>https://www.futurefund.gov.au/-/media/0E0A2DBFF3C449A98CCFD57E41F0CCBC.ashx</t>
  </si>
  <si>
    <t>https://www.futurefund.gov.au/-/media/0157BE4A07D34753B5B44FBFDBB3DE01.ashx</t>
  </si>
  <si>
    <t>https://www.futurefund.gov.au/-/media/A5E50B2302ED442B8DC14AD3A7A01AB1.ashx</t>
  </si>
  <si>
    <t>https://www.futurefund.gov.au/-/media/03AC87A088294DAF906FCEF88EBF363D.ashx</t>
  </si>
  <si>
    <t>https://www.futurefund.gov.au/-/media/D473D1139FEE42179E06E010BA844092.ashx</t>
  </si>
  <si>
    <t>https://www.futurefund.gov.au/-/media/528E006142F54900A9EF7F5D7E8EFCB6.ashx</t>
  </si>
  <si>
    <t>https://www.futurefund.gov.au/-/media/CC54C0443FAA49F5923E8260695C4A33.ashx</t>
  </si>
  <si>
    <t>https://www.futurefund.gov.au/-/media/39EF8BFD57834F68870124EC6D5FD99C.ashx</t>
  </si>
  <si>
    <t>https://www.futurefund.gov.au/-/media/2D21A34CC04243399C97D7619115DA51.ashx</t>
  </si>
  <si>
    <t>https://www.futurefund.gov.au/-/media/351EEE84BF8A45C5A746BB9D1369CA6D.ashx</t>
  </si>
  <si>
    <t>https://www.futurefund.gov.au/en/About-us/-/media/4932D107CAC9468C995E8185B0248B4D.ashx</t>
  </si>
  <si>
    <t>https://www.futurefund.gov.au/en/About-us/-/media/F392074E5C624A19A0ACA3809B6AE366.ashx</t>
  </si>
  <si>
    <t>https://www.futurefund.gov.au/en/About-us/-/media/FBC64B0ACB28412F9BE5073F3DDB5FD7.ashx</t>
  </si>
  <si>
    <t>ÖBAG</t>
  </si>
  <si>
    <t>Report Downloads – OBAG</t>
  </si>
  <si>
    <t>https://oebag.gv.at/en/berichte-downloads/#</t>
  </si>
  <si>
    <t>https://oebag.gv.at/wp-content/uploads/2025/08/OBAG_Geschaeftsbericht-2021.pdf</t>
  </si>
  <si>
    <t>https://oebag.gv.at/wp-content/uploads/2025/08/Bericht_ueber_Geschaeft_und-Nachhaltigkeit_2022-1.pdf</t>
  </si>
  <si>
    <t>https://oebag.gv.at/wp-content/uploads/2025/09/OEBAG-Annual-Report-2023.pdf</t>
  </si>
  <si>
    <t>https://oebag.gv.at/wp-content/uploads/2025/08/OEBAG_GB_BERICHT_2024.pdf</t>
  </si>
  <si>
    <t>State oil fund of the Republic of Azerbaijan</t>
  </si>
  <si>
    <t>https://www.oilfund.az/en/report-and-statistics/report-archive</t>
  </si>
  <si>
    <t>oilfund.az/report-and-statistics/get-download-file/flip/8_2002_en.pdf</t>
  </si>
  <si>
    <t>Liabilities were zero,  total assets were equal to net assets</t>
  </si>
  <si>
    <t>From 2001 to 2004, figures were reported in the old Azerbaijani manat (AZM). The conversion rate is 5,000 AZM = 1 AZN.</t>
  </si>
  <si>
    <t>oilfund.az/report-and-statistics/get-download-file/flip/8_2003_en.pdf</t>
  </si>
  <si>
    <t>oilfund.az/report-and-statistics/get-download-file/flip/8_2004_en.pdf</t>
  </si>
  <si>
    <t>https://www.oilfund.az/report-and-statistics/get-download-file/flip/8_2005_en.pdf</t>
  </si>
  <si>
    <t>https://www.oilfund.az/report-and-statistics/get-download-file/flip/8_2006_en.pdf</t>
  </si>
  <si>
    <t>https://www.oilfund.az/report-and-statistics/get-download-file/flip/8_2007_en.pdf</t>
  </si>
  <si>
    <t>https://www.oilfund.az/report-and-statistics/get-download-file/flip/8_2008_en.pdf</t>
  </si>
  <si>
    <t>https://www.oilfund.az/report-and-statistics/get-download-file/flip/8_2009_en.pdf</t>
  </si>
  <si>
    <t>https://www.oilfund.az/report-and-statistics/get-download-file/flip/8_2010_en.pdf</t>
  </si>
  <si>
    <t>https://www.oilfund.az/report-and-statistics/get-download-file/flip/8_2011_en.pdf</t>
  </si>
  <si>
    <t>https://www.oilfund.az/report-and-statistics/get-download-file/flip/8_2012_en.pdf</t>
  </si>
  <si>
    <t>https://www.oilfund.az/report-and-statistics/get-download-file/flip/8_2013_en.pdf</t>
  </si>
  <si>
    <t>https://www.oilfund.az/report-and-statistics/get-download-file/flip/8_2014_en.pdf</t>
  </si>
  <si>
    <t>https://www.oilfund.az/report-and-statistics/get-download-file/flip/8_2015_en.pdf</t>
  </si>
  <si>
    <t>https://www.oilfund.az/report-and-statistics/get-download-file/flip/8_2016_en.pdf</t>
  </si>
  <si>
    <t>https://www.oilfund.az/report-and-statistics/get-download-file/flip/8_2017_en.pdf</t>
  </si>
  <si>
    <t>https://www.oilfund.az/report-and-statistics/get-download-file/flip/8_2018_en.pdf</t>
  </si>
  <si>
    <t>https://www.oilfund.az/report-and-statistics/get-download-file/flip/8_2019_en.pdf</t>
  </si>
  <si>
    <t>https://www.oilfund.az/report-and-statistics/get-download-file/flip/8_2020_en.pdf</t>
  </si>
  <si>
    <t>https://www.oilfund.az/report-and-statistics/get-download-file/flip/7_2021_tam_en.pdf</t>
  </si>
  <si>
    <t>https://www.oilfund.az/report-and-statistics/get-download-file/flip/8_2022_en.pdf</t>
  </si>
  <si>
    <t>https://www.oilfund.az/report-and-statistics/get-download-file/flip/8_2023_en.pdf</t>
  </si>
  <si>
    <t>https://www.oilfund.az/report-and-statistics/get-download-file/flip/7_2024_tam_en.pdf</t>
  </si>
  <si>
    <t>BHR</t>
  </si>
  <si>
    <t>Mumtalakat</t>
  </si>
  <si>
    <t>Mumtalakat | Annual Reports</t>
  </si>
  <si>
    <t>Mumtalakat-Annual_Report-2007.pdf</t>
  </si>
  <si>
    <t>This value corresponds to the first assets transferred to the fund by the ministry of finance on 20 june 2006</t>
  </si>
  <si>
    <t>Mumtalakat-Annual_Report-2009.pdf</t>
  </si>
  <si>
    <t>Mumtalakat-Annual_Report-2010.pdf</t>
  </si>
  <si>
    <t>Mumtalakat-Annual_Report-2011.pdf</t>
  </si>
  <si>
    <t>Mumtalakat-Annual_Report-2012.pdf</t>
  </si>
  <si>
    <t>Mumtalakat-Annual_Report-2013.pdf</t>
  </si>
  <si>
    <t>Mumtalakat-Annual_Report-2014.pdf</t>
  </si>
  <si>
    <t>Mumtalakat-Annual_Report-2015.pdf</t>
  </si>
  <si>
    <t>mumtalakat-annual_report-2016.pdf</t>
  </si>
  <si>
    <t>mumtalakat-annual_report-2017.pdf</t>
  </si>
  <si>
    <t>mumtalakat-annual_report-2018.pdf</t>
  </si>
  <si>
    <t>Mumtalakat-Annual_Report-2019.pdf</t>
  </si>
  <si>
    <t>Mumtalakat-2020_AnnualReport_2022-05-13-152000_ixaa.pdf</t>
  </si>
  <si>
    <t>mumtalakat-annual_report-2021.pdf</t>
  </si>
  <si>
    <t>Mumtalakat-AnnualReports2022-FV_2023-06-26-082119_lgex.pdf</t>
  </si>
  <si>
    <t>Annual-Report-2024_LR_2025-09-11-192447_widx.pdf</t>
  </si>
  <si>
    <t>SFPIM</t>
  </si>
  <si>
    <t>Publications and news - SFPIM</t>
  </si>
  <si>
    <t>sfpi_rapport_annuel_2007_0.pdf</t>
  </si>
  <si>
    <t>11/26/2025</t>
  </si>
  <si>
    <t>https://sfpim.be/uploads/2022/05/sfpi_rapport_annuel_2008.pdf</t>
  </si>
  <si>
    <t>Fund's annual reports did not explicitly disclose the total liabilities account.</t>
  </si>
  <si>
    <t>https://sfpim.be/uploads/2022/05/sfpi_rapport_annuel_2009.pdf</t>
  </si>
  <si>
    <t>https://sfpim.be/uploads/2022/05/sfpi_rapport_annuel_2010.pdf</t>
  </si>
  <si>
    <t>https://sfpim.be/uploads/2022/05/sfpi_rapport_annuel_2012.pdf</t>
  </si>
  <si>
    <t>https://sfpim.be/uploads/2022/05/sfpi_rapport_annuel_2013.pdf</t>
  </si>
  <si>
    <t>https://sfpim.be/uploads/2022/05/sfpi_ra2014_fr_web_0.pdf</t>
  </si>
  <si>
    <t>https://sfpim.be/uploads/2022/05/sfpi_rapport_annuel_2015_0.pdf</t>
  </si>
  <si>
    <t>https://sfpim.be/uploads/2022/05/sfpi_ra2016_web_0.pdf</t>
  </si>
  <si>
    <t>https://sfpim.be/uploads/2022/05/sfpi_ra2017_web_0.pdf</t>
  </si>
  <si>
    <t>https://sfpim.be/uploads/2022/05/sfpi_rapport_annuel2018_0.pdf</t>
  </si>
  <si>
    <t>https://sfpim.be/uploads/2022/05/sfpi_ra2019_web.pdf</t>
  </si>
  <si>
    <t>https://sfpim.be/uploads/2022/05/sfpi_annualreport_2020_fr.pdf</t>
  </si>
  <si>
    <t>https://sfpim.be/uploads/2024/12/SFPIM_RA2021_FINAL_compressed.pdf</t>
  </si>
  <si>
    <t>https://sfpim.be/uploads/2025/09/SFPIM_JV2023_FINAL-avec-compression-1.pdf</t>
  </si>
  <si>
    <t>The figures - SFPIM</t>
  </si>
  <si>
    <t>Tesouro Nacional Transparente (Gov. Brazil)</t>
  </si>
  <si>
    <t>Fundo Soberano do Brasil - Conjuntos de dados - CKAN</t>
  </si>
  <si>
    <t>https://www.tesourotransparente.gov.br/ckan/dataset/fundo-soberano-do-brasil/resource/3bcc65e0-7011-4699-9375-bbde0ca67a97</t>
  </si>
  <si>
    <t>This value corresponds to Patrimônio líquido, which translates to Net Assets</t>
  </si>
  <si>
    <t>11/17/2025</t>
  </si>
  <si>
    <t>https://www.tesourotransparente.gov.br/ckan/dataset/fundo-soberano-do-brasil/resource/3bcc65e0-7011-4699-9375-bbde0ca67a98</t>
  </si>
  <si>
    <t>https://www.tesourotransparente.gov.br/ckan/dataset/fundo-soberano-do-brasil/resource/3bcc65e0-7011-4699-9375-bbde0ca67a99</t>
  </si>
  <si>
    <t>https://www.tesourotransparente.gov.br/ckan/dataset/fundo-soberano-do-brasil/resource/3bcc65e0-7011-4699-9375-bbde0ca67a100</t>
  </si>
  <si>
    <t>https://www.tesourotransparente.gov.br/ckan/dataset/fundo-soberano-do-brasil/resource/3bcc65e0-7011-4699-9375-bbde0ca67a101</t>
  </si>
  <si>
    <t>https://www.tesourotransparente.gov.br/ckan/dataset/fundo-soberano-do-brasil/resource/3bcc65e0-7011-4699-9375-bbde0ca67a102</t>
  </si>
  <si>
    <t>https://www.tesourotransparente.gov.br/ckan/dataset/fundo-soberano-do-brasil/resource/3bcc65e0-7011-4699-9375-bbde0ca67a103</t>
  </si>
  <si>
    <t>https://www.tesourotransparente.gov.br/ckan/dataset/fundo-soberano-do-brasil/resource/3bcc65e0-7011-4699-9375-bbde0ca67a104</t>
  </si>
  <si>
    <t>RG FSB Ext 2019_final-1-37.pdf</t>
  </si>
  <si>
    <t>Publicações do FSB — Tesouro Nacional</t>
  </si>
  <si>
    <t>Visualização de PDF</t>
  </si>
  <si>
    <t>Provisional Measure No. 830 (May 22, 2018) initiated the fund’s extinction. The data refers to April 2018, before its defunding. The fund was officially dissolved by law in 2019, but defunded in May 2018.</t>
  </si>
  <si>
    <t>Ministério das Finanças</t>
  </si>
  <si>
    <t>Relatório e Contas - Informações - Ministério das Finanças</t>
  </si>
  <si>
    <t>Informações - Ministério das Finanças</t>
  </si>
  <si>
    <t>The fund was established in 2019 with and official start date set for jan 2020, but the COVID-19 pandemic postponed the activities until 2021</t>
  </si>
  <si>
    <t>Relatorio_de_contas_2024_eng.pdf</t>
  </si>
  <si>
    <t>Ministerio de Hacienda</t>
  </si>
  <si>
    <t>https://www.hacienda.cl/english/work-areas/international-finance/sovereign-wealth-funds/pension-reserve-fund/financial-situation/market-value</t>
  </si>
  <si>
    <t>https://cms.hacienda.cl/hacienda/assets/documento/descargar/e96958655b2f5/1759329180</t>
  </si>
  <si>
    <t>There was no annual report available for this year. Market value from "Serie FEES.xlsx" was used instead. For all other years, market value equals the net equity reported in annual financial statements</t>
  </si>
  <si>
    <t>10/14/2025</t>
  </si>
  <si>
    <t>https://cms.hacienda.cl/hacienda/assets/documento/descargar/e96958655b2f5/1759329181</t>
  </si>
  <si>
    <t>https://cms.hacienda.cl/hacienda/assets/documento/descargar/e96958655b2f5/1759329182</t>
  </si>
  <si>
    <t>https://cms.hacienda.cl/hacienda/assets/documento/descargar/e96958655b2f5/1759329183</t>
  </si>
  <si>
    <t>https://www.hacienda.cl/english/work-areas/international-finance/sovereign-wealth-funds/economic-and-social-stabilization-fund/annual-report</t>
  </si>
  <si>
    <t>https://www.hacienda.cl/english/work-areas/international-finance/sovereign-wealth-funds/economic-and-social-stabilization-fund/annual-report/annual-report-sovereign-wealth-funds-2011</t>
  </si>
  <si>
    <t>https://www.hacienda.cl/areas-de-trabajo/finanzas-internacionales/fondos-soberanos/fondo-de-reserva-de-pensiones/informe-anual/informe-anual-fondos-soberanos-2012</t>
  </si>
  <si>
    <t>https://www.hacienda.cl/areas-de-trabajo/finanzas-internacionales/fondos-soberanos/fondo-de-reserva-de-pensiones/informe-anual/informe-anual-fondos-soberanos-2013</t>
  </si>
  <si>
    <t>https://www.hacienda.cl/areas-de-trabajo/finanzas-internacionales/fondos-soberanos/fondo-de-reserva-de-pensiones/informe-anual/informe-anual-fondos-soberanos-2014</t>
  </si>
  <si>
    <t>https://www.hacienda.cl/areas-de-trabajo/finanzas-internacionales/fondos-soberanos/fondo-de-reserva-de-pensiones/informe-anual/informe-anual-fondos-soberanos-2015</t>
  </si>
  <si>
    <t>https://www.hacienda.cl/areas-de-trabajo/finanzas-internacionales/fondos-soberanos/fondo-de-reserva-de-pensiones/informe-anual/informe-anual-fondos-soberanos-2016</t>
  </si>
  <si>
    <t>https://www.hacienda.cl/areas-de-trabajo/finanzas-internacionales/fondos-soberanos/fondo-de-reserva-de-pensiones/informe-anual/informe-anual-fondos-soberanos-2018</t>
  </si>
  <si>
    <t>https://www.hacienda.cl/areas-de-trabajo/finanzas-internacionales/fondos-soberanos/fondo-de-reserva-de-pensiones/informe-anual/informe-anual-fondos-soberanos-2019</t>
  </si>
  <si>
    <t>https://www.hacienda.cl/areas-de-trabajo/finanzas-internacionales/fondos-soberanos/fondo-de-reserva-de-pensiones/informe-anual/informe-anual-fondos-soberanos-2020</t>
  </si>
  <si>
    <t>https://www.hacienda.cl/areas-de-trabajo/finanzas-internacionales/fondos-soberanos/fondo-de-reserva-de-pensiones/informe-anual/informe-anual-fondos-soberanos-2021</t>
  </si>
  <si>
    <t>https://www.hacienda.cl/areas-de-trabajo/finanzas-internacionales/fondos-soberanos/fondo-de-reserva-de-pensiones/informe-anual/informe-anual-fondos-soberanos-2022</t>
  </si>
  <si>
    <t>https://www.hacienda.cl/areas-de-trabajo/finanzas-internacionales/fondos-soberanos/fondo-de-reserva-de-pensiones/informe-anual/informe-anual-fondos-soberanos-2023</t>
  </si>
  <si>
    <t>https://www.hacienda.cl/english/work-areas/international-finance/sovereign-wealth-funds/economic-and-social-stabilization-fund/financial-situation/market-value</t>
  </si>
  <si>
    <t>https://cms.hacienda.cl/hacienda/assets/documento/descargar/62531a935b2f5</t>
  </si>
  <si>
    <t>https://cms.hacienda.cl/hacienda/assets/documento/descargar/62531a935b2f6</t>
  </si>
  <si>
    <t>https://cms.hacienda.cl/hacienda/assets/documento/descargar/62531a935b2f7</t>
  </si>
  <si>
    <t>Liabilities were zero, meaning total assets were equal to net assets</t>
  </si>
  <si>
    <t>Established on sept 29, 2007. This value corresponds to the capital seed</t>
  </si>
  <si>
    <t>10/20/2025</t>
  </si>
  <si>
    <t>CIC_2008_annualreport_en.pdf</t>
  </si>
  <si>
    <t>CIC_2009_annualreport_en.pdf</t>
  </si>
  <si>
    <t>CICAnnualReport2010.pdf</t>
  </si>
  <si>
    <t>CICAnnualReport2011.pdf</t>
  </si>
  <si>
    <t>CIC_2012_annualreport_en.pdf</t>
  </si>
  <si>
    <t>CICAnnualReport2014.pdf</t>
  </si>
  <si>
    <t>y-fm</t>
  </si>
  <si>
    <t>2016中投英文</t>
  </si>
  <si>
    <t>2017年报（英）0709单版</t>
  </si>
  <si>
    <t>英文20191014单_复制</t>
  </si>
  <si>
    <t>2019EN.pdf</t>
  </si>
  <si>
    <t>中投年报-完整版（英）- 0827</t>
  </si>
  <si>
    <t>2021EN.pdf</t>
  </si>
  <si>
    <t>2022EN.pdf</t>
  </si>
  <si>
    <t>2023EN.pdf</t>
  </si>
  <si>
    <t>2024EN.pdf</t>
  </si>
  <si>
    <t>Fondo de Ahorro y Estabilización - FAE - Minhacienda</t>
  </si>
  <si>
    <t>https://www.minhacienda.gov.co/informe-mensual-y-trimestral-2020/-/document_library/bipi/view_file/1297069?p_r_p_resetCur=false&amp;_com_liferay_document_library_web_portlet_DLPortlet_INSTANCE_bipi_redirect=https%3A%2F%2Fwww.minhacienda.gov.co%3A443%2Finforme-mensual-y-trimestral-2020%2F-%2Fdocument_library%2Fbipi%2Fview%2F1297040%3F_com_liferay_document_library_web_portlet_DLPortlet_INSTANCE_bipi_navigation%3Dhome%26_com_liferay_document_library_web_portlet_DLPortlet_INSTANCE_bipi_orderByCol%3DcreationDate%26_com_liferay_document_library_web_portlet_DLPortlet_INSTANCE_bipi_curEntry%3D2%26_com_liferay_document_library_web_portlet_DLPortlet_INSTANCE_bipi_orderByType%3Ddesc%26p_r_p_resetCur%3Dfalse%26_com_liferay_document_library_web_portlet_DLPortlet_INSTANCE_bipi_deltaEntry%3D8%26_com_liferay_document_library_web_portlet_DLPortlet_INSTANCE_bipi_folderId%3D1297040&amp;_com_liferay_document_library_web_portlet_DLPortlet_INSTANCE_bipi_fileEntryId=1297069</t>
  </si>
  <si>
    <t>11/18/2025</t>
  </si>
  <si>
    <t>https://www.minhacienda.gov.co/informe-mensual-y-trimestral-2020/-/document_library/bipi/view_file/1297147?_com_liferay_document_library_web_portlet_DLPortlet_INSTANCE_bipi_redirect=https%3A%2F%2Fwww.minhacienda.gov.co%3A443%2Finforme-mensual-y-trimestral-2020%3Fp_p_id%3Dcom_liferay_document_library_web_portlet_DLPortlet_INSTANCE_bipi%26p_p_lifecycle%3D0%26p_p_state%3Dnormal%26p_p_mode%3Dview&amp;_com_liferay_document_library_web_portlet_DLPortlet_INSTANCE_bipi_fileEntryId=1297147</t>
  </si>
  <si>
    <t>https://www.minhacienda.gov.co/informe-mensual-y-trimestral-2021/-/document_library/bipi/view_file/1297306?_com_liferay_document_library_web_portlet_DLPortlet_INSTANCE_bipi_redirect=https%3A%2F%2Fwww.minhacienda.gov.co%3A443%2Finforme-mensual-y-trimestral-2021%3Fp_p_id%3Dcom_liferay_document_library_web_portlet_DLPortlet_INSTANCE_bipi%26p_p_lifecycle%3D0%26p_p_state%3Dnormal%26p_p_mode%3Dview&amp;_com_liferay_document_library_web_portlet_DLPortlet_INSTANCE_bipi_fileEntryId=1297306</t>
  </si>
  <si>
    <t>https://www.minhacienda.gov.co/informe-mensual-y-trimestral-2022/-/document_library/bipi/view_file/1297525?_com_liferay_document_library_web_portlet_DLPortlet_INSTANCE_bipi_redirect=https%3A%2F%2Fwww.minhacienda.gov.co%3A443%2Finforme-mensual-y-trimestral-2022%3Fp_p_id%3Dcom_liferay_document_library_web_portlet_DLPortlet_INSTANCE_bipi%26p_p_lifecycle%3D0%26p_p_state%3Dnormal%26p_p_mode%3Dview&amp;_com_liferay_document_library_web_portlet_DLPortlet_INSTANCE_bipi_fileEntryId=1297525</t>
  </si>
  <si>
    <t>https://www.minhacienda.gov.co/informe-mensual-y-trimestral-2023/-/document_library/bipi/view_file/1297749?_com_liferay_document_library_web_portlet_DLPortlet_INSTANCE_bipi_redirect=https%3A%2F%2Fwww.minhacienda.gov.co%3A443%2Finforme-mensual-y-trimestral-2023%3Fp_p_id%3Dcom_liferay_document_library_web_portlet_DLPortlet_INSTANCE_bipi%26p_p_lifecycle%3D0%26p_p_state%3Dnormal%26p_p_mode%3Dview&amp;_com_liferay_document_library_web_portlet_DLPortlet_INSTANCE_bipi_fileEntryId=1297749</t>
  </si>
  <si>
    <t>https://www.minhacienda.gov.co/informe-mensual-y-trimestral-2024/-/document_library/bipi/view_file/2226380?_com_liferay_document_library_web_portlet_DLPortlet_INSTANCE_bipi_redirect=https%3A%2F%2Fwww.minhacienda.gov.co%3A443%2Finforme-mensual-y-trimestral-2024%3Fp_p_id%3Dcom_liferay_document_library_web_portlet_DLPortlet_INSTANCE_bipi%26p_p_lifecycle%3D0%26p_p_state%3Dnormal%26p_p_mode%3Dview&amp;_com_liferay_document_library_web_portlet_DLPortlet_INSTANCE_bipi_fileEntryId=2226380</t>
  </si>
  <si>
    <t>Agencia Nacional de Hidrocarburos (Gov. Colombia)</t>
  </si>
  <si>
    <t>https://www.anh.gov.co/es/operaciones-y-regal%C3%ADas/regal%C3%ADas-de-producci%C3%B3n/estadisticas-antes-del-sgr/</t>
  </si>
  <si>
    <t>https://www.anh.gov.co/documents/1434/HIST%C3%93RICO_DESAHORRO_FAEP_2012_A_2019.pdf</t>
  </si>
  <si>
    <t>https://www.anh.gov.co/documents/1435/Procedimiento_Desahorro_Cupo_FAEP.pdf</t>
  </si>
  <si>
    <t>DNK</t>
  </si>
  <si>
    <t>EIFO</t>
  </si>
  <si>
    <t>EIFO annual report 2022</t>
  </si>
  <si>
    <t>VF _rsrapport 2022 (34).pdf</t>
  </si>
  <si>
    <t>EIFO annual report 2023</t>
  </si>
  <si>
    <t>eifo-annual-report-2024.pdf</t>
  </si>
  <si>
    <t>EIFO annual report 2024</t>
  </si>
  <si>
    <t>BPI France</t>
  </si>
  <si>
    <t>Investor Relations | Bpifrance</t>
  </si>
  <si>
    <t>https://www.bpifrance.fr/download/media-file/75464</t>
  </si>
  <si>
    <t>11/30/2025</t>
  </si>
  <si>
    <t>https://www.bpifrance.fr/download/media-file/75462</t>
  </si>
  <si>
    <t>https://www.bpifrance.fr/download/media-file/75460</t>
  </si>
  <si>
    <t>https://www.bpifrance.fr/download/media-file/75458</t>
  </si>
  <si>
    <t>https://www.bpifrance.fr/download/media-file/75456</t>
  </si>
  <si>
    <t>https://www.bpifrance.fr/download/media-file/283580</t>
  </si>
  <si>
    <t>https://www.bpifrance.fr/download/media-file/75452</t>
  </si>
  <si>
    <t>https://www.bpifrance.fr/download/media-file/283271</t>
  </si>
  <si>
    <t>https://www.bpifrance.fr/download/media-file/283240</t>
  </si>
  <si>
    <t>https://www.bpifrance.fr/download/media-file/79704</t>
  </si>
  <si>
    <t>https://www.bpifrance.fr/download/media-file/283203</t>
  </si>
  <si>
    <t>GAB</t>
  </si>
  <si>
    <t>Gabonese Fund for Strategic Investments</t>
  </si>
  <si>
    <t>About</t>
  </si>
  <si>
    <t>FGIS - Rapport Annuel 2024 [ENG] F (2).pdf - Google Drive</t>
  </si>
  <si>
    <t>Tesi</t>
  </si>
  <si>
    <t>Reports - tesi.fi</t>
  </si>
  <si>
    <t>Financial-Review_2023_final.pdf</t>
  </si>
  <si>
    <t>Financial-Review_2024_final.pdf</t>
  </si>
  <si>
    <t>https://www.solidium.fi/en/annual-report/</t>
  </si>
  <si>
    <t xml:space="preserve">Funds fical year runs from june to june. </t>
  </si>
  <si>
    <t>10/26/2025</t>
  </si>
  <si>
    <t>For this year, fiscal year end changed to december</t>
  </si>
  <si>
    <t>Development Fund of Georgia</t>
  </si>
  <si>
    <t>ფინანსური ანგარიშგებები – საქართველოს განვითარების ფონდი</t>
  </si>
  <si>
    <t>Microsoft Word - 2012 PF financial statements_for issuance.docx</t>
  </si>
  <si>
    <t>PF_FS_2013.pdf</t>
  </si>
  <si>
    <t>PF_FS_2014.pdf</t>
  </si>
  <si>
    <t>2013 CIS consolidated financial statement template without convenience translation - non-banking</t>
  </si>
  <si>
    <t>Microsoft Word - PF 2016 FS_Final Formatted 3 .docx</t>
  </si>
  <si>
    <t>PF ENG 2020</t>
  </si>
  <si>
    <t>PF consolidated</t>
  </si>
  <si>
    <t>Major transfer of assets back to direct government ownership.</t>
  </si>
  <si>
    <t>DFG-Consolidated-FS-2024-ENG.pdf</t>
  </si>
  <si>
    <t>11/18/2026</t>
  </si>
  <si>
    <t>KENFO</t>
  </si>
  <si>
    <t>Fonds zur Finanzierung der kerntechnischen Entsorgung</t>
  </si>
  <si>
    <t>https://www.kenfo.de/fileadmin/user_upload/geschaeftsberichte/kenfo_geschaeftsbericht_2017.pdf</t>
  </si>
  <si>
    <t>https://www.kenfo.de/fileadmin/user_upload/geschaeftsberichte/kenfo-geschaeftsbericht-2018.pdf</t>
  </si>
  <si>
    <t>https://www.kenfo.de/fileadmin/user_upload/geschaeftsberichte/kenfo_geschaeftsbericht_2019.pdf</t>
  </si>
  <si>
    <t>https://www.kenfo.de/fileadmin/user_upload/geschaeftsberichte/kenfo_geschaeftsbericht2020.pdf</t>
  </si>
  <si>
    <t>https://www.kenfo.de/fileadmin/user_upload/geschaeftsberichte/kenfo_geschaeftsbericht_2021.pdf</t>
  </si>
  <si>
    <t>https://www.kenfo.de/fileadmin/user_upload/geschaeftsberichte/kenfo_geschaeftsbericht_2022.pdf</t>
  </si>
  <si>
    <t>https://www.kenfo.de/fileadmin/user_upload/geschaeftsberichte/kenfo_geschaeftsbericht_2023.pdf</t>
  </si>
  <si>
    <t>https://www.kenfo.de/fileadmin/user_upload/geschaeftsberichte/kenfo_geschaeftsbericht_2024_digital.pdf</t>
  </si>
  <si>
    <t>GHA</t>
  </si>
  <si>
    <t>Bank of Ghana</t>
  </si>
  <si>
    <t>GPF Financial Statements – Bank of Ghana</t>
  </si>
  <si>
    <t>The reports (2015-2017) remain on the Bank of Guyana’s website but are no longer visible due to a missing navigation button. They can still be accessed through Wayback Machine snapshots.</t>
  </si>
  <si>
    <t>Value corresponds to the fund balance at the end of the stated year</t>
  </si>
  <si>
    <t>GPF-FS-2015-SIGNED-ACCOUNTS-3.pdf</t>
  </si>
  <si>
    <t>GPF-FS-2016-SIGNED-ACCOUNTS.pdf</t>
  </si>
  <si>
    <t>GPF-Annual-Report-and-Financial-Statement-2018-Signed-Accounts.pdf</t>
  </si>
  <si>
    <t>Petroleum-Funds-2019-FS.pdf</t>
  </si>
  <si>
    <t>Petroleum-Funds-2020-FS.pdf</t>
  </si>
  <si>
    <t>Petroleum-Funds-2021-FS.pdf</t>
  </si>
  <si>
    <t>Petroleum-Funds-2022-FS-Signed-Accounts.pdf</t>
  </si>
  <si>
    <t>Petroleum-Funds-2023-FS.pdf</t>
  </si>
  <si>
    <t>https://www.bog.gov.gh/w%20p-content/uploads/2025/09/Petroleum-Fund-2024-FS.pdf</t>
  </si>
  <si>
    <t>Growthfund</t>
  </si>
  <si>
    <t>https://growthfund.gr/</t>
  </si>
  <si>
    <t>Microsoft Word - FY2017_26092018_FINAL EN TRANSLATION</t>
  </si>
  <si>
    <t>Microsoft Word - ENG Annual Report 31.12.2018</t>
  </si>
  <si>
    <t>https://growthfund.gr/wp-content/uploads/2021/10/Consolidated-annual-report-2020_HCAP.pdf</t>
  </si>
  <si>
    <t>2022_GROWTHFUND_ANNUAL_EN_WEB.pdf</t>
  </si>
  <si>
    <t>EN-ANNUAL-REPORT-GROWTHFUND-24-04-2025.pdf</t>
  </si>
  <si>
    <t>Microsoft Word - Fourth Quarterly Report_Q4_2024_Łš</t>
  </si>
  <si>
    <t>This value corresponds to Q4 2024, annual report was not available as of October 12, 2025.</t>
  </si>
  <si>
    <t>Bank of Guyana</t>
  </si>
  <si>
    <t>Audited Financial Statements</t>
  </si>
  <si>
    <t>BANK OF GUYANA PENSION SCHEME NOTES TO THE FINANCIAL STATEMENTFOR YEAR ENDING DECEMBER 31, 2014SCHEME NOTES TO THE FINANCIAL STATEMENTS FOR THE YEAR ENDING DECEMBER 3</t>
  </si>
  <si>
    <t>liabilities are zero, total assets equal net assets</t>
  </si>
  <si>
    <t>nrf_audited_financial_statements_2021.pdf</t>
  </si>
  <si>
    <t>nrf_audited_financial_statements_2022.pdf</t>
  </si>
  <si>
    <t>nrf_audited_financial_statements_2023.pdf</t>
  </si>
  <si>
    <t>nrf_audited_financial_statements_2024.pdf</t>
  </si>
  <si>
    <t>National Trasury Management Agency</t>
  </si>
  <si>
    <t>006106-NPRF Text</t>
  </si>
  <si>
    <t>NPRF_inside2.qxd</t>
  </si>
  <si>
    <t>untitled</t>
  </si>
  <si>
    <t>Annual report 05 single page</t>
  </si>
  <si>
    <t>NPRF-Annual-Report-2006.pdf</t>
  </si>
  <si>
    <t>NPRF-Annual-Report-2007.pdf</t>
  </si>
  <si>
    <t>NPRF-Annual-Report-2008.pdf</t>
  </si>
  <si>
    <t>NPRF-Annual-Report-2009.pdf</t>
  </si>
  <si>
    <t>NPRF-Annual-Report-2010.pdf</t>
  </si>
  <si>
    <t>NPRF-Annual-Report-2011.pdf</t>
  </si>
  <si>
    <t>NPRF-Annual-Report-2012.pdf</t>
  </si>
  <si>
    <t>NPRF-Annual-Report-2013.pdf</t>
  </si>
  <si>
    <t xml:space="preserve">NPRF's mandate ended in dec 2014. The assets of the NPRF became assets of the ISIF on its establishment 22 dec 2014 </t>
  </si>
  <si>
    <t>Publications | NTMA</t>
  </si>
  <si>
    <t>NTMAAnnualReportAndAccounts2015.pdf</t>
  </si>
  <si>
    <t>NTMAAnnualReport2016_2.pdf</t>
  </si>
  <si>
    <t>NTMA-Annual-Report-2017.pdf</t>
  </si>
  <si>
    <t>NTMA-Annual-Report-2018.pdf</t>
  </si>
  <si>
    <t>NTMA-Annual-Report-2019-English.pdf</t>
  </si>
  <si>
    <t>NTMA-Annual-Report-2020-English_2021-10-07-160213_mnlq.pdf</t>
  </si>
  <si>
    <t>NTMA-Annual-Report-2021-English.pdf</t>
  </si>
  <si>
    <t>NTMA-Annual-Report-2022-English.pdf</t>
  </si>
  <si>
    <t>NTMA-Annual-Report-and-Financial-Statements-2023.pdf</t>
  </si>
  <si>
    <t>NTMA-Annual-Report-2024.pdf</t>
  </si>
  <si>
    <t>Citizens of Israel Fund</t>
  </si>
  <si>
    <t>Publications</t>
  </si>
  <si>
    <t>annual-report-2022-israel-citizens-foundation.pdf</t>
  </si>
  <si>
    <t>Annual Report 2023</t>
  </si>
  <si>
    <t>Annual Report Citizens of Israel Fund</t>
  </si>
  <si>
    <t>Net Asset Value equals Total Assets</t>
  </si>
  <si>
    <t>Cassa Depositi e Prestiti</t>
  </si>
  <si>
    <t>Annual Reports</t>
  </si>
  <si>
    <t>Microsoft Word - FSI_Bilancio 2012_ASSEMBLEA_v2.doc</t>
  </si>
  <si>
    <t>This value corresponds to the capital seed, this means there are no liabilities reported</t>
  </si>
  <si>
    <t>Microsoft Word - 3.2 FSI_Bilancio 31 dicembre 2013_FINALE v Sito</t>
  </si>
  <si>
    <t>Premessa</t>
  </si>
  <si>
    <t>CDP_EQUITY_RFA_2017_ITA.pdf</t>
  </si>
  <si>
    <t>CDP_EQUITY_RFA_2018_ITA.pdf</t>
  </si>
  <si>
    <t>CDP_EQUITY_RFA_2019_ENG.pdf</t>
  </si>
  <si>
    <t>CDP_EQUITY_RFA_2020_ENG.pdf</t>
  </si>
  <si>
    <t>CDP_EQUITY_RFA_2021_ENG.pdf</t>
  </si>
  <si>
    <t>CDP_Equity_RFA-2022_ENG.pdf</t>
  </si>
  <si>
    <t>CDP_Equity_RFA-2023_ENG.pdf</t>
  </si>
  <si>
    <t>CDP_Equity_RFA-2024_ENG.pdf</t>
  </si>
  <si>
    <t>事業報告｜公表資料｜入札結果｜JIC JAPAN INVESTMENT CORPORATION</t>
  </si>
  <si>
    <t>report190701_02.pdf</t>
  </si>
  <si>
    <t>report200701_02.pdf</t>
  </si>
  <si>
    <t>report210701_02.pdf</t>
  </si>
  <si>
    <t>report220701_02.pdf</t>
  </si>
  <si>
    <t>report230703_02.pdf</t>
  </si>
  <si>
    <t>report2406_02.pdf</t>
  </si>
  <si>
    <t>report2506_02.pdf</t>
  </si>
  <si>
    <t>National Bank of Kazakhstan</t>
  </si>
  <si>
    <t>Annual Report of the NBK | National Bank of Kazakhstan</t>
  </si>
  <si>
    <t>https://nationalbank.kz/file/download/1103</t>
  </si>
  <si>
    <t>https://nationalbank.kz/file/download/1104</t>
  </si>
  <si>
    <t>Wayback Machine</t>
  </si>
  <si>
    <t>https://nationalbank.kz/file/download/1106</t>
  </si>
  <si>
    <t>https://nationalbank.kz/file/download/1110</t>
  </si>
  <si>
    <t>https://nationalbank.kz/file/download/1112</t>
  </si>
  <si>
    <t>https://nationalbank.kz/file/download/1114</t>
  </si>
  <si>
    <t>https://nationalbank.kz/file/download/981</t>
  </si>
  <si>
    <t>https://nationalbank.kz/file/download/991</t>
  </si>
  <si>
    <t>https://nationalbank.kz/file/download/1052</t>
  </si>
  <si>
    <t>https://nationalbank.kz/file/download/1025</t>
  </si>
  <si>
    <t>https://nationalbank.kz/file/download/1021</t>
  </si>
  <si>
    <t>https://nationalbank.kz/file/download/1008</t>
  </si>
  <si>
    <t>https://nationalbank.kz/file/download/1002</t>
  </si>
  <si>
    <t>https://nationalbank.kz/file/download/938</t>
  </si>
  <si>
    <t>https://nationalbank.kz/file/download/91300</t>
  </si>
  <si>
    <t>https://nationalbank.kz/file/download/91302</t>
  </si>
  <si>
    <t>https://nationalbank.kz/file/download/91305</t>
  </si>
  <si>
    <t>https://nationalbank.kz/file/download/98652</t>
  </si>
  <si>
    <t>https://nationalbank.kz/file/download/106010</t>
  </si>
  <si>
    <t>https://nationalbank.kz/file/download/113068</t>
  </si>
  <si>
    <t>National Investment Corporation of the Bank of Kazakhstan</t>
  </si>
  <si>
    <t>https://www.nicnbk.kz/en/about#corporation</t>
  </si>
  <si>
    <t>1590046213_XoKfEihvLS.pdf</t>
  </si>
  <si>
    <t>1590046376_HIE7AfxO5U.pdf</t>
  </si>
  <si>
    <t>1590046488_FspjxwBfe5.pdf</t>
  </si>
  <si>
    <t>1590046370_RXby7UGjLx.pdf</t>
  </si>
  <si>
    <t>Microsoft Word - NIC_FS_2016 ENG_Final.docx</t>
  </si>
  <si>
    <t>Microsoft Word - NIC_FS_2017 Eng_final.docx</t>
  </si>
  <si>
    <t>1590136581_ykpYJzL2LN.pdf</t>
  </si>
  <si>
    <t>1590046664_UO9UZ9VuJb.pdf</t>
  </si>
  <si>
    <t>1623237564_N6q-gFxabU.pdf</t>
  </si>
  <si>
    <t>1653635861_evX3X7oZqg.pdf</t>
  </si>
  <si>
    <t>1685591580_D1DR37uyZz.pdf</t>
  </si>
  <si>
    <t>1716963457_--xXMeENFK.pdf</t>
  </si>
  <si>
    <t>1747982831_pHxGD9uCqO.pdf</t>
  </si>
  <si>
    <t>Samruk Kazyna</t>
  </si>
  <si>
    <t>Financial Performance — About the Fund — АО «Самрук-Қазына»</t>
  </si>
  <si>
    <t>1b70f736693643272f6504d19bbd90b9.pdf</t>
  </si>
  <si>
    <t>48b6b9e82377a09d1926e6874a2dbcd1.pdf</t>
  </si>
  <si>
    <t>533f714fef18b18ea8fd56736d682f5b.pdf</t>
  </si>
  <si>
    <t>419897d50e217eb2035eab6b63f6eb55.pdf</t>
  </si>
  <si>
    <t>52a92748730d811a6f9f81d8be75f750.pdf</t>
  </si>
  <si>
    <t>f30e9ede37e17443377d7701423c3f81.pdf</t>
  </si>
  <si>
    <t>KM_227-20180608165231</t>
  </si>
  <si>
    <t>Values for this year were restated in the following year (caída debido a tipo de cambio)</t>
  </si>
  <si>
    <t>429419df3c5197242b9c33f0dcdc6fb6.pdf</t>
  </si>
  <si>
    <t>edeb42c6cc1774a74e8420e572cf9dee.pdf</t>
  </si>
  <si>
    <t>bc1e0e9690d55fa5426f823a0c1796db.pdf</t>
  </si>
  <si>
    <t>00206BA3A9A4230331164115</t>
  </si>
  <si>
    <t>Microsoft Word - Formatted 23YE_CFS_ENG_SK_Final</t>
  </si>
  <si>
    <t>Microsoft Word - 24YE_CFS _Financial statements_ENG_SK Conso</t>
  </si>
  <si>
    <t>The Fund in Numbers</t>
  </si>
  <si>
    <t>Assets Under Management equals Total Assets</t>
  </si>
  <si>
    <t>KIR</t>
  </si>
  <si>
    <t>Ministry of Finance and Economic Development Government of Kiribati</t>
  </si>
  <si>
    <t>Values correspond to the annexes from file "report on revenue equilisation reserve fund", downloaded from the website via the Wayback Machine.</t>
  </si>
  <si>
    <t>RERF Annual Report 2024 | Ministry of Finance and Economic Development</t>
  </si>
  <si>
    <t>RERF ANNUAL REPORT 2023</t>
  </si>
  <si>
    <t>Reports 리스트 │ Newsroom │ Korea Investment Corporation</t>
  </si>
  <si>
    <t>Downloaded annual report</t>
  </si>
  <si>
    <t>https://kic-annualreport.kr/2023/eng/</t>
  </si>
  <si>
    <t>https://kic-annualreport.kr/2024/eng/</t>
  </si>
  <si>
    <t>Le gouvernment luxembourgeois Ministère des Finances</t>
  </si>
  <si>
    <t>Comptes et rapports d’activités annuels - Ministère des Finances - Le gouvernement luxembourgeois</t>
  </si>
  <si>
    <t>Comptes annuels 2015</t>
  </si>
  <si>
    <t>Comptes annuels et rapport du révisuer d'entreprise (31 décembre 2016)</t>
  </si>
  <si>
    <t>Comptes et rapport d’activités annuels 2017</t>
  </si>
  <si>
    <t>Comptes et rapport d’activités annuels 2018</t>
  </si>
  <si>
    <t>Comptes et rapport d'activités annuels 2019</t>
  </si>
  <si>
    <t>Comptes et rapport d'activités annuels 2020</t>
  </si>
  <si>
    <t>Comptes et rapport d'activités annuels 2022</t>
  </si>
  <si>
    <t>Comptes et rapport d’activités annuels 2023</t>
  </si>
  <si>
    <t>Comptes et rapport d'activités annuels 2024</t>
  </si>
  <si>
    <t>The Khazanah Report | Khazanah Nasional Berhad</t>
  </si>
  <si>
    <t>2014.pdf</t>
  </si>
  <si>
    <t>2013.pdf</t>
  </si>
  <si>
    <t>2015.pdf</t>
  </si>
  <si>
    <t>2016.pdf</t>
  </si>
  <si>
    <t>2018.pdf</t>
  </si>
  <si>
    <t>TKR2019_ENG.pdf</t>
  </si>
  <si>
    <t>TKR2021_ENG.pdf</t>
  </si>
  <si>
    <t>TKR2022_ENG.pdf</t>
  </si>
  <si>
    <t>khazanah.com.my/downloads/TKR2024_ENG.pdf</t>
  </si>
  <si>
    <t>Annual Reports - MGI - Malta Government Investments</t>
  </si>
  <si>
    <t>MGI-Investment-Activity-2019.pdf</t>
  </si>
  <si>
    <t>For this fund, “Government of Malta Capital Account” represents net assets.</t>
  </si>
  <si>
    <t>MGI-Agency-Year2020-Signed-compressed.pdf</t>
  </si>
  <si>
    <t>MGI-Agency-Year-2021-Signed-compressed.pdf</t>
  </si>
  <si>
    <t>22A-MGI-Agency-Signed-Statement-of-Account-AFS-31.12.2022-1.pdf</t>
  </si>
  <si>
    <t>MGI-Investment-Activity-2023.pdf</t>
  </si>
  <si>
    <t>Annual Reports and Financial Statements - NDSF</t>
  </si>
  <si>
    <t>60007223L16 v_6</t>
  </si>
  <si>
    <t>60007223L17 v_5</t>
  </si>
  <si>
    <t>Annual-Report-2018.pdf</t>
  </si>
  <si>
    <t>Annual-Report-2019.pdf</t>
  </si>
  <si>
    <t>Annual-Report-2020.pdf</t>
  </si>
  <si>
    <t>NDSF_AnnualReport2021.pdf</t>
  </si>
  <si>
    <t>0000-EQ93-National-Development-and-Social-Fund-NDSF-Annual-Report-2022-v5-LR.pdf</t>
  </si>
  <si>
    <t>Annual-Report-and-Financial-Statements-2023-.pdf</t>
  </si>
  <si>
    <t>Trust Fund for the People of the Republic of the Marshall Islands</t>
  </si>
  <si>
    <t>File Repository – RMI</t>
  </si>
  <si>
    <t>RMITF FY04&amp;05 AuditedFinancialStmt.pdf - Google Drive</t>
  </si>
  <si>
    <t>Fund's fiscal year runs from september to september</t>
  </si>
  <si>
    <t>RMITF FY07 AuditedFinancialStmt.pdf - Google Drive</t>
  </si>
  <si>
    <t>RMITF FY08 AuditedFinancialStmt.pdf - Google Drive</t>
  </si>
  <si>
    <t>RMITF FY09 AuditedFinancialStmt.pdf - Google Drive</t>
  </si>
  <si>
    <t>RMITF FY10 AuditedFinancialStmt.pdf - Google Drive</t>
  </si>
  <si>
    <t>RMITF FY11 AuditedFinancialStmt.pdf - Google Drive</t>
  </si>
  <si>
    <t>RMITF FY12 AuditedFinancialStmt.pdf - Google Drive</t>
  </si>
  <si>
    <t>RMITF FY13 AuditedFinancialStmt.pdf - Google Drive</t>
  </si>
  <si>
    <t>RMITF FY14 AuditedFinancialStmt.pdf - Google Drive</t>
  </si>
  <si>
    <t>RMITF FY15 AuditedFinancialStmt.pdf - Google Drive</t>
  </si>
  <si>
    <t>RMITF FY2016 AuditedFinancialStmt.pdf - Google Drive</t>
  </si>
  <si>
    <t>Final Issued 2017 RMI Financial Statements.pdf - Google Drive</t>
  </si>
  <si>
    <t>RMI TF FY18 FINAL ISSUED Audited Financial Statements 3.28.19.pdf - Google Drive</t>
  </si>
  <si>
    <t>RMI TF FY19 Audit FINAL 3.27.20.pdf - Google Drive</t>
  </si>
  <si>
    <t>RMI TF FY20 AuditedFinancialStatements FINAL 3.31.21.pdf - Google Drive</t>
  </si>
  <si>
    <t>RMI TF Financial Statments Final Issued 5.24.22.pdf - Google Drive</t>
  </si>
  <si>
    <t>RMI TF Final Issued Audit Report YE22 3.31.23.pdf - Google Drive</t>
  </si>
  <si>
    <t>RMITFAuditedFinancialStmtsFINAL 3.28.24.pdf - Google Drive</t>
  </si>
  <si>
    <t>RMITFFY24AudiitFinalissued 3.31.25.pdf - Google Drive</t>
  </si>
  <si>
    <t>Fondo Mexicano del Petróleo</t>
  </si>
  <si>
    <t>Rendición cuentas</t>
  </si>
  <si>
    <t>{2E794633-3CB8-6B2C-EBC3-81DB3E03F899}.pdf</t>
  </si>
  <si>
    <t>{7DBA511A-28DB-82A0-9C7D-73921B4858F7}.pdf</t>
  </si>
  <si>
    <t>{2917A6FA-869E-4A67-E354-91AF0BD45513}.pdf</t>
  </si>
  <si>
    <t>{FF5EC50F-7250-8FED-EE87-19563671227B}.pdf</t>
  </si>
  <si>
    <t>{6BA8FB0E-26B0-993D-532C-AFCBC875AC9D}.pdf</t>
  </si>
  <si>
    <t>{D6C25C33-88D3-8004-377E-3F2A0D473607}.pdf</t>
  </si>
  <si>
    <t>{E49279F3-9902-08C1-9D72-7D506A4248CF}.pdf</t>
  </si>
  <si>
    <t>{EE17B43B-D440-989F-2110-F74E6F72E221}.pdf</t>
  </si>
  <si>
    <t>{F5053D62-DDFD-1D6F-B977-E116C1AC90C3}.pdf</t>
  </si>
  <si>
    <t>{4DEB780B-66B4-36D8-15AF-D83A7D9B6DCE}.pdf</t>
  </si>
  <si>
    <t>Trust Fund for the People of The Federated States of Micronesia</t>
  </si>
  <si>
    <t>File Repository – FSM</t>
  </si>
  <si>
    <t>FSMTF FY05&amp;06 AuditedFinancialStmts.pdf - Google Drive</t>
  </si>
  <si>
    <t>FSMTF FY07 AuditedFinancialStmts.pdf - Google Drive</t>
  </si>
  <si>
    <t>FSMTF FY08 AuditedFinancialStmts.pdf - Google Drive</t>
  </si>
  <si>
    <t>FSMTF FY09 AuditedFinancialStmts.pdf - Google Drive</t>
  </si>
  <si>
    <t>FSMTF FY10 AuditedFinancialStatements.pdf - Google Drive</t>
  </si>
  <si>
    <t>FSMTF FY11 AuditedFinancialStmts.pdf - Google Drive</t>
  </si>
  <si>
    <t>FSMTF FY12 AuditedFinancialStmt.pdf - Google Drive</t>
  </si>
  <si>
    <t>FSMTF FY13 AuditedFinancialStmt.pdf - Google Drive</t>
  </si>
  <si>
    <t>FSMTF FY14 AuditedFinancialStmt.pdf - Google Drive</t>
  </si>
  <si>
    <t>FSMTF FY15 AuditedFinancialStmt.pdf - Google Drive</t>
  </si>
  <si>
    <t>FSMTF FY2016 AuditedFinancialStmt.pdf - Google Drive</t>
  </si>
  <si>
    <t>Final Issued 2017 FSM Financial Statements.pdf - Google Drive</t>
  </si>
  <si>
    <t>FSM TF FY18 FINAL ISSUED Audited Financial Statements 4.1.19.pdf - Google Drive</t>
  </si>
  <si>
    <t>FSM TF FY19 Audit FINAL 3.27.20.pdf - Google Drive</t>
  </si>
  <si>
    <t>FSM TF FY20 Audit Report Issued FINAL 3.25.21.pdf - Google Drive</t>
  </si>
  <si>
    <t>FSM TF FY21 Final Issued Audit Report 4.5.22.pdf - Google Drive</t>
  </si>
  <si>
    <t>FSMTF Final Issued Audit Report YE22 3.31.23.pdf - Google Drive</t>
  </si>
  <si>
    <t>https://drive.google.com/file/d/1kAYh9M11EwQdpfQX5L4Z1Sx45HiTkSWE/preview?rm=minimal</t>
  </si>
  <si>
    <t>FSMTFFY24AuditFinalIssued 3.31.25.pdf - Google Drive</t>
  </si>
  <si>
    <t>Monegasque Institute of Statistics and Economic Studies (Gov. Monaco)</t>
  </si>
  <si>
    <t>Focus / Publications / IMSEE - Monaco IMSEE</t>
  </si>
  <si>
    <t>https://www.monacostatistics.mc/content/download/174943/2020377/file/Focus-Finances_Publiques%20-%202013.pdf</t>
  </si>
  <si>
    <t>https://www.monacostatistics.mc/content/download/201392/2312471/file/Focus-Finances_Publiques%20-%202014.pdf</t>
  </si>
  <si>
    <t>https://www.monacostatistics.mc/content/download/297442/3379115/file/Focus-Finances_Publiques%20-%202015.pdf</t>
  </si>
  <si>
    <t>https://www.monacostatistics.mc/content/download/412760/4664361/file/Focus-Finances_publiques%20-%202016.pdf</t>
  </si>
  <si>
    <t>https://www.monacostatistics.mc/content/download/452493/5143561/file/72%20-%20Focus%20Finances%20publiques%202017.pdf</t>
  </si>
  <si>
    <t>https://www.monacostatistics.mc/content/download/493326/5658180/file/Focus%20Public%20Finances%202020.pdf</t>
  </si>
  <si>
    <t>https://www.monacostatistics.mc/content/download/508101/5816423/file/Focus%20Finances%20publiques%202022%20EN.pdf</t>
  </si>
  <si>
    <t>https://www.monacostatistics.mc/content/download/517928/5927051/file/Focus%20Finances%20publiques%202023%20EN.pdf</t>
  </si>
  <si>
    <t>https://www.monacostatistics.mc/content/download/524913/6014096/file/Focus%20Finances%20publiques%202024%20EN.pdf</t>
  </si>
  <si>
    <t>https://www.monacostatistics.mc/content/download/527594/6056911/file/Focus%20Finances%20publiques%202024%20EN.pdf</t>
  </si>
  <si>
    <t>Norges Bank Investment Management</t>
  </si>
  <si>
    <t>Reports | Norges Bank Investment Management</t>
  </si>
  <si>
    <t>2002-annual-report-eng.pdf</t>
  </si>
  <si>
    <t>Market value for this year was restated in 2002 and remained unchanged in all subsequent reports.</t>
  </si>
  <si>
    <t>Petroleum Fund Annual Report 1998</t>
  </si>
  <si>
    <t>Petroleum Fund Annual Report 1999</t>
  </si>
  <si>
    <t>Petroleum Fund Annual Report 2000</t>
  </si>
  <si>
    <t>Petroleum Fund Annual Report 2001</t>
  </si>
  <si>
    <t>17023 1 beretnNY.indd</t>
  </si>
  <si>
    <t>NBIM_arsmelding_05_eng</t>
  </si>
  <si>
    <t>nbim_07_eng.pdf</t>
  </si>
  <si>
    <t>47370_NBIM_08_eng_web.indd</t>
  </si>
  <si>
    <t>nbim.no/globalassets/reports/2009/nbim_annualreport09.pdf</t>
  </si>
  <si>
    <t>nbim.no/globalassets/reports/2010/english-annual-report-2010-24-march-printed.pdf</t>
  </si>
  <si>
    <t>arsrapport_11_eng_web.pdf</t>
  </si>
  <si>
    <t>annual-report-2012.pdf</t>
  </si>
  <si>
    <t>norges-bank-investment-management-annual-report-2014.pdf</t>
  </si>
  <si>
    <t>annual_report_2015_web2.pdf</t>
  </si>
  <si>
    <t>government-pension-fund-global---annual-report-2016.pdf</t>
  </si>
  <si>
    <t>annual-report-2017---government-pension-fund-global.pdf</t>
  </si>
  <si>
    <t>annual-report-2018-government-pension-fund-global.pdf</t>
  </si>
  <si>
    <t>spu_annual_report_2019_en_web.pdf</t>
  </si>
  <si>
    <t>nbim.no/contentassets/fd871d2a4e2d4c1ab9d3d66c98fa6ba1/annual-report_2020_government-pension-fund-global_web/</t>
  </si>
  <si>
    <t>Annual report 2021</t>
  </si>
  <si>
    <t>Government Pension Fund Global Annual report 2022</t>
  </si>
  <si>
    <t>GPFG Annual report 2023</t>
  </si>
  <si>
    <t>Web report Annual report 2024 | Norges Bank Investment Management</t>
  </si>
  <si>
    <t>Department of Finance of The Republic of Nauru</t>
  </si>
  <si>
    <t>Intergenerational trust fund - Department of Finance - Nauru</t>
  </si>
  <si>
    <t>Committee Signed - 2016 financial statements including Audit Report .pdf</t>
  </si>
  <si>
    <t>5f52c2d9-e637-4920-9cd0-178733842d80.pdf</t>
  </si>
  <si>
    <t>Fund's fiscal year runs from june to june</t>
  </si>
  <si>
    <t>2017 Annual Report</t>
  </si>
  <si>
    <t>2019 Annual Report</t>
  </si>
  <si>
    <t>2020 Annual Report.pdf</t>
  </si>
  <si>
    <t>Microsoft Word - DRAFT 2021 Annual Report.docx</t>
  </si>
  <si>
    <t>Microsoft Word - FINAL 2022 Annual Report 15 December 2022.docx</t>
  </si>
  <si>
    <t>Microsoft Word - FINAL DRAFT 2023 Annual Report with GOA photo.docx</t>
  </si>
  <si>
    <t>Microsoft Word - DRAFT 2024 Annual Report.docx</t>
  </si>
  <si>
    <t>NZ Super Fund</t>
  </si>
  <si>
    <t>NZ Super Fund - Annual Report</t>
  </si>
  <si>
    <t>https://nzsuperfund.nz/assets/Publications/Annual-Reports/Annual-Report-2002-03.pdf</t>
  </si>
  <si>
    <t>This value corresponds to “public equity as of July 1, 2002,” since the fund’s fiscal year runs from June to June. Public equity equals net assets.</t>
  </si>
  <si>
    <t>https://nzsuperfund.nz/assets/Publications/Annual-Reports/Annual-Report-2004-05.pdf</t>
  </si>
  <si>
    <t>https://nzsuperfund.nz/assets/Publications/Annual-Reports/Annual-Report-2005-06.pdf</t>
  </si>
  <si>
    <t>https://nzsuperfund.nz/assets/Publications/Annual-Reports/Annual-Report-2006-07.pdf</t>
  </si>
  <si>
    <t>https://nzsuperfund.nz/assets/Publications/Annual-Reports/Annual-Report-2007-08.pdf</t>
  </si>
  <si>
    <t>https://nzsuperfund.nz/assets/Publications/Annual-Reports/Annual-Report-2008-09.pdf</t>
  </si>
  <si>
    <t>https://nzsuperfund.nz/assets/Publications/Annual-Reports/Annual-Report-2009-10.pdf</t>
  </si>
  <si>
    <t>https://nzsuperfund.nz/assets/Publications/Annual-Reports/Annual-Report-2010-11.pdf</t>
  </si>
  <si>
    <t>https://nzsuperfund.nz/assets/Publications/Annual-Reports/Annual-Report-2011-12.pdf</t>
  </si>
  <si>
    <t>Values for this year were restated in 2014</t>
  </si>
  <si>
    <t>https://nzsuperfund.nz/assets/Publications/Annual-Reports/Annual-Report-2012-13.pdf</t>
  </si>
  <si>
    <t>Values for this year were restated in 2015</t>
  </si>
  <si>
    <t>https://nzsuperfund.nz/assets/Publications/Annual-Reports/Annual-Report-2013-14.pdf</t>
  </si>
  <si>
    <t>https://nzsuperfund.nz/assets/Publications/Annual-Reports/Annual-Report-2014-15.pdf</t>
  </si>
  <si>
    <t>https://nzsuperfund.nz/assets/Publications/Annual-Reports/Annual-Report-2015-16.pdf</t>
  </si>
  <si>
    <t>https://nzsuperfund.nz/assets/Publications/Annual-Reports/Annual-Report-2016-17.pdf</t>
  </si>
  <si>
    <t>https://nzsuperfund.nz/assets/Publications/Annual-Reports/Annual-Report-2017-18.pdf</t>
  </si>
  <si>
    <t>https://nzsuperfund.nz/assets/Publications/Annual-Reports/Annual-Report-2018-19.pdf</t>
  </si>
  <si>
    <t>https://nzsuperfund.nz/assets/Publications/Annual-Reports/Annual-Report-2019-20.pdf</t>
  </si>
  <si>
    <t>https://nzsuperfund.nz/assets/Publications/Annual-Reports/Annual-Report-2020-21.pdf</t>
  </si>
  <si>
    <t>https://nzsuperfund.nz/assets/Publications/Annual-Reports/Annual-Report-2021-22.pdf</t>
  </si>
  <si>
    <t>https://nzsuperfund.nz/assets/Uploads/Annual-Report-2022-23.pdf</t>
  </si>
  <si>
    <t>https://nzsuperfund.nz/assets/Publications/Annual-Reports/2024-NZ-Super-Fund-Annual-Report.pdf</t>
  </si>
  <si>
    <t>Investor Relations | NSIA</t>
  </si>
  <si>
    <t>2012 Annual Report | NSIA</t>
  </si>
  <si>
    <t>This value corresponds to seed capital transferred in october 2012</t>
  </si>
  <si>
    <t>2013 Annual Report | NSIA</t>
  </si>
  <si>
    <t>Value was restated the following year</t>
  </si>
  <si>
    <t>https://nsia.com.ng/investor-relations/2014-annual-report/</t>
  </si>
  <si>
    <t>https://nsia.com.ng/investor-relations/nsia-2015-annual-report/</t>
  </si>
  <si>
    <t>https://nsia.com.ng/investor-relations/nsia-2016-annual-report/</t>
  </si>
  <si>
    <t>https://nsia.com.ng/investor-relations/nsia-2017-annual-report/</t>
  </si>
  <si>
    <t>https://nsia.com.ng/investor-relations/nsia-2018-annual-report/</t>
  </si>
  <si>
    <t>https://nsia.com.ng/investor-relations/nsia-annual-report-2019/</t>
  </si>
  <si>
    <t>https://nsia.com.ng/investor-relations/nsia-2020-annual-report/</t>
  </si>
  <si>
    <t>https://nsia.com.ng/investor-relations/nsia-2021-annual-report/</t>
  </si>
  <si>
    <t>https://nsia.com.ng/investor-relations/2022-annual-report/</t>
  </si>
  <si>
    <t>https://nsia.com.ng/investor-relations/2023-annual-report/</t>
  </si>
  <si>
    <t>Fondo Ahorro Panamá</t>
  </si>
  <si>
    <t>Informes Anuales — Fondo de Ahorro de Panama</t>
  </si>
  <si>
    <t>[PUB]+Informe+Anual+2013-FINAL.pdf</t>
  </si>
  <si>
    <t>[PUB]+Informe+Anual+2014+del+FAP+(FINAL).pdf</t>
  </si>
  <si>
    <t>Informe+Anual+2015+del+FAP+(FINAL).pdf</t>
  </si>
  <si>
    <t>Informe+Anual+2016+del+FAP+(FINAL).pdf</t>
  </si>
  <si>
    <t>FAP+IA2017+FINAL.pdf</t>
  </si>
  <si>
    <t>IA+FINAL+2018.pdf</t>
  </si>
  <si>
    <t>IA2019-EF+N.pdf</t>
  </si>
  <si>
    <t>IA2020_Version+Final.pdf</t>
  </si>
  <si>
    <t>IA2021_Version+Final.pdf</t>
  </si>
  <si>
    <t>IA2022+Version+Final.pdf</t>
  </si>
  <si>
    <t>IA2023+Version+Final.pdf</t>
  </si>
  <si>
    <t>IA2024+Version+Final.pdf</t>
  </si>
  <si>
    <t>Ministerio de Economía y Finanzas de Perú</t>
  </si>
  <si>
    <t>Balance de Fondo de Estabilización Fiscal</t>
  </si>
  <si>
    <t>FEF2007.pdf</t>
  </si>
  <si>
    <t>The value corresponds to “saldos,” or the balance sheet result, which equals total assets.</t>
  </si>
  <si>
    <t>FEF2008.pdf</t>
  </si>
  <si>
    <t>FEF2009.pdf</t>
  </si>
  <si>
    <t>FEF2010.pdf</t>
  </si>
  <si>
    <t>FEF2011.pdf</t>
  </si>
  <si>
    <t>FEF2012.pdf</t>
  </si>
  <si>
    <t>FEF2013.pdf</t>
  </si>
  <si>
    <t>FEF2014.pdf</t>
  </si>
  <si>
    <t>https://www.mef.gob.pe/contenidos/tesoro_pub/fef/informe_anual2015_FEF.pdf</t>
  </si>
  <si>
    <t>https://www.mef.gob.pe/contenidos/tesoro_pub/fef/informe_anual2016_FEF.pdf</t>
  </si>
  <si>
    <t>https://www.mef.gob.pe/contenidos/tesoro_pub/fef/informe_anual2017_FEF.pdf</t>
  </si>
  <si>
    <t>https://www.mef.gob.pe/contenidos/tesoro_pub/fef/informe_anual2018_FEF.pdf</t>
  </si>
  <si>
    <t>https://www.mef.gob.pe/contenidos/tesoro_pub/fef/informe_anual2019_FEF.pdf</t>
  </si>
  <si>
    <t>https://www.mef.gob.pe/contenidos/tesoro_pub/fef/informe_anual2020_FEF.pdf</t>
  </si>
  <si>
    <t>https://www.mef.gob.pe/contenidos/tesoro_pub/fef/informe_anual2021_FEF.pdf</t>
  </si>
  <si>
    <t>https://www.mef.gob.pe/contenidos/tesoro_pub/fef/informe_FEF_anual_2022.pdf</t>
  </si>
  <si>
    <t>https://www.mef.gob.pe/contenidos/tesoro_pub/fef/informe_FEF_anual_2023.pdf</t>
  </si>
  <si>
    <t>https://www.mef.gob.pe/contenidos/tesoro_pub/fef/informe_FEF_anual_2024.pdf</t>
  </si>
  <si>
    <t>Polski Fundusz Rozwoju</t>
  </si>
  <si>
    <t>Periodic and current reports | PFR SA Company Website</t>
  </si>
  <si>
    <t>The Ministry of Finance of the Russian Federation</t>
  </si>
  <si>
    <t>Официальные документы Минфина России</t>
  </si>
  <si>
    <t>Данные о движении средств и результатах управления средствами Фонда национального благосостояния</t>
  </si>
  <si>
    <t>For this year, the World Bank exchange rate (PA.NUS.FCRF) was unavailable; the IMF annual average domestic currency per US dollar was used instead.</t>
  </si>
  <si>
    <t>PIF | Annual Reports | Public Investment Fund</t>
  </si>
  <si>
    <t>https://www.pif.gov.sa/-/media/project/pif-corporate/pif-corporate-site/our-financials/annual-reports/pdf/pif-annual-report-2021.pdf</t>
  </si>
  <si>
    <t>This value corresponds to Assets Under Management</t>
  </si>
  <si>
    <t>https://www.pif.gov.sa/-/media/project/pif-corporate/pif-corporate-site/our-financials/annual-reports/pdf/20250904_pif_ar24_public_english_interactive-pdf.pdf</t>
  </si>
  <si>
    <t>Temasek</t>
  </si>
  <si>
    <t>Temasek Review - Temasek</t>
  </si>
  <si>
    <t>Group Balance Sheets - Group Financials | Temasek Review 2023</t>
  </si>
  <si>
    <t>Group Balance Sheets - Group Financials | Temasek Review 2024</t>
  </si>
  <si>
    <t>Group Balance Sheets - Group Financials | Temasek Review 2025</t>
  </si>
  <si>
    <t>Group Balance Sheets - Group Financials | Temasek Review 2026</t>
  </si>
  <si>
    <t>Group Balance Sheets - Group Financials | Temasek Review 2027</t>
  </si>
  <si>
    <t>Group Balance Sheets - Group Financials | Temasek Review 2028</t>
  </si>
  <si>
    <t>Group Balance Sheets - Group Financials | Temasek Review 2029</t>
  </si>
  <si>
    <t>Group Balance Sheets - Group Financials | Temasek Review 2030</t>
  </si>
  <si>
    <t>Group Balance Sheets - Group Financials | Temasek Review 2031</t>
  </si>
  <si>
    <t>Group Balance Sheets - Group Financials | Temasek Review 2032</t>
  </si>
  <si>
    <t>Group Balance Sheets - Group Financials | Temasek Review 2033</t>
  </si>
  <si>
    <t>Group Balance Sheets - Group Financials | Temasek Review 2034</t>
  </si>
  <si>
    <t>Total assets of  this year was restated in the following year</t>
  </si>
  <si>
    <t>Group Balance Sheets - Group Financials | Temasek Review 2035</t>
  </si>
  <si>
    <t>Group Balance Sheets - Group Financials | Temasek Review 2036</t>
  </si>
  <si>
    <t>Group Balance Sheets - Group Financials | Temasek Review 2037</t>
  </si>
  <si>
    <t>Group Balance Sheets - Group Financials | Temasek Review 2038</t>
  </si>
  <si>
    <t>Group Balance Sheets - Group Financials | Temasek Review 2039</t>
  </si>
  <si>
    <t>Group Balance Sheets - Group Financials | Temasek Review 2040</t>
  </si>
  <si>
    <t>Group Balance Sheets - Group Financials | Temasek Review 2041</t>
  </si>
  <si>
    <t>Group Balance Sheets - Group Financials | Temasek Review 2042</t>
  </si>
  <si>
    <t>Group Balance Sheets - Group Financials | Temasek Review 2043</t>
  </si>
  <si>
    <t>Group Balance Sheets - Group Financials | Temasek Review 2044</t>
  </si>
  <si>
    <t>Performance and Portfolio | Temasek Review 2024</t>
  </si>
  <si>
    <t>Informes y Publicaciones | SEPI</t>
  </si>
  <si>
    <t>Between 2003 and 2007, the annual reports did not explicitly disclose the total liabilities account</t>
  </si>
  <si>
    <t>infanualsepi2006.pdf</t>
  </si>
  <si>
    <t>informe2007web.pdf</t>
  </si>
  <si>
    <t>informe sepi</t>
  </si>
  <si>
    <t>informeanual2009.pdf</t>
  </si>
  <si>
    <t>informe_anual_2011.pdf</t>
  </si>
  <si>
    <t>informeanualsepi2012.pdf</t>
  </si>
  <si>
    <t>pap.hacienda.gob.es/Recuenta/Views/Buscador.aspx</t>
  </si>
  <si>
    <t>The annual report for this year is saved in the attached folder.</t>
  </si>
  <si>
    <t>National Development Fund , Executive Yuan</t>
  </si>
  <si>
    <t>國家發展基金管理會-業務資訊-年報</t>
  </si>
  <si>
    <t>BB.pdf</t>
  </si>
  <si>
    <t xml:space="preserve"> World Bank indicator PA.NUS.FCRF not available; IMF annual average exchange rate (LCU per US$) was used instead</t>
  </si>
  <si>
    <t>b7c37769-cd6f-4892-a989-fe07c96bce49.pdf</t>
  </si>
  <si>
    <t>2d9791b4-5f89-4e31-b23b-7a7c9699f7f3.pdf</t>
  </si>
  <si>
    <t>329b7df5-51f6-4b03-b5a3-4259a946f7b0.pdf</t>
  </si>
  <si>
    <t>National Development Fund,Executive Yuan(Public beta)-Annual Report</t>
  </si>
  <si>
    <t>c9b71182-a0a1-43ee-a3d5-b6746954e81e.pdf</t>
  </si>
  <si>
    <t>65931f31-2380-433b-954b-46ae7ebbeda3.pdf</t>
  </si>
  <si>
    <t>eb5861b4-4bb7-45f5-b32a-2311be3a4df3.pdf</t>
  </si>
  <si>
    <t>ca34a3ff-589d-4e65-9226-19f6c66f8722.pdf</t>
  </si>
  <si>
    <t>Ministry of Finance, R.O.C</t>
  </si>
  <si>
    <t>每季公告之財務報表、每年之決算書-財政部全球資訊網</t>
  </si>
  <si>
    <t>https://www.mof.gov.tw/download/07a3ea8f8b8a4e95a534f19289abb9a6</t>
  </si>
  <si>
    <t>https://www.mof.gov.tw/download/0d6802b0d4b74a7f9f2d2a482734f94e</t>
  </si>
  <si>
    <t>https://www.mof.gov.tw/download/0432152c66654735a04959d9ea6b9cbe</t>
  </si>
  <si>
    <t>https://www.mof.gov.tw/download/3cca69531a624510a2d21aa3a2e77037</t>
  </si>
  <si>
    <t>https://www.mof.gov.tw/download/a7e541fce7d0470bb9339e1dc26965be</t>
  </si>
  <si>
    <t>https://www.mof.gov.tw/download/pub13598</t>
  </si>
  <si>
    <t>https://www.mof.gov.tw/download/pub14109</t>
  </si>
  <si>
    <t>https://www.mof.gov.tw/download/pub14731</t>
  </si>
  <si>
    <t>https://www.mof.gov.tw/download/pub15431</t>
  </si>
  <si>
    <t>https://www.mof.gov.tw/download/pub15914</t>
  </si>
  <si>
    <t>https://www.mof.gov.tw/download/6871</t>
  </si>
  <si>
    <t>https://www.mof.gov.tw/download/9285</t>
  </si>
  <si>
    <t>https://www.mof.gov.tw/download/12154</t>
  </si>
  <si>
    <t>https://www.mof.gov.tw/download/18919</t>
  </si>
  <si>
    <t>https://www.mof.gov.tw/download/75095f2dcb924685a668a9411018a860</t>
  </si>
  <si>
    <t>https://www.mof.gov.tw/download/86353062c61b4e9890d3220af0381074</t>
  </si>
  <si>
    <t>https://www.mof.gov.tw/download/15a62dddfc84466292633201851a2a2c</t>
  </si>
  <si>
    <t>https://www.mof.gov.tw/Eng/download/56b9a5a6a57b482aab03b21dc24e28e7</t>
  </si>
  <si>
    <t>https://www.mof.gov.tw/Eng/download/af2a77ab67be425a8eaeed017ba25ef2</t>
  </si>
  <si>
    <t>https://www.mof.gov.tw/Eng/download/d942efbb02da4cebbb171ef6770e780c</t>
  </si>
  <si>
    <t>Banco Central de Timor Leste</t>
  </si>
  <si>
    <t>Petroleum Fund Report</t>
  </si>
  <si>
    <t>Microsoft Word - PF Annual Report FINAL 06 No 1.doc</t>
  </si>
  <si>
    <t>This year, the fiscal year ended on June 30 (report 2005–2006)</t>
  </si>
  <si>
    <t>documento_1474853103_1477.pdf</t>
  </si>
  <si>
    <t>For this year onwards, the fiscal year end changed to december</t>
  </si>
  <si>
    <t>documento_1474853136_1660.pdf</t>
  </si>
  <si>
    <t>Between 2006 and 2012, total assets are equal to net assets</t>
  </si>
  <si>
    <t>Petroleum Fund Annual Report</t>
  </si>
  <si>
    <t>Petroleum Fund 2006-07 Annual Report</t>
  </si>
  <si>
    <t>documento_1474853617_9174.pdf</t>
  </si>
  <si>
    <t>documento_1474853655_8570.pdf</t>
  </si>
  <si>
    <t>documento_1474853702_6261.pdf</t>
  </si>
  <si>
    <t>documento_1474853743_8013.pdf</t>
  </si>
  <si>
    <t>documento_1506558376_4574.pdf</t>
  </si>
  <si>
    <t>documento_1534826066_1536.pdf</t>
  </si>
  <si>
    <t>documento_1733365071_3436.pdf</t>
  </si>
  <si>
    <t>documento_1733285325_8031.pdf</t>
  </si>
  <si>
    <t>Microsoft Word - 2023 08 10 - TLPF AR 2022 ENGLISH - FINAL draft.docx</t>
  </si>
  <si>
    <t>documento_1759189096_1147.pdf</t>
  </si>
  <si>
    <t>documento_1759145853_3697.pdf</t>
  </si>
  <si>
    <t>Government of the Republic of Trinidad and Tobago</t>
  </si>
  <si>
    <t>Heritage and Stabilisation Fund – Ministry of Finance</t>
  </si>
  <si>
    <t>pub88F5D5.pdf</t>
  </si>
  <si>
    <t>Pages:Pages</t>
  </si>
  <si>
    <t>full covrt</t>
  </si>
  <si>
    <t>HSF Final cover design</t>
  </si>
  <si>
    <t>HSF-2013-Annual-Report.pdf</t>
  </si>
  <si>
    <t>HSF-2014-Annual-Report.pdf</t>
  </si>
  <si>
    <t>HSF-Annual-Report-2016.pdf</t>
  </si>
  <si>
    <t>HSF-Annual-Report-2017.pdf</t>
  </si>
  <si>
    <t>HSF-Annual-Report-2018.pdf</t>
  </si>
  <si>
    <t>HSF-Annual-Report-2019-1.pdf</t>
  </si>
  <si>
    <t>HSF-Annual-Report-2020.pdf</t>
  </si>
  <si>
    <t>HSF-AR-2021-web-1.pdf</t>
  </si>
  <si>
    <t>HSF-AR-2022.pdf</t>
  </si>
  <si>
    <t>WEB-•-HSF-AR-2023.pdf</t>
  </si>
  <si>
    <t>SKM_C650i25071611210</t>
  </si>
  <si>
    <t>Türkiye Wealth Fund</t>
  </si>
  <si>
    <t>TWF | Türkiye Wealth Fund | General Info</t>
  </si>
  <si>
    <t>2018-twf-consolidated-financial-statements-31-december-2018.pdf</t>
  </si>
  <si>
    <t>twf-consolidated-financial-statement-31-december-2020.pdf</t>
  </si>
  <si>
    <t>turkiye-varlik-fonu-ve-bagli-oliklari-31122022-eng-final.pdf</t>
  </si>
  <si>
    <t>twf-consolidated-financial-statement-31-december-2023.pdf</t>
  </si>
  <si>
    <t>twf-consolidated-financial-statement-31-december-2024.pdf</t>
  </si>
  <si>
    <t>Mubadala</t>
  </si>
  <si>
    <t>https://www.mubadala.com/annual-review-2021/en/</t>
  </si>
  <si>
    <t>Investors | Mubadala</t>
  </si>
  <si>
    <t>https://annual2022.mubadala.com/en/performance-2022</t>
  </si>
  <si>
    <t>https://annual2023.mubadala.com/en/</t>
  </si>
  <si>
    <t>Financial Information - Investment Corporation of Dubai</t>
  </si>
  <si>
    <t>Microsoft Word - ICD Group Consolidation 31 12 2013 v18</t>
  </si>
  <si>
    <t>Microsoft Word - ICD Group Consolidation 31 12 2013 v19</t>
  </si>
  <si>
    <t>Microsoft Word - ICD Group Consolidation 31 12 2013 v20</t>
  </si>
  <si>
    <t>Microsoft Word - ICD group Consolidation 31 12 14 v23</t>
  </si>
  <si>
    <t>ICD-Audited-Consolidated-FS-Dec-2015.pdf</t>
  </si>
  <si>
    <t>ICD-Audited-Consolidated-FS-Dec-2016.pdf</t>
  </si>
  <si>
    <t>ICD-Audited-Consolidated-FS-Dec-2017.pdf</t>
  </si>
  <si>
    <t>Investment Corporation of Dubai and its Subsidiaries</t>
  </si>
  <si>
    <t>Liabilities include "customer deposits" and "customer Acceptances"</t>
  </si>
  <si>
    <t>"Assets" shown in anual reports' highlights are equal to Total Assets</t>
  </si>
  <si>
    <t>Reconstruction and Development Fund of the Republic of Uzbekistan</t>
  </si>
  <si>
    <t>Financial report</t>
  </si>
  <si>
    <t>SKM_C30819071515220</t>
  </si>
  <si>
    <t>2020_yil_uchun_moliyaviy_hisobot_eng.pdf</t>
  </si>
  <si>
    <t>en.ufrd.uz/f/2020_yil_uchun_moliyaviy_hisobot_eng.pdf</t>
  </si>
  <si>
    <t>2021_yil_uchun_moliyaviy_hisobot_eng.pdf</t>
  </si>
  <si>
    <t>SKM_C30823072411120</t>
  </si>
  <si>
    <t>ФРРУ_ФО_2023_Eng_Final.pdf</t>
  </si>
  <si>
    <t>Increase in cash investments and available assets of 5,213.1 million EUR. Fund's annual reports did not explicitly disclose the total liabilities account.</t>
  </si>
  <si>
    <t>https://www.tesourotransparente.gov.br/ckan/dataset/a4728899-91e3-4218-abfb-d4068ada2c22/resource/3bcc65e0-7011-4699-9375-bbde0ca67a97/download/patr-liquido-fsb.csv</t>
  </si>
  <si>
    <t>DA</t>
  </si>
  <si>
    <t>AOA</t>
  </si>
  <si>
    <t>USD</t>
  </si>
  <si>
    <t>EUR</t>
  </si>
  <si>
    <t>AZM</t>
  </si>
  <si>
    <t>AZN</t>
  </si>
  <si>
    <t>BHD</t>
  </si>
  <si>
    <t>BRL</t>
  </si>
  <si>
    <t>CVE</t>
  </si>
  <si>
    <t>DKK</t>
  </si>
  <si>
    <t>XAF</t>
  </si>
  <si>
    <t>GEL</t>
  </si>
  <si>
    <t>GYD</t>
  </si>
  <si>
    <t>JPY</t>
  </si>
  <si>
    <t>KZT</t>
  </si>
  <si>
    <t>AUD</t>
  </si>
  <si>
    <t>MYR</t>
  </si>
  <si>
    <t>MXN</t>
  </si>
  <si>
    <t>NOK</t>
  </si>
  <si>
    <t>NZD</t>
  </si>
  <si>
    <t>NGN</t>
  </si>
  <si>
    <t>PAB</t>
  </si>
  <si>
    <t>PLN</t>
  </si>
  <si>
    <t>RUB</t>
  </si>
  <si>
    <t>SAR</t>
  </si>
  <si>
    <t>SGD</t>
  </si>
  <si>
    <t>TWD</t>
  </si>
  <si>
    <t>TRY</t>
  </si>
  <si>
    <t>AED</t>
  </si>
  <si>
    <t>UZS</t>
  </si>
  <si>
    <t>LCU per US$ (worldbank PA.NUS.FCRF)</t>
  </si>
  <si>
    <r>
      <t xml:space="preserve">All monetary values are expressed in USD billions. Local currency figures were converted using the World Bank official exchange rate (LCU per US$, period average); when unavailable for specific jurisdictions or years, the IMF annual average exchange rate (LCU per US$) was used instead.
</t>
    </r>
    <r>
      <rPr>
        <b/>
        <i/>
        <sz val="12"/>
        <rFont val="Times New Roman"/>
        <family val="1"/>
      </rPr>
      <t xml:space="preserve">Exchange_rate </t>
    </r>
    <r>
      <rPr>
        <sz val="12"/>
        <rFont val="Times New Roman"/>
        <family val="1"/>
      </rPr>
      <t xml:space="preserve"> sheet provides the original reporting currency, expressed in millions, together with the yearly local currency per US$ exchange rate.</t>
    </r>
  </si>
  <si>
    <t>SWF</t>
  </si>
  <si>
    <t>Country</t>
  </si>
  <si>
    <t>IFSW year</t>
  </si>
  <si>
    <t xml:space="preserve">Link </t>
  </si>
  <si>
    <t>Classification</t>
  </si>
  <si>
    <t xml:space="preserve">Description </t>
  </si>
  <si>
    <t>BTN</t>
  </si>
  <si>
    <t>World Bank Document</t>
  </si>
  <si>
    <t>stabilization</t>
  </si>
  <si>
    <t>Uses: during times of macroeconomic instability, economic crisis and business cycle fluctuations</t>
  </si>
  <si>
    <t>Ley 209 de 1995 - Gestor Normativo - Función Pública</t>
  </si>
  <si>
    <t>LA DIRECCIÓN GENERAL DE LOS FONDOS DE ESTABILIZACIÓN Y IGUALACIÓN – caistab</t>
  </si>
  <si>
    <t>strategic</t>
  </si>
  <si>
    <t>Su misión es contribuir al desarrollo de la industria de cacao y el café, además extender el sistema ancional de compensación al gas y al gasóleo para la pesca</t>
  </si>
  <si>
    <t>IRN</t>
  </si>
  <si>
    <t>Reporting currency (Millions)</t>
  </si>
  <si>
    <t>Tiene un carácter estrictamente temporal y propósitos exclusivamente de ahorro fiscal y estabilización macroeconómica</t>
  </si>
  <si>
    <t xml:space="preserve">New classification </t>
  </si>
  <si>
    <t>Son fondos para contribuir al avance económico y en la autosuficiencia de Micronesia, proveyendo una fuente anual de Ingresos. Es un trato junto con EEUU y, al parecer, con Taiwán.</t>
  </si>
  <si>
    <r>
      <t>Established to</t>
    </r>
    <r>
      <rPr>
        <b/>
        <sz val="11"/>
        <color theme="1"/>
        <rFont val="Calibri"/>
        <family val="2"/>
        <scheme val="minor"/>
      </rPr>
      <t xml:space="preserve"> stabilize </t>
    </r>
    <r>
      <rPr>
        <sz val="11"/>
        <color theme="1"/>
        <rFont val="Calibri"/>
        <family val="2"/>
        <scheme val="minor"/>
      </rPr>
      <t>the annual budget and prevent the oil prices fluctuations. The other objective of OSF was to save a portion of oil revenues for future generations through making productive investments.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</si>
</sst>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_ ;_ * \-#,##0_ ;_ * &quot;-&quot;_ ;_ @_ "/>
    <numFmt numFmtId="165" formatCode="_ &quot;$&quot;* #,##0_ ;_ &quot;$&quot;* \-#,##0_ ;_ &quot;$&quot;* &quot;-&quot;_ ;_ @_ "/>
  </numFmts>
  <fonts count="20" x14ac:knownFonts="1">
    <font>
      <sz val="11"/>
      <color theme="1"/>
      <name val="Calibri"/>
      <family val="2"/>
      <scheme val="minor"/>
    </font>
    <font>
      <sz val="12"/>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i/>
      <sz val="11"/>
      <color theme="1"/>
      <name val="Calibri"/>
      <family val="2"/>
      <scheme val="minor"/>
    </font>
    <font>
      <b/>
      <sz val="8"/>
      <color theme="1"/>
      <name val="Calibri"/>
      <family val="2"/>
      <scheme val="minor"/>
    </font>
    <font>
      <sz val="11"/>
      <color theme="1"/>
      <name val="Calibri"/>
      <family val="2"/>
    </font>
    <font>
      <b/>
      <sz val="11"/>
      <color theme="1"/>
      <name val="Calibri"/>
      <family val="2"/>
      <scheme val="minor"/>
    </font>
    <font>
      <sz val="11"/>
      <color rgb="FF0F2C42"/>
      <name val="Arial"/>
      <family val="2"/>
    </font>
    <font>
      <sz val="10"/>
      <name val="Times New Roman"/>
      <family val="1"/>
    </font>
    <font>
      <b/>
      <sz val="20"/>
      <name val="Times New Roman"/>
      <family val="1"/>
    </font>
    <font>
      <sz val="20"/>
      <name val="Times New Roman"/>
      <family val="1"/>
    </font>
    <font>
      <sz val="16"/>
      <name val="Times New Roman"/>
      <family val="1"/>
    </font>
    <font>
      <sz val="12"/>
      <name val="Times New Roman"/>
      <family val="1"/>
    </font>
    <font>
      <i/>
      <sz val="12"/>
      <name val="Times New Roman"/>
      <family val="1"/>
    </font>
    <font>
      <sz val="14"/>
      <name val="Times New Roman"/>
      <family val="1"/>
    </font>
    <font>
      <b/>
      <sz val="12"/>
      <name val="Times New Roman"/>
      <family val="1"/>
    </font>
    <font>
      <b/>
      <i/>
      <sz val="14"/>
      <name val="Times New Roman"/>
      <family val="1"/>
    </font>
    <font>
      <b/>
      <i/>
      <sz val="12"/>
      <name val="Times New Roman"/>
      <family val="1"/>
    </font>
  </fonts>
  <fills count="5">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rgb="FFFFFF00"/>
        <bgColor indexed="64"/>
      </patternFill>
    </fill>
  </fills>
  <borders count="8">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s>
  <cellStyleXfs count="5">
    <xf numFmtId="0" fontId="0" fillId="0" borderId="0"/>
    <xf numFmtId="0" fontId="2" fillId="0" borderId="0" applyNumberForma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0" fontId="10" fillId="0" borderId="0"/>
  </cellStyleXfs>
  <cellXfs count="57">
    <xf numFmtId="0" fontId="0" fillId="0" borderId="0" xfId="0"/>
    <xf numFmtId="0" fontId="2" fillId="0" borderId="0" xfId="1"/>
    <xf numFmtId="165" fontId="0" fillId="0" borderId="0" xfId="2" applyFont="1"/>
    <xf numFmtId="0" fontId="0" fillId="0" borderId="0" xfId="0" applyAlignment="1">
      <alignment wrapText="1"/>
    </xf>
    <xf numFmtId="0" fontId="6" fillId="0" borderId="0" xfId="0" applyFont="1" applyAlignment="1">
      <alignment wrapText="1"/>
    </xf>
    <xf numFmtId="0" fontId="0" fillId="0" borderId="0" xfId="0" quotePrefix="1"/>
    <xf numFmtId="2" fontId="0" fillId="0" borderId="0" xfId="0" applyNumberFormat="1"/>
    <xf numFmtId="3" fontId="0" fillId="0" borderId="0" xfId="0" applyNumberFormat="1"/>
    <xf numFmtId="0" fontId="2" fillId="0" borderId="0" xfId="1" applyFill="1"/>
    <xf numFmtId="0" fontId="0" fillId="0" borderId="1" xfId="0" applyBorder="1"/>
    <xf numFmtId="4" fontId="0" fillId="0" borderId="0" xfId="0" applyNumberFormat="1"/>
    <xf numFmtId="165" fontId="0" fillId="0" borderId="0" xfId="2" applyFont="1" applyFill="1"/>
    <xf numFmtId="2" fontId="7" fillId="0" borderId="0" xfId="0" applyNumberFormat="1" applyFont="1"/>
    <xf numFmtId="0" fontId="8" fillId="0" borderId="0" xfId="0" applyFont="1"/>
    <xf numFmtId="2" fontId="0" fillId="0" borderId="0" xfId="3" applyNumberFormat="1" applyFont="1" applyFill="1"/>
    <xf numFmtId="0" fontId="2" fillId="0" borderId="0" xfId="1" applyFill="1" applyBorder="1"/>
    <xf numFmtId="0" fontId="2" fillId="0" borderId="1" xfId="1" applyFill="1" applyBorder="1"/>
    <xf numFmtId="3" fontId="2" fillId="0" borderId="0" xfId="1" applyNumberFormat="1" applyFill="1"/>
    <xf numFmtId="0" fontId="0" fillId="0" borderId="0" xfId="0" applyAlignment="1">
      <alignment vertical="center" wrapText="1"/>
    </xf>
    <xf numFmtId="0" fontId="9" fillId="0" borderId="0" xfId="0" applyFont="1"/>
    <xf numFmtId="14" fontId="0" fillId="0" borderId="0" xfId="0" applyNumberFormat="1" applyAlignment="1">
      <alignment horizontal="center"/>
    </xf>
    <xf numFmtId="0" fontId="0" fillId="0" borderId="2" xfId="0" applyBorder="1"/>
    <xf numFmtId="17" fontId="0" fillId="0" borderId="0" xfId="0" applyNumberFormat="1"/>
    <xf numFmtId="0" fontId="2" fillId="0" borderId="0" xfId="1" applyFill="1" applyAlignment="1"/>
    <xf numFmtId="0" fontId="0" fillId="0" borderId="0" xfId="0" applyAlignment="1">
      <alignment horizontal="left" vertical="center"/>
    </xf>
    <xf numFmtId="0" fontId="0" fillId="0" borderId="0" xfId="0" applyAlignment="1">
      <alignment horizontal="center"/>
    </xf>
    <xf numFmtId="17" fontId="0" fillId="0" borderId="0" xfId="0" applyNumberFormat="1" applyAlignment="1">
      <alignment horizontal="center"/>
    </xf>
    <xf numFmtId="0" fontId="10" fillId="0" borderId="0" xfId="4"/>
    <xf numFmtId="0" fontId="12" fillId="2" borderId="6" xfId="4" applyFont="1" applyFill="1" applyBorder="1" applyAlignment="1">
      <alignment horizontal="center"/>
    </xf>
    <xf numFmtId="0" fontId="12" fillId="2" borderId="2" xfId="4" applyFont="1" applyFill="1" applyBorder="1" applyAlignment="1">
      <alignment horizontal="center"/>
    </xf>
    <xf numFmtId="0" fontId="14" fillId="2" borderId="6" xfId="4" applyFont="1" applyFill="1" applyBorder="1"/>
    <xf numFmtId="0" fontId="14" fillId="2" borderId="2" xfId="4" applyFont="1" applyFill="1" applyBorder="1"/>
    <xf numFmtId="0" fontId="15" fillId="2" borderId="6" xfId="4" applyFont="1" applyFill="1" applyBorder="1"/>
    <xf numFmtId="0" fontId="16" fillId="2" borderId="6" xfId="4" applyFont="1" applyFill="1" applyBorder="1"/>
    <xf numFmtId="0" fontId="10" fillId="2" borderId="7" xfId="4" applyFill="1" applyBorder="1"/>
    <xf numFmtId="0" fontId="10" fillId="2" borderId="3" xfId="4" applyFill="1" applyBorder="1"/>
    <xf numFmtId="0" fontId="10" fillId="2" borderId="4" xfId="4" applyFill="1" applyBorder="1"/>
    <xf numFmtId="0" fontId="10" fillId="2" borderId="5" xfId="4" applyFill="1" applyBorder="1"/>
    <xf numFmtId="0" fontId="10" fillId="2" borderId="6" xfId="4" applyFill="1" applyBorder="1"/>
    <xf numFmtId="0" fontId="10" fillId="2" borderId="2" xfId="4" applyFill="1" applyBorder="1"/>
    <xf numFmtId="0" fontId="16" fillId="2" borderId="6" xfId="4" applyFont="1" applyFill="1" applyBorder="1" applyAlignment="1">
      <alignment horizontal="center" vertical="center"/>
    </xf>
    <xf numFmtId="0" fontId="14" fillId="2" borderId="2" xfId="4" applyFont="1" applyFill="1" applyBorder="1" applyAlignment="1">
      <alignment vertical="center" wrapText="1"/>
    </xf>
    <xf numFmtId="0" fontId="17" fillId="2" borderId="2" xfId="4" applyFont="1" applyFill="1" applyBorder="1" applyAlignment="1">
      <alignment vertical="center" wrapText="1"/>
    </xf>
    <xf numFmtId="0" fontId="16" fillId="2" borderId="7" xfId="4" applyFont="1" applyFill="1" applyBorder="1" applyAlignment="1">
      <alignment horizontal="center" vertical="center" wrapText="1"/>
    </xf>
    <xf numFmtId="0" fontId="14" fillId="2" borderId="3" xfId="4" applyFont="1" applyFill="1" applyBorder="1" applyAlignment="1">
      <alignment vertical="center" wrapText="1"/>
    </xf>
    <xf numFmtId="0" fontId="0" fillId="0" borderId="0" xfId="0" applyAlignment="1">
      <alignment horizontal="center" vertical="center" wrapText="1"/>
    </xf>
    <xf numFmtId="0" fontId="18" fillId="2" borderId="6" xfId="4" applyFont="1" applyFill="1" applyBorder="1"/>
    <xf numFmtId="0" fontId="14" fillId="2" borderId="2" xfId="4" applyFont="1" applyFill="1" applyBorder="1" applyAlignment="1">
      <alignment wrapText="1"/>
    </xf>
    <xf numFmtId="0" fontId="0" fillId="3" borderId="0" xfId="0" applyFill="1"/>
    <xf numFmtId="0" fontId="0" fillId="4" borderId="0" xfId="0" applyFill="1"/>
    <xf numFmtId="0" fontId="1" fillId="0" borderId="0" xfId="0" applyFont="1"/>
    <xf numFmtId="0" fontId="11" fillId="2" borderId="6" xfId="4" applyFont="1" applyFill="1" applyBorder="1" applyAlignment="1">
      <alignment horizontal="center" vertical="center" wrapText="1"/>
    </xf>
    <xf numFmtId="0" fontId="11" fillId="0" borderId="2" xfId="4" applyFont="1" applyBorder="1" applyAlignment="1">
      <alignment horizontal="center" vertical="center" wrapText="1"/>
    </xf>
    <xf numFmtId="0" fontId="11" fillId="2" borderId="4" xfId="4" applyFont="1" applyFill="1" applyBorder="1" applyAlignment="1">
      <alignment horizontal="center"/>
    </xf>
    <xf numFmtId="0" fontId="11" fillId="2" borderId="5" xfId="4" applyFont="1" applyFill="1" applyBorder="1" applyAlignment="1">
      <alignment horizontal="center"/>
    </xf>
    <xf numFmtId="0" fontId="13" fillId="2" borderId="6" xfId="4" applyFont="1" applyFill="1" applyBorder="1" applyAlignment="1">
      <alignment horizontal="center"/>
    </xf>
    <xf numFmtId="0" fontId="13" fillId="2" borderId="2" xfId="4" applyFont="1" applyFill="1" applyBorder="1" applyAlignment="1">
      <alignment horizontal="center"/>
    </xf>
  </cellXfs>
  <cellStyles count="5">
    <cellStyle name="Hipervínculo" xfId="1" builtinId="8"/>
    <cellStyle name="Millares [0]" xfId="3" builtinId="6"/>
    <cellStyle name="Moneda [0]" xfId="2" builtinId="7"/>
    <cellStyle name="Normal" xfId="0" builtinId="0"/>
    <cellStyle name="Normal 2" xfId="4" xr:uid="{D472093F-168D-49E7-B7B6-9681FBC459C6}"/>
  </cellStyles>
  <dxfs count="0"/>
  <tableStyles count="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3EB52EEC8DA34D1E/GitHub/AMR_SWF_Full_Iris/data/xlsx/swf_country_raw.xlsx" TargetMode="External"/><Relationship Id="rId1" Type="http://schemas.openxmlformats.org/officeDocument/2006/relationships/externalLinkPath" Target="swf_country_ra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3EB52EEC8DA34D1E" itemId="3EB52EEC8DA34D1E!s0a5de150f7c04376b05a314d6304a58b">
      <xxl21:absoluteUrl r:id="rId2"/>
    </xxl21:alternateUrls>
    <sheetNames>
      <sheetName val="raw_data_all"/>
      <sheetName val="raw_data_national"/>
      <sheetName val="raw_data_national_final"/>
      <sheetName val="raw_data_aum"/>
      <sheetName val="raw_data_aum_final"/>
      <sheetName val="ifsfw"/>
      <sheetName val="country_codes"/>
      <sheetName val="raw_data_national (2)"/>
    </sheetNames>
    <sheetDataSet>
      <sheetData sheetId="0"/>
      <sheetData sheetId="1"/>
      <sheetData sheetId="2"/>
      <sheetData sheetId="3"/>
      <sheetData sheetId="4"/>
      <sheetData sheetId="5">
        <row r="1">
          <cell r="A1" t="str">
            <v>SWF Name</v>
          </cell>
          <cell r="B1" t="str">
            <v>Type of Fund</v>
          </cell>
          <cell r="C1" t="str">
            <v>SWF Country</v>
          </cell>
          <cell r="D1" t="str">
            <v>SWF Region</v>
          </cell>
          <cell r="E1" t="str">
            <v>Macro Region</v>
          </cell>
          <cell r="F1" t="str">
            <v>IFSWF Member (Y/N)</v>
          </cell>
          <cell r="G1" t="str">
            <v>Year</v>
          </cell>
          <cell r="H1" t="str">
            <v>End-2019 AUM (US$ bn)</v>
          </cell>
          <cell r="I1" t="str">
            <v>COUNTRY</v>
          </cell>
          <cell r="J1" t="str">
            <v>regional</v>
          </cell>
          <cell r="K1" t="str">
            <v>stabilisation</v>
          </cell>
          <cell r="L1" t="str">
            <v>savings</v>
          </cell>
          <cell r="M1" t="str">
            <v>strategic</v>
          </cell>
          <cell r="N1" t="str">
            <v>hybrid</v>
          </cell>
        </row>
        <row r="2">
          <cell r="A2" t="str">
            <v>Fundo Soberano de Angola</v>
          </cell>
          <cell r="B2" t="str">
            <v>Hybrid</v>
          </cell>
          <cell r="C2" t="str">
            <v>Angola</v>
          </cell>
          <cell r="D2" t="str">
            <v>Sub-Saharan Africa</v>
          </cell>
          <cell r="E2" t="str">
            <v>Africa</v>
          </cell>
          <cell r="F2" t="str">
            <v>Y</v>
          </cell>
          <cell r="G2">
            <v>2012</v>
          </cell>
          <cell r="H2">
            <v>4.5869999999999997</v>
          </cell>
          <cell r="I2" t="str">
            <v>Angola</v>
          </cell>
          <cell r="J2">
            <v>0</v>
          </cell>
          <cell r="K2">
            <v>0</v>
          </cell>
          <cell r="L2">
            <v>0</v>
          </cell>
          <cell r="M2">
            <v>0</v>
          </cell>
          <cell r="N2">
            <v>1</v>
          </cell>
        </row>
        <row r="3">
          <cell r="A3" t="str">
            <v>Armenian National Interests Fund (ANIF)</v>
          </cell>
          <cell r="B3" t="str">
            <v>Strategic/Development</v>
          </cell>
          <cell r="C3" t="str">
            <v>Armenia</v>
          </cell>
          <cell r="E3" t="str">
            <v>Asia</v>
          </cell>
          <cell r="G3">
            <v>2019</v>
          </cell>
          <cell r="I3" t="str">
            <v>Armenia</v>
          </cell>
          <cell r="J3">
            <v>0</v>
          </cell>
          <cell r="K3">
            <v>0</v>
          </cell>
          <cell r="L3">
            <v>0</v>
          </cell>
          <cell r="M3">
            <v>1</v>
          </cell>
          <cell r="N3">
            <v>0</v>
          </cell>
        </row>
        <row r="4">
          <cell r="A4" t="str">
            <v>Future Fund</v>
          </cell>
          <cell r="B4" t="str">
            <v>Savings</v>
          </cell>
          <cell r="C4" t="str">
            <v>Australia</v>
          </cell>
          <cell r="D4" t="str">
            <v>Oceania</v>
          </cell>
          <cell r="E4" t="str">
            <v>Oceania</v>
          </cell>
          <cell r="F4" t="str">
            <v>Y</v>
          </cell>
          <cell r="G4">
            <v>2006</v>
          </cell>
          <cell r="H4">
            <v>118.1338974078426</v>
          </cell>
          <cell r="I4" t="str">
            <v>Australia</v>
          </cell>
          <cell r="J4">
            <v>0</v>
          </cell>
          <cell r="K4">
            <v>0</v>
          </cell>
          <cell r="L4">
            <v>1</v>
          </cell>
          <cell r="M4">
            <v>0</v>
          </cell>
          <cell r="N4">
            <v>0</v>
          </cell>
        </row>
        <row r="5">
          <cell r="A5" t="str">
            <v>NSW Generations Fund</v>
          </cell>
          <cell r="B5" t="str">
            <v>Savings</v>
          </cell>
          <cell r="C5" t="str">
            <v>Australia (New South Wales)</v>
          </cell>
          <cell r="D5" t="str">
            <v>Oceania</v>
          </cell>
          <cell r="E5" t="str">
            <v>Oceania</v>
          </cell>
          <cell r="F5" t="str">
            <v>N</v>
          </cell>
          <cell r="G5">
            <v>2018</v>
          </cell>
          <cell r="H5">
            <v>7.6554239273600002</v>
          </cell>
          <cell r="I5" t="str">
            <v>Australia</v>
          </cell>
          <cell r="J5">
            <v>1</v>
          </cell>
          <cell r="K5">
            <v>0</v>
          </cell>
          <cell r="L5">
            <v>1</v>
          </cell>
          <cell r="M5">
            <v>0</v>
          </cell>
          <cell r="N5">
            <v>0</v>
          </cell>
        </row>
        <row r="6">
          <cell r="A6" t="str">
            <v>State Oil Fund of the Republic of Azerbaijan</v>
          </cell>
          <cell r="B6" t="str">
            <v>Hybrid</v>
          </cell>
          <cell r="C6" t="str">
            <v>Azerbaijan</v>
          </cell>
          <cell r="D6" t="str">
            <v>Central Asia</v>
          </cell>
          <cell r="E6" t="str">
            <v>Asia</v>
          </cell>
          <cell r="F6" t="str">
            <v>Y</v>
          </cell>
          <cell r="G6">
            <v>1999</v>
          </cell>
          <cell r="H6">
            <v>43.3</v>
          </cell>
          <cell r="I6" t="str">
            <v>Azerbaijan</v>
          </cell>
          <cell r="J6">
            <v>0</v>
          </cell>
          <cell r="K6">
            <v>0</v>
          </cell>
          <cell r="L6">
            <v>0</v>
          </cell>
          <cell r="M6">
            <v>0</v>
          </cell>
          <cell r="N6">
            <v>1</v>
          </cell>
        </row>
        <row r="7">
          <cell r="A7" t="str">
            <v>Bahrain Mumtalakat Holding Company</v>
          </cell>
          <cell r="B7" t="str">
            <v>Strategic</v>
          </cell>
          <cell r="C7" t="str">
            <v>Bahrain</v>
          </cell>
          <cell r="D7" t="str">
            <v>West Asia</v>
          </cell>
          <cell r="E7" t="str">
            <v>Asia</v>
          </cell>
          <cell r="F7" t="str">
            <v>N</v>
          </cell>
          <cell r="G7">
            <v>2006</v>
          </cell>
          <cell r="H7">
            <v>19</v>
          </cell>
          <cell r="I7" t="str">
            <v>Bahrain</v>
          </cell>
          <cell r="J7">
            <v>0</v>
          </cell>
          <cell r="K7">
            <v>0</v>
          </cell>
          <cell r="L7">
            <v>0</v>
          </cell>
          <cell r="M7">
            <v>1</v>
          </cell>
          <cell r="N7">
            <v>0</v>
          </cell>
        </row>
        <row r="8">
          <cell r="A8" t="str">
            <v>Future Generation Reserve Fund</v>
          </cell>
          <cell r="B8" t="str">
            <v>Savings</v>
          </cell>
          <cell r="C8" t="str">
            <v>Bahrain</v>
          </cell>
          <cell r="D8" t="str">
            <v>West Asia</v>
          </cell>
          <cell r="E8" t="str">
            <v>Asia</v>
          </cell>
          <cell r="F8" t="str">
            <v>N</v>
          </cell>
          <cell r="G8">
            <v>2006</v>
          </cell>
          <cell r="H8">
            <v>0.8</v>
          </cell>
          <cell r="I8" t="str">
            <v>Bahrain</v>
          </cell>
          <cell r="J8">
            <v>0</v>
          </cell>
          <cell r="K8">
            <v>0</v>
          </cell>
          <cell r="L8">
            <v>1</v>
          </cell>
          <cell r="M8">
            <v>0</v>
          </cell>
          <cell r="N8">
            <v>0</v>
          </cell>
        </row>
        <row r="9">
          <cell r="A9" t="str">
            <v>Société Fédérale de Participations et d'Investissement-Société Fédérale de Participations (SFPI-FPIM)</v>
          </cell>
          <cell r="B9" t="str">
            <v>Strategic/Development</v>
          </cell>
          <cell r="C9" t="str">
            <v>Belgium</v>
          </cell>
          <cell r="E9" t="str">
            <v>Europe</v>
          </cell>
          <cell r="G9">
            <v>2006</v>
          </cell>
          <cell r="I9" t="str">
            <v>Belgium</v>
          </cell>
          <cell r="J9">
            <v>0</v>
          </cell>
          <cell r="K9">
            <v>0</v>
          </cell>
          <cell r="L9">
            <v>0</v>
          </cell>
          <cell r="M9">
            <v>1</v>
          </cell>
          <cell r="N9">
            <v>0</v>
          </cell>
        </row>
        <row r="10">
          <cell r="A10" t="str">
            <v>Bhutan Economic Stabilisation Fund</v>
          </cell>
          <cell r="B10" t="str">
            <v>Stabilisation</v>
          </cell>
          <cell r="C10" t="str">
            <v>Bhutan</v>
          </cell>
          <cell r="D10" t="str">
            <v>South-central Asia</v>
          </cell>
          <cell r="E10" t="str">
            <v>Asia</v>
          </cell>
          <cell r="F10" t="str">
            <v>N</v>
          </cell>
          <cell r="G10">
            <v>2018</v>
          </cell>
          <cell r="H10">
            <v>2.8053578400000001</v>
          </cell>
          <cell r="I10" t="str">
            <v>Bhutan</v>
          </cell>
          <cell r="J10">
            <v>0</v>
          </cell>
          <cell r="K10">
            <v>1</v>
          </cell>
          <cell r="L10">
            <v>0</v>
          </cell>
          <cell r="M10">
            <v>0</v>
          </cell>
          <cell r="N10">
            <v>0</v>
          </cell>
        </row>
        <row r="11">
          <cell r="A11" t="str">
            <v>Fondo para la Revolución Industrial Productiva (FINPRO)</v>
          </cell>
          <cell r="B11" t="str">
            <v>Strategic</v>
          </cell>
          <cell r="C11" t="str">
            <v>Bolivia</v>
          </cell>
          <cell r="D11" t="str">
            <v>Central America</v>
          </cell>
          <cell r="E11" t="str">
            <v>America</v>
          </cell>
          <cell r="F11" t="str">
            <v>N</v>
          </cell>
          <cell r="G11">
            <v>2012</v>
          </cell>
          <cell r="H11">
            <v>1.2</v>
          </cell>
          <cell r="I11" t="str">
            <v>Bolivia</v>
          </cell>
          <cell r="J11">
            <v>0</v>
          </cell>
          <cell r="K11">
            <v>0</v>
          </cell>
          <cell r="L11">
            <v>0</v>
          </cell>
          <cell r="M11">
            <v>1</v>
          </cell>
          <cell r="N11">
            <v>0</v>
          </cell>
        </row>
        <row r="12">
          <cell r="A12" t="str">
            <v>Pula Fund</v>
          </cell>
          <cell r="B12" t="str">
            <v>Hybrid</v>
          </cell>
          <cell r="C12" t="str">
            <v>Botswana</v>
          </cell>
          <cell r="D12" t="str">
            <v>Sub-Saharan Africa</v>
          </cell>
          <cell r="E12" t="str">
            <v>Africa</v>
          </cell>
          <cell r="F12" t="str">
            <v>Y</v>
          </cell>
          <cell r="G12">
            <v>1994</v>
          </cell>
          <cell r="H12">
            <v>1.7174091860205105</v>
          </cell>
          <cell r="I12" t="str">
            <v>Botswana</v>
          </cell>
          <cell r="J12">
            <v>0</v>
          </cell>
          <cell r="K12">
            <v>0</v>
          </cell>
          <cell r="L12">
            <v>0</v>
          </cell>
          <cell r="M12">
            <v>0</v>
          </cell>
          <cell r="N12">
            <v>1</v>
          </cell>
        </row>
        <row r="13">
          <cell r="A13" t="str">
            <v>Fundo Soberano de Estado do Espírito Santo (FUNSES)</v>
          </cell>
          <cell r="B13" t="str">
            <v>Savings</v>
          </cell>
          <cell r="C13" t="str">
            <v>Brazil (Espirito Santo)</v>
          </cell>
          <cell r="E13" t="str">
            <v>America</v>
          </cell>
          <cell r="G13">
            <v>2019</v>
          </cell>
          <cell r="I13" t="str">
            <v>Brazil</v>
          </cell>
          <cell r="J13">
            <v>1</v>
          </cell>
          <cell r="K13">
            <v>0</v>
          </cell>
          <cell r="L13">
            <v>1</v>
          </cell>
          <cell r="M13">
            <v>0</v>
          </cell>
          <cell r="N13">
            <v>0</v>
          </cell>
        </row>
        <row r="14">
          <cell r="A14" t="str">
            <v>Alberta Heritage Savings Trust Fund</v>
          </cell>
          <cell r="B14" t="str">
            <v>Savings</v>
          </cell>
          <cell r="C14" t="str">
            <v>Canada (Alberta)</v>
          </cell>
          <cell r="D14" t="str">
            <v>North America</v>
          </cell>
          <cell r="E14" t="str">
            <v>America</v>
          </cell>
          <cell r="F14" t="str">
            <v>N</v>
          </cell>
          <cell r="G14">
            <v>1976</v>
          </cell>
          <cell r="H14">
            <v>13.886645011200001</v>
          </cell>
          <cell r="I14" t="str">
            <v>Canada</v>
          </cell>
          <cell r="J14">
            <v>1</v>
          </cell>
          <cell r="K14">
            <v>0</v>
          </cell>
          <cell r="L14">
            <v>1</v>
          </cell>
          <cell r="M14">
            <v>0</v>
          </cell>
          <cell r="N14">
            <v>0</v>
          </cell>
        </row>
        <row r="15">
          <cell r="A15" t="str">
            <v>Northwest Territories Heritage Fund</v>
          </cell>
          <cell r="B15" t="str">
            <v>Savings</v>
          </cell>
          <cell r="C15" t="str">
            <v>Canada (Northwest Territories)</v>
          </cell>
          <cell r="D15" t="str">
            <v>North America</v>
          </cell>
          <cell r="E15" t="str">
            <v>America</v>
          </cell>
          <cell r="F15" t="str">
            <v>N</v>
          </cell>
          <cell r="G15">
            <v>2012</v>
          </cell>
          <cell r="H15">
            <v>2.4215E-2</v>
          </cell>
          <cell r="I15" t="str">
            <v>Canada</v>
          </cell>
          <cell r="J15">
            <v>1</v>
          </cell>
          <cell r="K15">
            <v>0</v>
          </cell>
          <cell r="L15">
            <v>1</v>
          </cell>
          <cell r="M15">
            <v>0</v>
          </cell>
          <cell r="N15">
            <v>0</v>
          </cell>
        </row>
        <row r="16">
          <cell r="A16" t="str">
            <v>The Generations Fund</v>
          </cell>
          <cell r="B16" t="str">
            <v>Savings</v>
          </cell>
          <cell r="C16" t="str">
            <v>Canada (Quebec)</v>
          </cell>
          <cell r="D16" t="str">
            <v>North America</v>
          </cell>
          <cell r="E16" t="str">
            <v>America</v>
          </cell>
          <cell r="F16" t="str">
            <v>N</v>
          </cell>
          <cell r="G16">
            <v>2006</v>
          </cell>
          <cell r="H16">
            <v>7.0270685627599994</v>
          </cell>
          <cell r="I16" t="str">
            <v>Canada</v>
          </cell>
          <cell r="J16">
            <v>1</v>
          </cell>
          <cell r="K16">
            <v>0</v>
          </cell>
          <cell r="L16">
            <v>1</v>
          </cell>
          <cell r="M16">
            <v>0</v>
          </cell>
          <cell r="N16">
            <v>0</v>
          </cell>
        </row>
        <row r="17">
          <cell r="A17" t="str">
            <v>Cape Verde Sovereign Wealth Fund</v>
          </cell>
          <cell r="B17" t="str">
            <v>Development/Strategic</v>
          </cell>
          <cell r="C17" t="str">
            <v>Cape Verde</v>
          </cell>
          <cell r="D17" t="str">
            <v>Sub-Saharan Africa</v>
          </cell>
          <cell r="E17" t="str">
            <v>Africa</v>
          </cell>
          <cell r="F17" t="str">
            <v>N</v>
          </cell>
          <cell r="G17">
            <v>2021</v>
          </cell>
          <cell r="H17">
            <v>0.1</v>
          </cell>
          <cell r="I17" t="str">
            <v>Cape Verde</v>
          </cell>
          <cell r="J17">
            <v>0</v>
          </cell>
          <cell r="K17">
            <v>0</v>
          </cell>
          <cell r="L17">
            <v>0</v>
          </cell>
          <cell r="M17">
            <v>1</v>
          </cell>
          <cell r="N17">
            <v>0</v>
          </cell>
        </row>
        <row r="18">
          <cell r="A18" t="str">
            <v>Economic and Social Stabilization Fund</v>
          </cell>
          <cell r="B18" t="str">
            <v>Stabilisation</v>
          </cell>
          <cell r="C18" t="str">
            <v>Chile</v>
          </cell>
          <cell r="D18" t="str">
            <v>South America</v>
          </cell>
          <cell r="E18" t="str">
            <v>America</v>
          </cell>
          <cell r="F18" t="str">
            <v>N</v>
          </cell>
          <cell r="G18">
            <v>2006</v>
          </cell>
          <cell r="H18">
            <v>12.233409999999999</v>
          </cell>
          <cell r="I18" t="str">
            <v>Chile</v>
          </cell>
          <cell r="J18">
            <v>0</v>
          </cell>
          <cell r="K18">
            <v>1</v>
          </cell>
          <cell r="L18">
            <v>0</v>
          </cell>
          <cell r="M18">
            <v>0</v>
          </cell>
          <cell r="N18">
            <v>0</v>
          </cell>
        </row>
        <row r="19">
          <cell r="A19" t="str">
            <v>Pension Reserve Fund</v>
          </cell>
          <cell r="B19" t="str">
            <v>Savings</v>
          </cell>
          <cell r="C19" t="str">
            <v>Chile</v>
          </cell>
          <cell r="D19" t="str">
            <v>South America</v>
          </cell>
          <cell r="E19" t="str">
            <v>America</v>
          </cell>
          <cell r="F19" t="str">
            <v>N</v>
          </cell>
          <cell r="G19">
            <v>2006</v>
          </cell>
          <cell r="H19">
            <v>10.81208</v>
          </cell>
          <cell r="I19" t="str">
            <v>Chile</v>
          </cell>
          <cell r="J19">
            <v>0</v>
          </cell>
          <cell r="K19">
            <v>0</v>
          </cell>
          <cell r="L19">
            <v>1</v>
          </cell>
          <cell r="M19">
            <v>0</v>
          </cell>
          <cell r="N19">
            <v>0</v>
          </cell>
        </row>
        <row r="20">
          <cell r="A20" t="str">
            <v>China Investment Corporation</v>
          </cell>
          <cell r="B20" t="str">
            <v>Savings</v>
          </cell>
          <cell r="C20" t="str">
            <v>China</v>
          </cell>
          <cell r="D20" t="str">
            <v>East Asia</v>
          </cell>
          <cell r="E20" t="str">
            <v>Asia</v>
          </cell>
          <cell r="F20" t="str">
            <v>Y</v>
          </cell>
          <cell r="G20">
            <v>2007</v>
          </cell>
          <cell r="H20">
            <v>1045.7149999999999</v>
          </cell>
          <cell r="I20" t="str">
            <v>China</v>
          </cell>
          <cell r="J20">
            <v>0</v>
          </cell>
          <cell r="K20">
            <v>0</v>
          </cell>
          <cell r="L20">
            <v>1</v>
          </cell>
          <cell r="M20">
            <v>0</v>
          </cell>
          <cell r="N20">
            <v>0</v>
          </cell>
        </row>
        <row r="21">
          <cell r="A21" t="str">
            <v>Fideicomiso Fondo de Ahorro y Estabilización (FAE)</v>
          </cell>
          <cell r="B21" t="str">
            <v>Stabilisation</v>
          </cell>
          <cell r="C21" t="str">
            <v>Colombia</v>
          </cell>
          <cell r="D21" t="str">
            <v>South America</v>
          </cell>
          <cell r="E21" t="str">
            <v>America</v>
          </cell>
          <cell r="F21" t="str">
            <v>N</v>
          </cell>
          <cell r="G21">
            <v>2011</v>
          </cell>
          <cell r="H21">
            <v>3.6139494250309601</v>
          </cell>
          <cell r="I21" t="str">
            <v>Colombia</v>
          </cell>
          <cell r="J21">
            <v>0</v>
          </cell>
          <cell r="K21">
            <v>1</v>
          </cell>
          <cell r="L21">
            <v>0</v>
          </cell>
          <cell r="M21">
            <v>0</v>
          </cell>
          <cell r="N21">
            <v>0</v>
          </cell>
        </row>
        <row r="22">
          <cell r="A22" t="str">
            <v>Fondo de Ahorro y Estabilización Petrolera (FAEP)</v>
          </cell>
          <cell r="B22" t="str">
            <v>Stabilisation</v>
          </cell>
          <cell r="C22" t="str">
            <v>Colombia</v>
          </cell>
          <cell r="D22" t="str">
            <v>South America</v>
          </cell>
          <cell r="E22" t="str">
            <v>America</v>
          </cell>
          <cell r="F22" t="str">
            <v>N</v>
          </cell>
          <cell r="G22">
            <v>2011</v>
          </cell>
          <cell r="H22">
            <v>1.2479785101870001E-3</v>
          </cell>
          <cell r="I22" t="str">
            <v>Colombia</v>
          </cell>
          <cell r="J22">
            <v>0</v>
          </cell>
          <cell r="K22">
            <v>1</v>
          </cell>
          <cell r="L22">
            <v>0</v>
          </cell>
          <cell r="M22">
            <v>0</v>
          </cell>
          <cell r="N22">
            <v>0</v>
          </cell>
        </row>
        <row r="23">
          <cell r="A23" t="str">
            <v>National Investment Fund</v>
          </cell>
          <cell r="B23" t="str">
            <v>Savings</v>
          </cell>
          <cell r="C23" t="str">
            <v>Cyprus</v>
          </cell>
          <cell r="D23" t="str">
            <v>West Asia</v>
          </cell>
          <cell r="E23" t="str">
            <v>Europe</v>
          </cell>
          <cell r="F23" t="str">
            <v>Y</v>
          </cell>
          <cell r="G23">
            <v>2019</v>
          </cell>
          <cell r="H23">
            <v>0</v>
          </cell>
          <cell r="I23" t="str">
            <v>Cyprus</v>
          </cell>
          <cell r="J23">
            <v>0</v>
          </cell>
          <cell r="K23">
            <v>0</v>
          </cell>
          <cell r="L23">
            <v>1</v>
          </cell>
          <cell r="M23">
            <v>0</v>
          </cell>
          <cell r="N23">
            <v>0</v>
          </cell>
        </row>
        <row r="24">
          <cell r="A24" t="str">
            <v>Fonds Souverain de Djibouti</v>
          </cell>
          <cell r="B24" t="str">
            <v>Strategic</v>
          </cell>
          <cell r="C24" t="str">
            <v>Djibouti</v>
          </cell>
          <cell r="D24" t="str">
            <v>North Africa</v>
          </cell>
          <cell r="E24" t="str">
            <v>Africa</v>
          </cell>
          <cell r="F24" t="str">
            <v>N</v>
          </cell>
          <cell r="G24">
            <v>2020</v>
          </cell>
          <cell r="H24">
            <v>0.12005105713000001</v>
          </cell>
          <cell r="I24" t="str">
            <v>Djibouti</v>
          </cell>
          <cell r="J24">
            <v>0</v>
          </cell>
          <cell r="K24">
            <v>0</v>
          </cell>
          <cell r="L24">
            <v>0</v>
          </cell>
          <cell r="M24">
            <v>1</v>
          </cell>
          <cell r="N24">
            <v>0</v>
          </cell>
        </row>
        <row r="25">
          <cell r="A25" t="str">
            <v>The Sovereign Fund of Egypt</v>
          </cell>
          <cell r="B25" t="str">
            <v>Development/Strategic</v>
          </cell>
          <cell r="C25" t="str">
            <v>Egypt</v>
          </cell>
          <cell r="D25" t="str">
            <v>North Africa</v>
          </cell>
          <cell r="E25" t="str">
            <v>Africa</v>
          </cell>
          <cell r="F25" t="str">
            <v>Y</v>
          </cell>
          <cell r="G25">
            <v>2018</v>
          </cell>
          <cell r="H25">
            <v>0.31154588150000001</v>
          </cell>
          <cell r="I25" t="str">
            <v>Egypt</v>
          </cell>
          <cell r="J25">
            <v>0</v>
          </cell>
          <cell r="K25">
            <v>0</v>
          </cell>
          <cell r="L25">
            <v>0</v>
          </cell>
          <cell r="M25">
            <v>1</v>
          </cell>
          <cell r="N25">
            <v>0</v>
          </cell>
        </row>
        <row r="26">
          <cell r="A26" t="str">
            <v>Ethiopian Investment Holdings</v>
          </cell>
          <cell r="B26" t="str">
            <v>Strategic/Development</v>
          </cell>
          <cell r="C26" t="str">
            <v>Ethiopia</v>
          </cell>
          <cell r="D26" t="str">
            <v>Sub-Saharan Africa</v>
          </cell>
          <cell r="E26" t="str">
            <v>Africa</v>
          </cell>
          <cell r="F26" t="str">
            <v>Y</v>
          </cell>
          <cell r="G26">
            <v>2022</v>
          </cell>
          <cell r="H26">
            <v>150</v>
          </cell>
          <cell r="I26" t="str">
            <v>Ethiopia</v>
          </cell>
          <cell r="J26">
            <v>0</v>
          </cell>
          <cell r="K26">
            <v>0</v>
          </cell>
          <cell r="L26">
            <v>0</v>
          </cell>
          <cell r="M26">
            <v>1</v>
          </cell>
          <cell r="N26">
            <v>0</v>
          </cell>
        </row>
        <row r="27">
          <cell r="A27" t="str">
            <v>BpiFrance Investissements (formerly CDC International Capital)</v>
          </cell>
          <cell r="B27" t="str">
            <v>Development/Strategic</v>
          </cell>
          <cell r="C27" t="str">
            <v>France</v>
          </cell>
          <cell r="D27" t="str">
            <v>Western Europe</v>
          </cell>
          <cell r="E27" t="str">
            <v>Europe</v>
          </cell>
          <cell r="F27" t="str">
            <v>Y</v>
          </cell>
          <cell r="G27">
            <v>2014</v>
          </cell>
          <cell r="H27">
            <v>2.8067518795000002</v>
          </cell>
          <cell r="I27" t="str">
            <v>France</v>
          </cell>
          <cell r="J27">
            <v>0</v>
          </cell>
          <cell r="K27">
            <v>0</v>
          </cell>
          <cell r="L27">
            <v>0</v>
          </cell>
          <cell r="M27">
            <v>1</v>
          </cell>
          <cell r="N27">
            <v>0</v>
          </cell>
        </row>
        <row r="28">
          <cell r="A28" t="str">
            <v>Fonds Gabonais d’Investissements Stratégiques</v>
          </cell>
          <cell r="B28" t="str">
            <v>Development/Strategic</v>
          </cell>
          <cell r="C28" t="str">
            <v>Gabon</v>
          </cell>
          <cell r="D28" t="str">
            <v>Sub-Saharan Africa</v>
          </cell>
          <cell r="E28" t="str">
            <v>Africa</v>
          </cell>
          <cell r="F28" t="str">
            <v>N</v>
          </cell>
          <cell r="G28">
            <v>2012</v>
          </cell>
          <cell r="H28">
            <v>0.86666615000000002</v>
          </cell>
          <cell r="I28" t="str">
            <v>Gabon</v>
          </cell>
          <cell r="J28">
            <v>0</v>
          </cell>
          <cell r="K28">
            <v>0</v>
          </cell>
          <cell r="L28">
            <v>0</v>
          </cell>
          <cell r="M28">
            <v>1</v>
          </cell>
          <cell r="N28">
            <v>0</v>
          </cell>
        </row>
        <row r="29">
          <cell r="A29" t="str">
            <v>Partnership Fund</v>
          </cell>
          <cell r="B29" t="str">
            <v>Development/Strategic</v>
          </cell>
          <cell r="C29" t="str">
            <v>Georgia</v>
          </cell>
          <cell r="D29" t="str">
            <v>Central Asia</v>
          </cell>
          <cell r="E29" t="str">
            <v>Asia</v>
          </cell>
          <cell r="F29" t="str">
            <v>N</v>
          </cell>
          <cell r="G29">
            <v>2011</v>
          </cell>
          <cell r="H29">
            <v>0.66655292007142808</v>
          </cell>
          <cell r="I29" t="str">
            <v>Georgia</v>
          </cell>
          <cell r="J29">
            <v>0</v>
          </cell>
          <cell r="K29">
            <v>0</v>
          </cell>
          <cell r="L29">
            <v>0</v>
          </cell>
          <cell r="M29">
            <v>1</v>
          </cell>
          <cell r="N29">
            <v>0</v>
          </cell>
        </row>
        <row r="30">
          <cell r="A30" t="str">
            <v>Ghana Petroleum Funds</v>
          </cell>
          <cell r="B30" t="str">
            <v>Hybrid</v>
          </cell>
          <cell r="C30" t="str">
            <v>Ghana</v>
          </cell>
          <cell r="D30" t="str">
            <v>Sub-Saharan Africa</v>
          </cell>
          <cell r="E30" t="str">
            <v>Africa</v>
          </cell>
          <cell r="F30" t="str">
            <v>N</v>
          </cell>
          <cell r="G30">
            <v>2011</v>
          </cell>
          <cell r="H30">
            <v>0.968204277</v>
          </cell>
          <cell r="I30" t="str">
            <v>Ghana</v>
          </cell>
          <cell r="J30">
            <v>0</v>
          </cell>
          <cell r="K30">
            <v>0</v>
          </cell>
          <cell r="L30">
            <v>0</v>
          </cell>
          <cell r="M30">
            <v>0</v>
          </cell>
          <cell r="N30">
            <v>1</v>
          </cell>
        </row>
        <row r="31">
          <cell r="A31" t="str">
            <v>Ghana Infrastructure Investment Fund</v>
          </cell>
          <cell r="B31" t="str">
            <v>Development/Strategic</v>
          </cell>
          <cell r="C31" t="str">
            <v>Ghana</v>
          </cell>
          <cell r="D31" t="str">
            <v>Sub-Saharan Africa</v>
          </cell>
          <cell r="E31" t="str">
            <v>Africa</v>
          </cell>
          <cell r="F31" t="str">
            <v>N</v>
          </cell>
          <cell r="G31">
            <v>2014</v>
          </cell>
          <cell r="H31">
            <v>0.32500000000000001</v>
          </cell>
          <cell r="I31" t="str">
            <v>Ghana</v>
          </cell>
          <cell r="J31">
            <v>0</v>
          </cell>
          <cell r="K31">
            <v>0</v>
          </cell>
          <cell r="L31">
            <v>0</v>
          </cell>
          <cell r="M31">
            <v>1</v>
          </cell>
          <cell r="N31">
            <v>0</v>
          </cell>
        </row>
        <row r="32">
          <cell r="A32" t="str">
            <v>Hellenic Corporation of Assets and Participations</v>
          </cell>
          <cell r="B32" t="str">
            <v>Development/Strategic</v>
          </cell>
          <cell r="C32" t="str">
            <v>Greece</v>
          </cell>
          <cell r="D32" t="str">
            <v>Southern Europe</v>
          </cell>
          <cell r="E32" t="str">
            <v>Europe</v>
          </cell>
          <cell r="F32" t="str">
            <v>N</v>
          </cell>
          <cell r="G32">
            <v>2016</v>
          </cell>
          <cell r="H32">
            <v>8.4949950446419731E-2</v>
          </cell>
          <cell r="I32" t="str">
            <v>Greece</v>
          </cell>
          <cell r="J32">
            <v>0</v>
          </cell>
          <cell r="K32">
            <v>0</v>
          </cell>
          <cell r="L32">
            <v>0</v>
          </cell>
          <cell r="M32">
            <v>1</v>
          </cell>
          <cell r="N32">
            <v>0</v>
          </cell>
        </row>
        <row r="33">
          <cell r="A33" t="str">
            <v>Natural Resources Fund</v>
          </cell>
          <cell r="B33" t="str">
            <v>Hybrid</v>
          </cell>
          <cell r="C33" t="str">
            <v>Guyana</v>
          </cell>
          <cell r="D33" t="str">
            <v>Caribbean</v>
          </cell>
          <cell r="E33" t="str">
            <v>America</v>
          </cell>
          <cell r="F33" t="str">
            <v>Y</v>
          </cell>
          <cell r="G33">
            <v>2019</v>
          </cell>
          <cell r="H33">
            <v>0.09</v>
          </cell>
          <cell r="I33" t="str">
            <v>Guyana</v>
          </cell>
          <cell r="J33">
            <v>0</v>
          </cell>
          <cell r="K33">
            <v>0</v>
          </cell>
          <cell r="L33">
            <v>0</v>
          </cell>
          <cell r="M33">
            <v>0</v>
          </cell>
          <cell r="N33">
            <v>1</v>
          </cell>
        </row>
        <row r="34">
          <cell r="A34" t="str">
            <v>National Infrastructure Investment Fund (NIIF)</v>
          </cell>
          <cell r="B34" t="str">
            <v>Development/Strategic</v>
          </cell>
          <cell r="C34" t="str">
            <v>India</v>
          </cell>
          <cell r="D34" t="str">
            <v>South-central Asia</v>
          </cell>
          <cell r="E34" t="str">
            <v>Asia</v>
          </cell>
          <cell r="F34" t="str">
            <v>Y</v>
          </cell>
          <cell r="G34">
            <v>2017</v>
          </cell>
          <cell r="H34">
            <v>4.3</v>
          </cell>
          <cell r="I34" t="str">
            <v>India</v>
          </cell>
          <cell r="J34">
            <v>0</v>
          </cell>
          <cell r="K34">
            <v>0</v>
          </cell>
          <cell r="L34">
            <v>0</v>
          </cell>
          <cell r="M34">
            <v>1</v>
          </cell>
          <cell r="N34">
            <v>0</v>
          </cell>
        </row>
        <row r="35">
          <cell r="A35" t="str">
            <v>Indonesia Investment Authority (INA)</v>
          </cell>
          <cell r="B35" t="str">
            <v>Development/Strategic</v>
          </cell>
          <cell r="C35" t="str">
            <v>Indonesia</v>
          </cell>
          <cell r="D35" t="str">
            <v>South-East Asia</v>
          </cell>
          <cell r="E35" t="str">
            <v>Asia</v>
          </cell>
          <cell r="F35" t="str">
            <v>Y</v>
          </cell>
          <cell r="G35">
            <v>2021</v>
          </cell>
          <cell r="H35">
            <v>20</v>
          </cell>
          <cell r="I35" t="str">
            <v>Indonesia</v>
          </cell>
          <cell r="J35">
            <v>0</v>
          </cell>
          <cell r="K35">
            <v>0</v>
          </cell>
          <cell r="L35">
            <v>0</v>
          </cell>
          <cell r="M35">
            <v>1</v>
          </cell>
          <cell r="N35">
            <v>0</v>
          </cell>
        </row>
        <row r="36">
          <cell r="A36" t="str">
            <v>National Development Fund of Iran</v>
          </cell>
          <cell r="B36" t="str">
            <v>Development/Strategic</v>
          </cell>
          <cell r="C36" t="str">
            <v>Iran</v>
          </cell>
          <cell r="D36" t="str">
            <v>Central Asia</v>
          </cell>
          <cell r="E36" t="str">
            <v>Asia</v>
          </cell>
          <cell r="F36" t="str">
            <v>N</v>
          </cell>
          <cell r="G36">
            <v>2011</v>
          </cell>
          <cell r="H36">
            <v>16.731953321600002</v>
          </cell>
          <cell r="I36" t="str">
            <v>Iran</v>
          </cell>
          <cell r="J36">
            <v>0</v>
          </cell>
          <cell r="K36">
            <v>0</v>
          </cell>
          <cell r="L36">
            <v>0</v>
          </cell>
          <cell r="M36">
            <v>1</v>
          </cell>
          <cell r="N36">
            <v>0</v>
          </cell>
        </row>
        <row r="37">
          <cell r="A37" t="str">
            <v>Ireland Strategic Investment Fund</v>
          </cell>
          <cell r="B37" t="str">
            <v>Development/Strategic</v>
          </cell>
          <cell r="C37" t="str">
            <v>Ireland</v>
          </cell>
          <cell r="D37" t="str">
            <v>Northern Europe</v>
          </cell>
          <cell r="E37" t="str">
            <v>Europe</v>
          </cell>
          <cell r="F37" t="str">
            <v>Y</v>
          </cell>
          <cell r="G37">
            <v>2001</v>
          </cell>
          <cell r="H37">
            <v>16.952781352180001</v>
          </cell>
          <cell r="I37" t="str">
            <v>Ireland</v>
          </cell>
          <cell r="J37">
            <v>0</v>
          </cell>
          <cell r="K37">
            <v>0</v>
          </cell>
          <cell r="L37">
            <v>0</v>
          </cell>
          <cell r="M37">
            <v>1</v>
          </cell>
          <cell r="N37">
            <v>0</v>
          </cell>
        </row>
        <row r="38">
          <cell r="A38" t="str">
            <v>CDP Equity</v>
          </cell>
          <cell r="B38" t="str">
            <v>Development/Strategic</v>
          </cell>
          <cell r="C38" t="str">
            <v>Italy</v>
          </cell>
          <cell r="D38" t="str">
            <v>Southern Europe</v>
          </cell>
          <cell r="E38" t="str">
            <v>Europe</v>
          </cell>
          <cell r="F38" t="str">
            <v>Y</v>
          </cell>
          <cell r="G38">
            <v>2011</v>
          </cell>
          <cell r="H38">
            <v>3.7177281100217976</v>
          </cell>
          <cell r="I38" t="str">
            <v>Italy</v>
          </cell>
          <cell r="J38">
            <v>0</v>
          </cell>
          <cell r="K38">
            <v>0</v>
          </cell>
          <cell r="L38">
            <v>0</v>
          </cell>
          <cell r="M38">
            <v>1</v>
          </cell>
          <cell r="N38">
            <v>0</v>
          </cell>
        </row>
        <row r="39">
          <cell r="A39" t="str">
            <v>Samruk-Kazyna</v>
          </cell>
          <cell r="B39" t="str">
            <v>Development/Strategic</v>
          </cell>
          <cell r="C39" t="str">
            <v>Kazakhstan</v>
          </cell>
          <cell r="D39" t="str">
            <v>Central Asia</v>
          </cell>
          <cell r="E39" t="str">
            <v>Asia</v>
          </cell>
          <cell r="F39" t="str">
            <v>Y</v>
          </cell>
          <cell r="G39">
            <v>2008</v>
          </cell>
          <cell r="H39">
            <v>73.914816630978393</v>
          </cell>
          <cell r="I39" t="str">
            <v>Kazakhstan</v>
          </cell>
          <cell r="J39">
            <v>0</v>
          </cell>
          <cell r="K39">
            <v>0</v>
          </cell>
          <cell r="L39">
            <v>0</v>
          </cell>
          <cell r="M39">
            <v>1</v>
          </cell>
          <cell r="N39">
            <v>0</v>
          </cell>
        </row>
        <row r="40">
          <cell r="A40" t="str">
            <v>National Oil Fund</v>
          </cell>
          <cell r="B40" t="str">
            <v>Savings</v>
          </cell>
          <cell r="C40" t="str">
            <v>Kazakhstan</v>
          </cell>
          <cell r="D40" t="str">
            <v>Central Asia</v>
          </cell>
          <cell r="E40" t="str">
            <v>Asia</v>
          </cell>
          <cell r="F40" t="str">
            <v>Y</v>
          </cell>
          <cell r="G40">
            <v>2000</v>
          </cell>
          <cell r="H40">
            <v>56.436770939810799</v>
          </cell>
          <cell r="I40" t="str">
            <v>Kazakhstan</v>
          </cell>
          <cell r="J40">
            <v>0</v>
          </cell>
          <cell r="K40">
            <v>0</v>
          </cell>
          <cell r="L40">
            <v>1</v>
          </cell>
          <cell r="M40">
            <v>0</v>
          </cell>
          <cell r="N40">
            <v>0</v>
          </cell>
        </row>
        <row r="41">
          <cell r="A41" t="str">
            <v>Revenue Equalization Reserve Fund</v>
          </cell>
          <cell r="B41" t="str">
            <v>Stabilisation</v>
          </cell>
          <cell r="C41" t="str">
            <v>Kiribati</v>
          </cell>
          <cell r="D41" t="str">
            <v>Oceania</v>
          </cell>
          <cell r="E41" t="str">
            <v>Oceania</v>
          </cell>
          <cell r="F41" t="str">
            <v>N</v>
          </cell>
          <cell r="G41">
            <v>1956</v>
          </cell>
          <cell r="H41">
            <v>0.72404057225700003</v>
          </cell>
          <cell r="I41" t="str">
            <v>Kiribati</v>
          </cell>
          <cell r="J41">
            <v>0</v>
          </cell>
          <cell r="K41">
            <v>1</v>
          </cell>
          <cell r="L41">
            <v>0</v>
          </cell>
          <cell r="M41">
            <v>0</v>
          </cell>
          <cell r="N41">
            <v>0</v>
          </cell>
        </row>
        <row r="42">
          <cell r="A42" t="str">
            <v>Kuwait Investment Authority</v>
          </cell>
          <cell r="B42" t="str">
            <v>Hybrid</v>
          </cell>
          <cell r="C42" t="str">
            <v>Kuwait</v>
          </cell>
          <cell r="D42" t="str">
            <v>West Asia</v>
          </cell>
          <cell r="E42" t="str">
            <v>Asia</v>
          </cell>
          <cell r="F42" t="str">
            <v>Y</v>
          </cell>
          <cell r="G42">
            <v>1953</v>
          </cell>
          <cell r="H42">
            <v>560</v>
          </cell>
          <cell r="I42" t="str">
            <v>Kuwait</v>
          </cell>
          <cell r="J42">
            <v>0</v>
          </cell>
          <cell r="K42">
            <v>0</v>
          </cell>
          <cell r="L42">
            <v>0</v>
          </cell>
          <cell r="M42">
            <v>0</v>
          </cell>
          <cell r="N42">
            <v>1</v>
          </cell>
        </row>
        <row r="43">
          <cell r="A43" t="str">
            <v>Libyan Investment Authority</v>
          </cell>
          <cell r="B43" t="str">
            <v>Savings</v>
          </cell>
          <cell r="C43" t="str">
            <v>Libya</v>
          </cell>
          <cell r="D43" t="str">
            <v>North Africa</v>
          </cell>
          <cell r="E43" t="str">
            <v>Africa</v>
          </cell>
          <cell r="F43" t="str">
            <v>Y</v>
          </cell>
          <cell r="G43">
            <v>2006</v>
          </cell>
          <cell r="H43">
            <v>65</v>
          </cell>
          <cell r="I43" t="str">
            <v>Libya</v>
          </cell>
          <cell r="J43">
            <v>0</v>
          </cell>
          <cell r="K43">
            <v>0</v>
          </cell>
          <cell r="L43">
            <v>1</v>
          </cell>
          <cell r="M43">
            <v>0</v>
          </cell>
          <cell r="N43">
            <v>0</v>
          </cell>
        </row>
        <row r="44">
          <cell r="A44" t="str">
            <v>Khazanah Nasional BHD</v>
          </cell>
          <cell r="B44" t="str">
            <v>Development/Strategic</v>
          </cell>
          <cell r="C44" t="str">
            <v>Malaysia</v>
          </cell>
          <cell r="D44" t="str">
            <v>South-East Asia</v>
          </cell>
          <cell r="E44" t="str">
            <v>Asia</v>
          </cell>
          <cell r="F44" t="str">
            <v>Y</v>
          </cell>
          <cell r="G44">
            <v>1992</v>
          </cell>
          <cell r="H44">
            <v>17.869946554919999</v>
          </cell>
          <cell r="I44" t="str">
            <v>Malaysia</v>
          </cell>
          <cell r="J44">
            <v>0</v>
          </cell>
          <cell r="K44">
            <v>0</v>
          </cell>
          <cell r="L44">
            <v>0</v>
          </cell>
          <cell r="M44">
            <v>1</v>
          </cell>
          <cell r="N44">
            <v>0</v>
          </cell>
        </row>
        <row r="45">
          <cell r="A45" t="str">
            <v>National Development and Social Fund</v>
          </cell>
          <cell r="B45" t="str">
            <v>Development/Strategic</v>
          </cell>
          <cell r="C45" t="str">
            <v>Malta</v>
          </cell>
          <cell r="D45" t="str">
            <v>Southern Europe</v>
          </cell>
          <cell r="E45" t="str">
            <v>Europe</v>
          </cell>
          <cell r="F45" t="str">
            <v>N</v>
          </cell>
          <cell r="G45">
            <v>2015</v>
          </cell>
          <cell r="H45">
            <v>0.64059059496204396</v>
          </cell>
          <cell r="I45" t="str">
            <v>Malta</v>
          </cell>
          <cell r="J45">
            <v>0</v>
          </cell>
          <cell r="K45">
            <v>0</v>
          </cell>
          <cell r="L45">
            <v>0</v>
          </cell>
          <cell r="M45">
            <v>1</v>
          </cell>
          <cell r="N45">
            <v>0</v>
          </cell>
        </row>
        <row r="46">
          <cell r="A46" t="str">
            <v>Malta Government Investments</v>
          </cell>
          <cell r="B46" t="str">
            <v>Strategic/Development</v>
          </cell>
          <cell r="C46" t="str">
            <v>Malta</v>
          </cell>
          <cell r="E46" t="str">
            <v>Europe</v>
          </cell>
          <cell r="G46">
            <v>2013</v>
          </cell>
          <cell r="I46" t="str">
            <v>Malta</v>
          </cell>
          <cell r="J46">
            <v>0</v>
          </cell>
          <cell r="K46">
            <v>0</v>
          </cell>
          <cell r="L46">
            <v>0</v>
          </cell>
          <cell r="M46">
            <v>1</v>
          </cell>
          <cell r="N46">
            <v>0</v>
          </cell>
        </row>
        <row r="47">
          <cell r="A47" t="str">
            <v>Fonds National des Revenus des Hydrocarbures</v>
          </cell>
          <cell r="B47" t="str">
            <v>Stabilisation</v>
          </cell>
          <cell r="C47" t="str">
            <v>Mauritania</v>
          </cell>
          <cell r="D47" t="str">
            <v>North Africa</v>
          </cell>
          <cell r="E47" t="str">
            <v>Africa</v>
          </cell>
          <cell r="F47" t="str">
            <v>N</v>
          </cell>
          <cell r="G47">
            <v>2006</v>
          </cell>
          <cell r="H47">
            <v>0.159</v>
          </cell>
          <cell r="I47" t="str">
            <v>Mauritania</v>
          </cell>
          <cell r="J47">
            <v>0</v>
          </cell>
          <cell r="K47">
            <v>1</v>
          </cell>
          <cell r="L47">
            <v>0</v>
          </cell>
          <cell r="M47">
            <v>0</v>
          </cell>
          <cell r="N47">
            <v>0</v>
          </cell>
        </row>
        <row r="48">
          <cell r="A48" t="str">
            <v>Mauritius Investment Corporation</v>
          </cell>
          <cell r="B48" t="str">
            <v>Strategic/Development</v>
          </cell>
          <cell r="C48" t="str">
            <v>Mauritius</v>
          </cell>
          <cell r="E48" t="str">
            <v>Africa</v>
          </cell>
          <cell r="G48">
            <v>2020</v>
          </cell>
          <cell r="I48" t="str">
            <v>Mauritius</v>
          </cell>
          <cell r="J48">
            <v>0</v>
          </cell>
          <cell r="K48">
            <v>0</v>
          </cell>
          <cell r="L48">
            <v>0</v>
          </cell>
          <cell r="M48">
            <v>1</v>
          </cell>
          <cell r="N48">
            <v>0</v>
          </cell>
        </row>
        <row r="49">
          <cell r="A49" t="str">
            <v>Fondo de Estabilización de los Ingresos Petroleros</v>
          </cell>
          <cell r="B49" t="str">
            <v>Stabilisation</v>
          </cell>
          <cell r="C49" t="str">
            <v>Mexico</v>
          </cell>
          <cell r="D49" t="str">
            <v>North America</v>
          </cell>
          <cell r="E49" t="str">
            <v>America</v>
          </cell>
          <cell r="F49" t="str">
            <v>Y</v>
          </cell>
          <cell r="G49">
            <v>2000</v>
          </cell>
          <cell r="H49">
            <v>7.6673183046222002</v>
          </cell>
          <cell r="I49" t="str">
            <v>Mexico</v>
          </cell>
          <cell r="J49">
            <v>0</v>
          </cell>
          <cell r="K49">
            <v>1</v>
          </cell>
          <cell r="L49">
            <v>0</v>
          </cell>
          <cell r="M49">
            <v>0</v>
          </cell>
          <cell r="N49">
            <v>0</v>
          </cell>
        </row>
        <row r="50">
          <cell r="A50" t="str">
            <v>Fondo Mexicano del Petróleo para la Estabilización y el Desarrollo</v>
          </cell>
          <cell r="B50" t="str">
            <v>Hybrid</v>
          </cell>
          <cell r="C50" t="str">
            <v>Mexico</v>
          </cell>
          <cell r="D50" t="str">
            <v>Central America</v>
          </cell>
          <cell r="E50" t="str">
            <v>America</v>
          </cell>
          <cell r="F50" t="str">
            <v>N</v>
          </cell>
          <cell r="G50">
            <v>2014</v>
          </cell>
          <cell r="H50">
            <v>1.0483</v>
          </cell>
          <cell r="I50" t="str">
            <v>Mexico</v>
          </cell>
          <cell r="J50">
            <v>0</v>
          </cell>
          <cell r="K50">
            <v>0</v>
          </cell>
          <cell r="L50">
            <v>0</v>
          </cell>
          <cell r="M50">
            <v>0</v>
          </cell>
          <cell r="N50">
            <v>1</v>
          </cell>
        </row>
        <row r="51">
          <cell r="A51" t="str">
            <v>Micronesia and Marshall Islands Trust Funds</v>
          </cell>
          <cell r="B51" t="str">
            <v>Strategic/Development</v>
          </cell>
          <cell r="C51" t="str">
            <v>Micronesia/Marshall Islands</v>
          </cell>
          <cell r="E51" t="str">
            <v>Oceania</v>
          </cell>
          <cell r="G51">
            <v>2016</v>
          </cell>
          <cell r="I51" t="str">
            <v>Micronesia</v>
          </cell>
          <cell r="J51">
            <v>0</v>
          </cell>
          <cell r="K51">
            <v>0</v>
          </cell>
          <cell r="L51">
            <v>0</v>
          </cell>
          <cell r="M51">
            <v>1</v>
          </cell>
          <cell r="N51">
            <v>0</v>
          </cell>
        </row>
        <row r="52">
          <cell r="A52" t="str">
            <v>Fonds de Réserve constitutionnel (FRC)</v>
          </cell>
          <cell r="B52" t="str">
            <v>Hybrid</v>
          </cell>
          <cell r="C52" t="str">
            <v>Monaco</v>
          </cell>
          <cell r="D52" t="str">
            <v>Southern Europe</v>
          </cell>
          <cell r="E52" t="str">
            <v>Europe</v>
          </cell>
          <cell r="F52" t="str">
            <v>N</v>
          </cell>
          <cell r="G52">
            <v>1962</v>
          </cell>
          <cell r="H52">
            <v>5.76</v>
          </cell>
          <cell r="I52" t="str">
            <v>Monaco</v>
          </cell>
          <cell r="J52">
            <v>0</v>
          </cell>
          <cell r="K52">
            <v>0</v>
          </cell>
          <cell r="L52">
            <v>0</v>
          </cell>
          <cell r="M52">
            <v>0</v>
          </cell>
          <cell r="N52">
            <v>1</v>
          </cell>
        </row>
        <row r="53">
          <cell r="A53" t="str">
            <v>Future Heritage Fund</v>
          </cell>
          <cell r="B53" t="str">
            <v>Savings</v>
          </cell>
          <cell r="C53" t="str">
            <v>Mongolia</v>
          </cell>
          <cell r="D53" t="str">
            <v>Central Asia</v>
          </cell>
          <cell r="E53" t="str">
            <v>Asia</v>
          </cell>
          <cell r="F53" t="str">
            <v>Y</v>
          </cell>
          <cell r="G53">
            <v>2016</v>
          </cell>
          <cell r="H53">
            <v>0.31</v>
          </cell>
          <cell r="I53" t="str">
            <v>Mongolia</v>
          </cell>
          <cell r="J53">
            <v>0</v>
          </cell>
          <cell r="K53">
            <v>0</v>
          </cell>
          <cell r="L53">
            <v>1</v>
          </cell>
          <cell r="M53">
            <v>0</v>
          </cell>
          <cell r="N53">
            <v>0</v>
          </cell>
        </row>
        <row r="54">
          <cell r="A54" t="str">
            <v>Fiscal Stabilisation Fund</v>
          </cell>
          <cell r="B54" t="str">
            <v>Stabilisation</v>
          </cell>
          <cell r="C54" t="str">
            <v>Mongolia</v>
          </cell>
          <cell r="D54" t="str">
            <v>Central Asia</v>
          </cell>
          <cell r="E54" t="str">
            <v>Asia</v>
          </cell>
          <cell r="F54" t="str">
            <v>N</v>
          </cell>
          <cell r="G54">
            <v>2016</v>
          </cell>
          <cell r="H54">
            <v>0</v>
          </cell>
          <cell r="I54" t="str">
            <v>Mongolia</v>
          </cell>
          <cell r="J54">
            <v>0</v>
          </cell>
          <cell r="K54">
            <v>1</v>
          </cell>
          <cell r="L54">
            <v>0</v>
          </cell>
          <cell r="M54">
            <v>0</v>
          </cell>
          <cell r="N54">
            <v>0</v>
          </cell>
        </row>
        <row r="55">
          <cell r="A55" t="str">
            <v>Ithmar Capital</v>
          </cell>
          <cell r="B55" t="str">
            <v>Development/Strategic</v>
          </cell>
          <cell r="C55" t="str">
            <v>Morocco</v>
          </cell>
          <cell r="D55" t="str">
            <v>North Africa</v>
          </cell>
          <cell r="E55" t="str">
            <v>Africa</v>
          </cell>
          <cell r="F55" t="str">
            <v>Y</v>
          </cell>
          <cell r="G55">
            <v>2011</v>
          </cell>
          <cell r="H55">
            <v>0.43002863863874996</v>
          </cell>
          <cell r="I55" t="str">
            <v>Morocco</v>
          </cell>
          <cell r="J55">
            <v>0</v>
          </cell>
          <cell r="K55">
            <v>0</v>
          </cell>
          <cell r="L55">
            <v>0</v>
          </cell>
          <cell r="M55">
            <v>1</v>
          </cell>
          <cell r="N55">
            <v>0</v>
          </cell>
        </row>
        <row r="56">
          <cell r="A56" t="str">
            <v>Welwitschia Fund</v>
          </cell>
          <cell r="B56" t="str">
            <v>Hybrid</v>
          </cell>
          <cell r="C56" t="str">
            <v>Namibia</v>
          </cell>
          <cell r="D56" t="str">
            <v>Sub-Saharan Africa</v>
          </cell>
          <cell r="E56" t="str">
            <v>Africa</v>
          </cell>
          <cell r="F56" t="str">
            <v>N</v>
          </cell>
          <cell r="G56">
            <v>2022</v>
          </cell>
          <cell r="H56">
            <v>1.6E-2</v>
          </cell>
          <cell r="I56" t="str">
            <v>Namibia</v>
          </cell>
          <cell r="J56">
            <v>0</v>
          </cell>
          <cell r="K56">
            <v>0</v>
          </cell>
          <cell r="L56">
            <v>0</v>
          </cell>
          <cell r="M56">
            <v>0</v>
          </cell>
          <cell r="N56">
            <v>1</v>
          </cell>
        </row>
        <row r="57">
          <cell r="A57" t="str">
            <v>Intergenerational Trust Fund for the People of the Republic of Nauru</v>
          </cell>
          <cell r="B57" t="str">
            <v>Savings</v>
          </cell>
          <cell r="C57" t="str">
            <v>Nauru</v>
          </cell>
          <cell r="D57" t="str">
            <v>Oceania</v>
          </cell>
          <cell r="E57" t="str">
            <v>Oceania</v>
          </cell>
          <cell r="F57" t="str">
            <v>Y</v>
          </cell>
          <cell r="G57">
            <v>2015</v>
          </cell>
          <cell r="H57">
            <v>7.7818437720320002E-2</v>
          </cell>
          <cell r="I57" t="str">
            <v>Nauru</v>
          </cell>
          <cell r="J57">
            <v>0</v>
          </cell>
          <cell r="K57">
            <v>0</v>
          </cell>
          <cell r="L57">
            <v>1</v>
          </cell>
          <cell r="M57">
            <v>0</v>
          </cell>
          <cell r="N57">
            <v>0</v>
          </cell>
        </row>
        <row r="58">
          <cell r="A58" t="str">
            <v>New Zealand Superannuation Fund</v>
          </cell>
          <cell r="B58" t="str">
            <v>Savings</v>
          </cell>
          <cell r="C58" t="str">
            <v>New Zealand</v>
          </cell>
          <cell r="D58" t="str">
            <v>Oceania</v>
          </cell>
          <cell r="E58" t="str">
            <v>Oceania</v>
          </cell>
          <cell r="F58" t="str">
            <v>Y</v>
          </cell>
          <cell r="G58">
            <v>2003</v>
          </cell>
          <cell r="H58">
            <v>29.068892992160002</v>
          </cell>
          <cell r="I58" t="str">
            <v>New Zealand</v>
          </cell>
          <cell r="J58">
            <v>0</v>
          </cell>
          <cell r="K58">
            <v>0</v>
          </cell>
          <cell r="L58">
            <v>1</v>
          </cell>
          <cell r="M58">
            <v>0</v>
          </cell>
          <cell r="N58">
            <v>0</v>
          </cell>
        </row>
        <row r="59">
          <cell r="A59" t="str">
            <v>Nigeria Sovereign Investment Authority</v>
          </cell>
          <cell r="B59" t="str">
            <v>Hybrid</v>
          </cell>
          <cell r="C59" t="str">
            <v>Nigeria</v>
          </cell>
          <cell r="D59" t="str">
            <v>Sub-Saharan Africa</v>
          </cell>
          <cell r="E59" t="str">
            <v>Africa</v>
          </cell>
          <cell r="F59" t="str">
            <v>Y</v>
          </cell>
          <cell r="G59">
            <v>2012</v>
          </cell>
          <cell r="H59">
            <v>1.7948576936249374</v>
          </cell>
          <cell r="I59" t="str">
            <v>Nigeria</v>
          </cell>
          <cell r="J59">
            <v>0</v>
          </cell>
          <cell r="K59">
            <v>0</v>
          </cell>
          <cell r="L59">
            <v>0</v>
          </cell>
          <cell r="M59">
            <v>0</v>
          </cell>
          <cell r="N59">
            <v>1</v>
          </cell>
        </row>
        <row r="60">
          <cell r="A60" t="str">
            <v>Government Pension Fund Global</v>
          </cell>
          <cell r="B60" t="str">
            <v>Savings</v>
          </cell>
          <cell r="C60" t="str">
            <v>Norway</v>
          </cell>
          <cell r="D60" t="str">
            <v>Northern Europe</v>
          </cell>
          <cell r="E60" t="str">
            <v>Europe</v>
          </cell>
          <cell r="F60" t="str">
            <v>N</v>
          </cell>
          <cell r="G60">
            <v>1990</v>
          </cell>
          <cell r="H60">
            <v>1148.6416185724304</v>
          </cell>
          <cell r="I60" t="str">
            <v>Norway</v>
          </cell>
          <cell r="J60">
            <v>0</v>
          </cell>
          <cell r="K60">
            <v>0</v>
          </cell>
          <cell r="L60">
            <v>1</v>
          </cell>
          <cell r="M60">
            <v>0</v>
          </cell>
          <cell r="N60">
            <v>0</v>
          </cell>
        </row>
        <row r="61">
          <cell r="A61" t="str">
            <v>Oman Investment Authority</v>
          </cell>
          <cell r="B61" t="str">
            <v>Hybrid</v>
          </cell>
          <cell r="C61" t="str">
            <v>Oman</v>
          </cell>
          <cell r="D61" t="str">
            <v>West Asia</v>
          </cell>
          <cell r="E61" t="str">
            <v>Asia</v>
          </cell>
          <cell r="F61" t="str">
            <v>Y</v>
          </cell>
          <cell r="G61">
            <v>1980</v>
          </cell>
          <cell r="H61">
            <v>46</v>
          </cell>
          <cell r="I61" t="str">
            <v>Oman</v>
          </cell>
          <cell r="J61">
            <v>0</v>
          </cell>
          <cell r="K61">
            <v>0</v>
          </cell>
          <cell r="L61">
            <v>0</v>
          </cell>
          <cell r="M61">
            <v>0</v>
          </cell>
          <cell r="N61">
            <v>1</v>
          </cell>
        </row>
        <row r="62">
          <cell r="A62" t="str">
            <v>Palestine Investment Fund</v>
          </cell>
          <cell r="B62" t="str">
            <v>Development/Strategic</v>
          </cell>
          <cell r="C62" t="str">
            <v>Palestinian Authority</v>
          </cell>
          <cell r="D62" t="str">
            <v>West Asia</v>
          </cell>
          <cell r="E62" t="str">
            <v>Asia</v>
          </cell>
          <cell r="F62" t="str">
            <v>Y</v>
          </cell>
          <cell r="G62">
            <v>2003</v>
          </cell>
          <cell r="H62">
            <v>1</v>
          </cell>
          <cell r="I62" t="str">
            <v>Palestinian Authority</v>
          </cell>
          <cell r="J62">
            <v>0</v>
          </cell>
          <cell r="K62">
            <v>0</v>
          </cell>
          <cell r="L62">
            <v>0</v>
          </cell>
          <cell r="M62">
            <v>1</v>
          </cell>
          <cell r="N62">
            <v>0</v>
          </cell>
        </row>
        <row r="63">
          <cell r="A63" t="str">
            <v>Fondo de Ahorro de Panamá</v>
          </cell>
          <cell r="B63" t="str">
            <v>Savings</v>
          </cell>
          <cell r="C63" t="str">
            <v>Panama</v>
          </cell>
          <cell r="D63" t="str">
            <v>Central America</v>
          </cell>
          <cell r="E63" t="str">
            <v>America</v>
          </cell>
          <cell r="F63" t="str">
            <v>Y</v>
          </cell>
          <cell r="G63">
            <v>2012</v>
          </cell>
          <cell r="H63">
            <v>1.4604431579999999</v>
          </cell>
          <cell r="I63" t="str">
            <v>Panama</v>
          </cell>
          <cell r="J63">
            <v>0</v>
          </cell>
          <cell r="K63">
            <v>0</v>
          </cell>
          <cell r="L63">
            <v>1</v>
          </cell>
          <cell r="M63">
            <v>0</v>
          </cell>
          <cell r="N63">
            <v>0</v>
          </cell>
        </row>
        <row r="64">
          <cell r="A64" t="str">
            <v>Fondo de Estabilización Fiscal (FEF)</v>
          </cell>
          <cell r="B64" t="str">
            <v>Stabilisation</v>
          </cell>
          <cell r="C64" t="str">
            <v>Peru</v>
          </cell>
          <cell r="D64" t="str">
            <v>South America</v>
          </cell>
          <cell r="E64" t="str">
            <v>America</v>
          </cell>
          <cell r="F64" t="str">
            <v>N</v>
          </cell>
          <cell r="G64">
            <v>1999</v>
          </cell>
          <cell r="H64">
            <v>5.4718766407199997</v>
          </cell>
          <cell r="I64" t="str">
            <v>Peru</v>
          </cell>
          <cell r="J64">
            <v>0</v>
          </cell>
          <cell r="K64">
            <v>1</v>
          </cell>
          <cell r="L64">
            <v>0</v>
          </cell>
          <cell r="M64">
            <v>0</v>
          </cell>
          <cell r="N64">
            <v>0</v>
          </cell>
        </row>
        <row r="65">
          <cell r="A65" t="str">
            <v>Qatar Investment Authority</v>
          </cell>
          <cell r="B65" t="str">
            <v>Hybrid</v>
          </cell>
          <cell r="C65" t="str">
            <v>Qatar</v>
          </cell>
          <cell r="D65" t="str">
            <v>West Asia</v>
          </cell>
          <cell r="E65" t="str">
            <v>Asia</v>
          </cell>
          <cell r="F65" t="str">
            <v>Y</v>
          </cell>
          <cell r="G65">
            <v>2005</v>
          </cell>
          <cell r="H65">
            <v>230</v>
          </cell>
          <cell r="I65" t="str">
            <v>Qatar</v>
          </cell>
          <cell r="J65">
            <v>0</v>
          </cell>
          <cell r="K65">
            <v>0</v>
          </cell>
          <cell r="L65">
            <v>0</v>
          </cell>
          <cell r="M65">
            <v>0</v>
          </cell>
          <cell r="N65">
            <v>1</v>
          </cell>
        </row>
        <row r="66">
          <cell r="A66" t="str">
            <v xml:space="preserve">National Wealth Fund </v>
          </cell>
          <cell r="B66" t="str">
            <v>Savings</v>
          </cell>
          <cell r="C66" t="str">
            <v>Russian Federation</v>
          </cell>
          <cell r="D66" t="str">
            <v>Eastern Europe</v>
          </cell>
          <cell r="E66" t="str">
            <v>Europe</v>
          </cell>
          <cell r="F66" t="str">
            <v>N</v>
          </cell>
          <cell r="G66">
            <v>2008</v>
          </cell>
          <cell r="H66">
            <v>124</v>
          </cell>
          <cell r="I66" t="str">
            <v>Russian Federation</v>
          </cell>
          <cell r="J66">
            <v>0</v>
          </cell>
          <cell r="K66">
            <v>0</v>
          </cell>
          <cell r="L66">
            <v>1</v>
          </cell>
          <cell r="M66">
            <v>0</v>
          </cell>
          <cell r="N66">
            <v>0</v>
          </cell>
        </row>
        <row r="67">
          <cell r="A67" t="str">
            <v>Russian Direct Investment Fund</v>
          </cell>
          <cell r="B67" t="str">
            <v>Development/Strategic</v>
          </cell>
          <cell r="C67" t="str">
            <v>Russian Federation</v>
          </cell>
          <cell r="D67" t="str">
            <v>Eastern Europe</v>
          </cell>
          <cell r="E67" t="str">
            <v>Europe</v>
          </cell>
          <cell r="F67" t="str">
            <v>Y</v>
          </cell>
          <cell r="G67">
            <v>2012</v>
          </cell>
          <cell r="H67">
            <v>10</v>
          </cell>
          <cell r="I67" t="str">
            <v>Russian Federation</v>
          </cell>
          <cell r="J67">
            <v>0</v>
          </cell>
          <cell r="K67">
            <v>0</v>
          </cell>
          <cell r="L67">
            <v>0</v>
          </cell>
          <cell r="M67">
            <v>1</v>
          </cell>
          <cell r="N67">
            <v>0</v>
          </cell>
        </row>
        <row r="68">
          <cell r="A68" t="str">
            <v>Agaciro Development Fund</v>
          </cell>
          <cell r="B68" t="str">
            <v>Development/Strategic</v>
          </cell>
          <cell r="C68" t="str">
            <v>Rwanda</v>
          </cell>
          <cell r="D68" t="str">
            <v>Sub-Saharan Africa</v>
          </cell>
          <cell r="E68" t="str">
            <v>Africa</v>
          </cell>
          <cell r="F68" t="str">
            <v>Y</v>
          </cell>
          <cell r="G68">
            <v>2012</v>
          </cell>
          <cell r="H68">
            <v>0.20705523787450317</v>
          </cell>
          <cell r="I68" t="str">
            <v>Rwanda</v>
          </cell>
          <cell r="J68">
            <v>0</v>
          </cell>
          <cell r="K68">
            <v>0</v>
          </cell>
          <cell r="L68">
            <v>0</v>
          </cell>
          <cell r="M68">
            <v>1</v>
          </cell>
          <cell r="N68">
            <v>0</v>
          </cell>
        </row>
        <row r="69">
          <cell r="A69" t="str">
            <v>Public Investment Fund</v>
          </cell>
          <cell r="B69" t="str">
            <v>Hybrid</v>
          </cell>
          <cell r="C69" t="str">
            <v>Saudi Arabia</v>
          </cell>
          <cell r="D69" t="str">
            <v>West Asia</v>
          </cell>
          <cell r="E69" t="str">
            <v>Asia</v>
          </cell>
          <cell r="F69" t="str">
            <v>N</v>
          </cell>
          <cell r="G69">
            <v>1975</v>
          </cell>
          <cell r="H69">
            <v>360</v>
          </cell>
          <cell r="I69" t="str">
            <v>Saudi Arabia</v>
          </cell>
          <cell r="J69">
            <v>0</v>
          </cell>
          <cell r="K69">
            <v>0</v>
          </cell>
          <cell r="L69">
            <v>0</v>
          </cell>
          <cell r="M69">
            <v>0</v>
          </cell>
          <cell r="N69">
            <v>1</v>
          </cell>
        </row>
        <row r="70">
          <cell r="A70" t="str">
            <v>Fonds Souverain d’Investissements Stratégiques (FONSIS)</v>
          </cell>
          <cell r="B70" t="str">
            <v>Development/Strategic</v>
          </cell>
          <cell r="C70" t="str">
            <v>Senegal</v>
          </cell>
          <cell r="D70" t="str">
            <v>Sub-Saharan Africa</v>
          </cell>
          <cell r="E70" t="str">
            <v>Africa</v>
          </cell>
          <cell r="F70" t="str">
            <v>Y</v>
          </cell>
          <cell r="G70">
            <v>2012</v>
          </cell>
          <cell r="H70">
            <v>4.9634842700000001E-2</v>
          </cell>
          <cell r="I70" t="str">
            <v>Senegal</v>
          </cell>
          <cell r="J70">
            <v>0</v>
          </cell>
          <cell r="K70">
            <v>0</v>
          </cell>
          <cell r="L70">
            <v>0</v>
          </cell>
          <cell r="M70">
            <v>1</v>
          </cell>
          <cell r="N70">
            <v>0</v>
          </cell>
        </row>
        <row r="71">
          <cell r="A71" t="str">
            <v>GIC Pte. Limited</v>
          </cell>
          <cell r="B71" t="str">
            <v>Savings</v>
          </cell>
          <cell r="C71" t="str">
            <v>Singapore</v>
          </cell>
          <cell r="D71" t="str">
            <v>South-East Asia</v>
          </cell>
          <cell r="E71" t="str">
            <v>Asia</v>
          </cell>
          <cell r="F71" t="str">
            <v>Y</v>
          </cell>
          <cell r="G71">
            <v>1981</v>
          </cell>
          <cell r="H71">
            <v>400</v>
          </cell>
          <cell r="I71" t="str">
            <v>Singapore</v>
          </cell>
          <cell r="J71">
            <v>0</v>
          </cell>
          <cell r="K71">
            <v>0</v>
          </cell>
          <cell r="L71">
            <v>1</v>
          </cell>
          <cell r="M71">
            <v>0</v>
          </cell>
          <cell r="N71">
            <v>0</v>
          </cell>
        </row>
        <row r="72">
          <cell r="A72" t="str">
            <v>Temasek Holdings</v>
          </cell>
          <cell r="B72" t="str">
            <v>Strategic</v>
          </cell>
          <cell r="C72" t="str">
            <v>Singapore</v>
          </cell>
          <cell r="D72" t="str">
            <v>South-East Asia</v>
          </cell>
          <cell r="E72" t="str">
            <v>Asia</v>
          </cell>
          <cell r="F72" t="str">
            <v>N</v>
          </cell>
          <cell r="G72">
            <v>1974</v>
          </cell>
          <cell r="H72">
            <v>232.76455367299999</v>
          </cell>
          <cell r="I72" t="str">
            <v>Singapore</v>
          </cell>
          <cell r="J72">
            <v>0</v>
          </cell>
          <cell r="K72">
            <v>0</v>
          </cell>
          <cell r="L72">
            <v>0</v>
          </cell>
          <cell r="M72">
            <v>1</v>
          </cell>
          <cell r="N72">
            <v>0</v>
          </cell>
        </row>
        <row r="73">
          <cell r="A73" t="str">
            <v>Korea Investment Corporation</v>
          </cell>
          <cell r="B73" t="str">
            <v>Savings</v>
          </cell>
          <cell r="C73" t="str">
            <v>South Korea</v>
          </cell>
          <cell r="D73" t="str">
            <v>East Asia</v>
          </cell>
          <cell r="E73" t="str">
            <v>Asia</v>
          </cell>
          <cell r="F73" t="str">
            <v>Y</v>
          </cell>
          <cell r="G73">
            <v>2005</v>
          </cell>
          <cell r="H73">
            <v>157.30000000000001</v>
          </cell>
          <cell r="I73" t="str">
            <v>South Korea</v>
          </cell>
          <cell r="J73">
            <v>0</v>
          </cell>
          <cell r="K73">
            <v>0</v>
          </cell>
          <cell r="L73">
            <v>1</v>
          </cell>
          <cell r="M73">
            <v>0</v>
          </cell>
          <cell r="N73">
            <v>0</v>
          </cell>
        </row>
        <row r="74">
          <cell r="A74" t="str">
            <v>Cofides</v>
          </cell>
          <cell r="B74" t="str">
            <v>Development/Strategic</v>
          </cell>
          <cell r="C74" t="str">
            <v>Spain</v>
          </cell>
          <cell r="D74" t="str">
            <v>Southern Europe</v>
          </cell>
          <cell r="E74" t="str">
            <v>Europe</v>
          </cell>
          <cell r="F74" t="str">
            <v>Y</v>
          </cell>
          <cell r="G74">
            <v>1988</v>
          </cell>
          <cell r="H74">
            <v>2.8067518795000002</v>
          </cell>
          <cell r="I74" t="str">
            <v>Spain</v>
          </cell>
          <cell r="J74">
            <v>0</v>
          </cell>
          <cell r="K74">
            <v>0</v>
          </cell>
          <cell r="L74">
            <v>0</v>
          </cell>
          <cell r="M74">
            <v>1</v>
          </cell>
          <cell r="N74">
            <v>0</v>
          </cell>
        </row>
        <row r="75">
          <cell r="A75" t="str">
            <v>Savings and Stabilisation Fund</v>
          </cell>
          <cell r="B75" t="str">
            <v>Hybrid</v>
          </cell>
          <cell r="C75" t="str">
            <v>Suriname</v>
          </cell>
          <cell r="D75" t="str">
            <v>Caribbean</v>
          </cell>
          <cell r="E75" t="str">
            <v>America</v>
          </cell>
          <cell r="F75" t="str">
            <v>N</v>
          </cell>
          <cell r="G75">
            <v>2019</v>
          </cell>
          <cell r="H75">
            <v>0</v>
          </cell>
          <cell r="I75" t="str">
            <v>Suriname</v>
          </cell>
          <cell r="J75">
            <v>0</v>
          </cell>
          <cell r="K75">
            <v>0</v>
          </cell>
          <cell r="L75">
            <v>0</v>
          </cell>
          <cell r="M75">
            <v>0</v>
          </cell>
          <cell r="N75">
            <v>1</v>
          </cell>
        </row>
        <row r="76">
          <cell r="A76" t="str">
            <v>Petroleum Fund of Timor–Leste</v>
          </cell>
          <cell r="B76" t="str">
            <v>Savings</v>
          </cell>
          <cell r="C76" t="str">
            <v>Timor-Leste</v>
          </cell>
          <cell r="D76" t="str">
            <v>South-East Asia</v>
          </cell>
          <cell r="E76" t="str">
            <v>Asia</v>
          </cell>
          <cell r="F76" t="str">
            <v>Y</v>
          </cell>
          <cell r="G76">
            <v>2005</v>
          </cell>
          <cell r="H76">
            <v>17.690000000000001</v>
          </cell>
          <cell r="I76" t="str">
            <v>Timor-Leste</v>
          </cell>
          <cell r="J76">
            <v>0</v>
          </cell>
          <cell r="K76">
            <v>0</v>
          </cell>
          <cell r="L76">
            <v>1</v>
          </cell>
          <cell r="M76">
            <v>0</v>
          </cell>
          <cell r="N76">
            <v>0</v>
          </cell>
        </row>
        <row r="77">
          <cell r="A77" t="str">
            <v>Heritage and Stabilization Fund</v>
          </cell>
          <cell r="B77" t="str">
            <v>Hybrid</v>
          </cell>
          <cell r="C77" t="str">
            <v>Trinidad and Tobago</v>
          </cell>
          <cell r="D77" t="str">
            <v>Caribbean</v>
          </cell>
          <cell r="E77" t="str">
            <v>America</v>
          </cell>
          <cell r="F77" t="str">
            <v>Y</v>
          </cell>
          <cell r="G77">
            <v>2000</v>
          </cell>
          <cell r="H77">
            <v>6.55</v>
          </cell>
          <cell r="I77" t="str">
            <v>Trinidad and Tobago</v>
          </cell>
          <cell r="J77">
            <v>0</v>
          </cell>
          <cell r="K77">
            <v>0</v>
          </cell>
          <cell r="L77">
            <v>0</v>
          </cell>
          <cell r="M77">
            <v>0</v>
          </cell>
          <cell r="N77">
            <v>1</v>
          </cell>
        </row>
        <row r="78">
          <cell r="A78" t="str">
            <v>Turkey Wealth Fund</v>
          </cell>
          <cell r="B78" t="str">
            <v>Development/Strategic</v>
          </cell>
          <cell r="C78" t="str">
            <v>Turkey</v>
          </cell>
          <cell r="D78" t="str">
            <v>West Asia</v>
          </cell>
          <cell r="E78" t="str">
            <v>Asia</v>
          </cell>
          <cell r="F78" t="str">
            <v>Y</v>
          </cell>
          <cell r="G78">
            <v>2017</v>
          </cell>
          <cell r="H78">
            <v>197.59573415368081</v>
          </cell>
          <cell r="I78" t="str">
            <v>Turkey</v>
          </cell>
          <cell r="J78">
            <v>0</v>
          </cell>
          <cell r="K78">
            <v>0</v>
          </cell>
          <cell r="L78">
            <v>0</v>
          </cell>
          <cell r="M78">
            <v>1</v>
          </cell>
          <cell r="N78">
            <v>0</v>
          </cell>
        </row>
        <row r="79">
          <cell r="A79" t="str">
            <v>Abu Dhabi Investment Authority</v>
          </cell>
          <cell r="B79" t="str">
            <v>Savings</v>
          </cell>
          <cell r="C79" t="str">
            <v>UAE</v>
          </cell>
          <cell r="D79" t="str">
            <v>West Asia</v>
          </cell>
          <cell r="E79" t="str">
            <v>Asia</v>
          </cell>
          <cell r="F79" t="str">
            <v>Y</v>
          </cell>
          <cell r="G79">
            <v>1976</v>
          </cell>
          <cell r="H79">
            <v>500</v>
          </cell>
          <cell r="I79" t="str">
            <v>UAE</v>
          </cell>
          <cell r="J79">
            <v>0</v>
          </cell>
          <cell r="K79">
            <v>0</v>
          </cell>
          <cell r="L79">
            <v>1</v>
          </cell>
          <cell r="M79">
            <v>0</v>
          </cell>
          <cell r="N79">
            <v>0</v>
          </cell>
        </row>
        <row r="80">
          <cell r="A80" t="str">
            <v>Investment Corporation of Dubai</v>
          </cell>
          <cell r="B80" t="str">
            <v>Strategic</v>
          </cell>
          <cell r="C80" t="str">
            <v>UAE</v>
          </cell>
          <cell r="D80" t="str">
            <v>West Asia</v>
          </cell>
          <cell r="E80" t="str">
            <v>Asia</v>
          </cell>
          <cell r="F80" t="str">
            <v>N</v>
          </cell>
          <cell r="G80">
            <v>2006</v>
          </cell>
          <cell r="H80">
            <v>305</v>
          </cell>
          <cell r="I80" t="str">
            <v>UAE</v>
          </cell>
          <cell r="J80">
            <v>0</v>
          </cell>
          <cell r="K80">
            <v>0</v>
          </cell>
          <cell r="L80">
            <v>0</v>
          </cell>
          <cell r="M80">
            <v>1</v>
          </cell>
          <cell r="N80">
            <v>0</v>
          </cell>
        </row>
        <row r="81">
          <cell r="A81" t="str">
            <v>Mubadala Investment Company</v>
          </cell>
          <cell r="B81" t="str">
            <v>Hybrid</v>
          </cell>
          <cell r="C81" t="str">
            <v>UAE</v>
          </cell>
          <cell r="D81" t="str">
            <v>West Asia</v>
          </cell>
          <cell r="E81" t="str">
            <v>Asia</v>
          </cell>
          <cell r="F81" t="str">
            <v>Y</v>
          </cell>
          <cell r="G81">
            <v>2002</v>
          </cell>
          <cell r="H81">
            <v>232</v>
          </cell>
          <cell r="I81" t="str">
            <v>UAE</v>
          </cell>
          <cell r="J81">
            <v>0</v>
          </cell>
          <cell r="K81">
            <v>0</v>
          </cell>
          <cell r="L81">
            <v>0</v>
          </cell>
          <cell r="M81">
            <v>0</v>
          </cell>
          <cell r="N81">
            <v>1</v>
          </cell>
        </row>
        <row r="82">
          <cell r="A82" t="str">
            <v>ADQ</v>
          </cell>
          <cell r="B82" t="str">
            <v>Development/Strategic</v>
          </cell>
          <cell r="C82" t="str">
            <v>UAE</v>
          </cell>
          <cell r="D82" t="str">
            <v>West Asia</v>
          </cell>
          <cell r="E82" t="str">
            <v>Asia</v>
          </cell>
          <cell r="F82" t="str">
            <v>N</v>
          </cell>
          <cell r="G82">
            <v>2018</v>
          </cell>
          <cell r="I82" t="str">
            <v>UAE</v>
          </cell>
          <cell r="J82">
            <v>0</v>
          </cell>
          <cell r="K82">
            <v>0</v>
          </cell>
          <cell r="L82">
            <v>0</v>
          </cell>
          <cell r="M82">
            <v>1</v>
          </cell>
          <cell r="N82">
            <v>0</v>
          </cell>
        </row>
        <row r="83">
          <cell r="A83" t="str">
            <v>Emirates Investment Authority</v>
          </cell>
          <cell r="B83" t="str">
            <v>Strategic</v>
          </cell>
          <cell r="C83" t="str">
            <v>UAE</v>
          </cell>
          <cell r="D83" t="str">
            <v>West Asia</v>
          </cell>
          <cell r="E83" t="str">
            <v>Asia</v>
          </cell>
          <cell r="F83" t="str">
            <v>N</v>
          </cell>
          <cell r="G83">
            <v>2007</v>
          </cell>
          <cell r="I83" t="str">
            <v>UAE</v>
          </cell>
          <cell r="J83">
            <v>0</v>
          </cell>
          <cell r="K83">
            <v>0</v>
          </cell>
          <cell r="L83">
            <v>0</v>
          </cell>
          <cell r="M83">
            <v>1</v>
          </cell>
          <cell r="N83">
            <v>0</v>
          </cell>
        </row>
        <row r="84">
          <cell r="A84" t="str">
            <v>Petroleum Investment Fund</v>
          </cell>
          <cell r="B84" t="str">
            <v>Stabilisation</v>
          </cell>
          <cell r="C84" t="str">
            <v>Uganda</v>
          </cell>
          <cell r="D84" t="str">
            <v>Sub-Saharan Africa</v>
          </cell>
          <cell r="E84" t="str">
            <v>Africa</v>
          </cell>
          <cell r="F84" t="str">
            <v>N</v>
          </cell>
          <cell r="G84">
            <v>2015</v>
          </cell>
          <cell r="H84">
            <v>1.710938104986624E-3</v>
          </cell>
          <cell r="I84" t="str">
            <v>Uganda</v>
          </cell>
          <cell r="J84">
            <v>0</v>
          </cell>
          <cell r="K84">
            <v>1</v>
          </cell>
          <cell r="L84">
            <v>0</v>
          </cell>
          <cell r="M84">
            <v>0</v>
          </cell>
          <cell r="N84">
            <v>0</v>
          </cell>
        </row>
        <row r="85">
          <cell r="A85" t="str">
            <v>Alabama Trust Fund</v>
          </cell>
          <cell r="B85" t="str">
            <v>Savings</v>
          </cell>
          <cell r="C85" t="str">
            <v>USA (Alabama)</v>
          </cell>
          <cell r="D85" t="str">
            <v>North America</v>
          </cell>
          <cell r="E85" t="str">
            <v>America</v>
          </cell>
          <cell r="F85" t="str">
            <v>N</v>
          </cell>
          <cell r="G85">
            <v>1985</v>
          </cell>
          <cell r="H85">
            <v>3.2</v>
          </cell>
          <cell r="I85" t="str">
            <v>USA</v>
          </cell>
          <cell r="J85">
            <v>1</v>
          </cell>
          <cell r="K85">
            <v>0</v>
          </cell>
          <cell r="L85">
            <v>1</v>
          </cell>
          <cell r="M85">
            <v>0</v>
          </cell>
          <cell r="N85">
            <v>0</v>
          </cell>
        </row>
        <row r="86">
          <cell r="A86" t="str">
            <v>Alaska Permanent Fund</v>
          </cell>
          <cell r="B86" t="str">
            <v>Savings</v>
          </cell>
          <cell r="C86" t="str">
            <v>USA (Alaska)</v>
          </cell>
          <cell r="D86" t="str">
            <v>North America</v>
          </cell>
          <cell r="E86" t="str">
            <v>America</v>
          </cell>
          <cell r="F86" t="str">
            <v>Y</v>
          </cell>
          <cell r="G86">
            <v>1976</v>
          </cell>
          <cell r="H86">
            <v>68.393500000000003</v>
          </cell>
          <cell r="I86" t="str">
            <v>USA</v>
          </cell>
          <cell r="J86">
            <v>1</v>
          </cell>
          <cell r="K86">
            <v>0</v>
          </cell>
          <cell r="L86">
            <v>1</v>
          </cell>
          <cell r="M86">
            <v>0</v>
          </cell>
          <cell r="N86">
            <v>0</v>
          </cell>
        </row>
        <row r="87">
          <cell r="A87" t="str">
            <v>New Mexico Investment Trust Fund</v>
          </cell>
          <cell r="B87" t="str">
            <v>Savings</v>
          </cell>
          <cell r="C87" t="str">
            <v>USA (New Mexico)</v>
          </cell>
          <cell r="D87" t="str">
            <v>North America</v>
          </cell>
          <cell r="E87" t="str">
            <v>America</v>
          </cell>
          <cell r="F87" t="str">
            <v>N</v>
          </cell>
          <cell r="G87">
            <v>1958</v>
          </cell>
          <cell r="H87">
            <v>6.9660000000000002</v>
          </cell>
          <cell r="I87" t="str">
            <v>USA</v>
          </cell>
          <cell r="J87">
            <v>1</v>
          </cell>
          <cell r="K87">
            <v>0</v>
          </cell>
          <cell r="L87">
            <v>1</v>
          </cell>
          <cell r="M87">
            <v>0</v>
          </cell>
          <cell r="N87">
            <v>0</v>
          </cell>
        </row>
        <row r="88">
          <cell r="A88" t="str">
            <v>North Dakota Legacy Fund</v>
          </cell>
          <cell r="B88" t="str">
            <v>Savings</v>
          </cell>
          <cell r="C88" t="str">
            <v>USA (North Dakota)</v>
          </cell>
          <cell r="D88" t="str">
            <v>North America</v>
          </cell>
          <cell r="E88" t="str">
            <v>America</v>
          </cell>
          <cell r="F88" t="str">
            <v>N</v>
          </cell>
          <cell r="G88">
            <v>2011</v>
          </cell>
          <cell r="H88">
            <v>6.836292931</v>
          </cell>
          <cell r="I88" t="str">
            <v>USA</v>
          </cell>
          <cell r="J88">
            <v>1</v>
          </cell>
          <cell r="K88">
            <v>0</v>
          </cell>
          <cell r="L88">
            <v>1</v>
          </cell>
          <cell r="M88">
            <v>0</v>
          </cell>
          <cell r="N88">
            <v>0</v>
          </cell>
        </row>
        <row r="89">
          <cell r="A89" t="str">
            <v>Permanent Wyoming Mineral Trust Fund</v>
          </cell>
          <cell r="B89" t="str">
            <v>Savings</v>
          </cell>
          <cell r="C89" t="str">
            <v>USA (Wyoming)</v>
          </cell>
          <cell r="D89" t="str">
            <v>North America</v>
          </cell>
          <cell r="E89" t="str">
            <v>America</v>
          </cell>
          <cell r="F89" t="str">
            <v>N</v>
          </cell>
          <cell r="G89">
            <v>1974</v>
          </cell>
          <cell r="H89">
            <v>7.9610957429999996</v>
          </cell>
          <cell r="I89" t="str">
            <v>USA</v>
          </cell>
          <cell r="J89">
            <v>1</v>
          </cell>
          <cell r="K89">
            <v>0</v>
          </cell>
          <cell r="L89">
            <v>1</v>
          </cell>
          <cell r="M89">
            <v>0</v>
          </cell>
          <cell r="N89">
            <v>0</v>
          </cell>
        </row>
        <row r="90">
          <cell r="A90" t="str">
            <v>State Capital Investment Corp</v>
          </cell>
          <cell r="B90" t="str">
            <v>Development/Strategic</v>
          </cell>
          <cell r="C90" t="str">
            <v>Vietnam</v>
          </cell>
          <cell r="D90" t="str">
            <v>South-East Asia</v>
          </cell>
          <cell r="E90" t="str">
            <v>Asia</v>
          </cell>
          <cell r="F90" t="str">
            <v>N</v>
          </cell>
          <cell r="G90">
            <v>2006</v>
          </cell>
          <cell r="H90">
            <v>2.4522861920810031</v>
          </cell>
          <cell r="I90" t="str">
            <v>Vietnam</v>
          </cell>
          <cell r="J90">
            <v>0</v>
          </cell>
          <cell r="K90">
            <v>0</v>
          </cell>
          <cell r="L90">
            <v>0</v>
          </cell>
          <cell r="M90">
            <v>1</v>
          </cell>
          <cell r="N90">
            <v>0</v>
          </cell>
        </row>
      </sheetData>
      <sheetData sheetId="6">
        <row r="1">
          <cell r="A1" t="str">
            <v>Country</v>
          </cell>
          <cell r="B1" t="str">
            <v>Alpha-2 code</v>
          </cell>
          <cell r="C1" t="str">
            <v>Alpha-3 code</v>
          </cell>
        </row>
        <row r="2">
          <cell r="A2" t="str">
            <v>Afghanistan</v>
          </cell>
          <cell r="B2" t="str">
            <v>AF</v>
          </cell>
          <cell r="C2" t="str">
            <v>AFG</v>
          </cell>
        </row>
        <row r="3">
          <cell r="A3" t="str">
            <v>Albania</v>
          </cell>
          <cell r="B3" t="str">
            <v>AL</v>
          </cell>
          <cell r="C3" t="str">
            <v>ALB</v>
          </cell>
        </row>
        <row r="4">
          <cell r="A4" t="str">
            <v>Algeria</v>
          </cell>
          <cell r="B4" t="str">
            <v>DZ</v>
          </cell>
          <cell r="C4" t="str">
            <v>DZA</v>
          </cell>
        </row>
        <row r="5">
          <cell r="A5" t="str">
            <v>American Samoa</v>
          </cell>
          <cell r="B5" t="str">
            <v>AS</v>
          </cell>
          <cell r="C5" t="str">
            <v>ASM</v>
          </cell>
        </row>
        <row r="6">
          <cell r="A6" t="str">
            <v>Andorra</v>
          </cell>
          <cell r="B6" t="str">
            <v>AD</v>
          </cell>
          <cell r="C6" t="str">
            <v>AND</v>
          </cell>
        </row>
        <row r="7">
          <cell r="A7" t="str">
            <v>Angola</v>
          </cell>
          <cell r="B7" t="str">
            <v>AO</v>
          </cell>
          <cell r="C7" t="str">
            <v>AGO</v>
          </cell>
        </row>
        <row r="8">
          <cell r="A8" t="str">
            <v>Anguilla</v>
          </cell>
          <cell r="B8" t="str">
            <v>AI</v>
          </cell>
          <cell r="C8" t="str">
            <v>AIA</v>
          </cell>
        </row>
        <row r="9">
          <cell r="A9" t="str">
            <v>Antarctica</v>
          </cell>
          <cell r="B9" t="str">
            <v>AQ</v>
          </cell>
          <cell r="C9" t="str">
            <v>ATA</v>
          </cell>
        </row>
        <row r="10">
          <cell r="A10" t="str">
            <v>Antigua and Barbuda</v>
          </cell>
          <cell r="B10" t="str">
            <v>AG</v>
          </cell>
          <cell r="C10" t="str">
            <v>ATG</v>
          </cell>
        </row>
        <row r="11">
          <cell r="A11" t="str">
            <v>Argentina</v>
          </cell>
          <cell r="B11" t="str">
            <v>AR</v>
          </cell>
          <cell r="C11" t="str">
            <v>ARG</v>
          </cell>
        </row>
        <row r="12">
          <cell r="A12" t="str">
            <v>Armenia</v>
          </cell>
          <cell r="B12" t="str">
            <v>AM</v>
          </cell>
          <cell r="C12" t="str">
            <v>ARM</v>
          </cell>
        </row>
        <row r="13">
          <cell r="A13" t="str">
            <v>Aruba</v>
          </cell>
          <cell r="B13" t="str">
            <v>AW</v>
          </cell>
          <cell r="C13" t="str">
            <v>ABW</v>
          </cell>
        </row>
        <row r="14">
          <cell r="A14" t="str">
            <v>Australia</v>
          </cell>
          <cell r="B14" t="str">
            <v>AU</v>
          </cell>
          <cell r="C14" t="str">
            <v>AUS</v>
          </cell>
        </row>
        <row r="15">
          <cell r="A15" t="str">
            <v>Austria</v>
          </cell>
          <cell r="B15" t="str">
            <v>AT</v>
          </cell>
          <cell r="C15" t="str">
            <v>AUT</v>
          </cell>
        </row>
        <row r="16">
          <cell r="A16" t="str">
            <v>Azerbaijan</v>
          </cell>
          <cell r="B16" t="str">
            <v>AZ</v>
          </cell>
          <cell r="C16" t="str">
            <v>AZE</v>
          </cell>
        </row>
        <row r="17">
          <cell r="A17" t="str">
            <v>Bahamas (the)</v>
          </cell>
          <cell r="B17" t="str">
            <v>BS</v>
          </cell>
          <cell r="C17" t="str">
            <v>BHS</v>
          </cell>
        </row>
        <row r="18">
          <cell r="A18" t="str">
            <v>Bahrain</v>
          </cell>
          <cell r="B18" t="str">
            <v>BH</v>
          </cell>
          <cell r="C18" t="str">
            <v>BHR</v>
          </cell>
        </row>
        <row r="19">
          <cell r="A19" t="str">
            <v>Bangladesh</v>
          </cell>
          <cell r="B19" t="str">
            <v>BD</v>
          </cell>
          <cell r="C19" t="str">
            <v>BGD</v>
          </cell>
        </row>
        <row r="20">
          <cell r="A20" t="str">
            <v>Barbados</v>
          </cell>
          <cell r="B20" t="str">
            <v>BB</v>
          </cell>
          <cell r="C20" t="str">
            <v>BRB</v>
          </cell>
        </row>
        <row r="21">
          <cell r="A21" t="str">
            <v>Belarus</v>
          </cell>
          <cell r="B21" t="str">
            <v>BY</v>
          </cell>
          <cell r="C21" t="str">
            <v>BLR</v>
          </cell>
        </row>
        <row r="22">
          <cell r="A22" t="str">
            <v>Belgium</v>
          </cell>
          <cell r="B22" t="str">
            <v>BE</v>
          </cell>
          <cell r="C22" t="str">
            <v>BEL</v>
          </cell>
        </row>
        <row r="23">
          <cell r="A23" t="str">
            <v>Belize</v>
          </cell>
          <cell r="B23" t="str">
            <v>BZ</v>
          </cell>
          <cell r="C23" t="str">
            <v>BLZ</v>
          </cell>
        </row>
        <row r="24">
          <cell r="A24" t="str">
            <v>Benin</v>
          </cell>
          <cell r="B24" t="str">
            <v>BJ</v>
          </cell>
          <cell r="C24" t="str">
            <v>BEN</v>
          </cell>
        </row>
        <row r="25">
          <cell r="A25" t="str">
            <v>Bermuda</v>
          </cell>
          <cell r="B25" t="str">
            <v>BM</v>
          </cell>
          <cell r="C25" t="str">
            <v>BMU</v>
          </cell>
        </row>
        <row r="26">
          <cell r="A26" t="str">
            <v>Bhutan</v>
          </cell>
          <cell r="B26" t="str">
            <v>BT</v>
          </cell>
          <cell r="C26" t="str">
            <v>BTN</v>
          </cell>
        </row>
        <row r="27">
          <cell r="A27" t="str">
            <v>Bolivia</v>
          </cell>
          <cell r="B27" t="str">
            <v>BO</v>
          </cell>
          <cell r="C27" t="str">
            <v>BOL</v>
          </cell>
        </row>
        <row r="28">
          <cell r="A28" t="str">
            <v>Bonaire, Sint Eustatius and Saba</v>
          </cell>
          <cell r="B28" t="str">
            <v>BQ</v>
          </cell>
          <cell r="C28" t="str">
            <v>BES</v>
          </cell>
        </row>
        <row r="29">
          <cell r="A29" t="str">
            <v>Bosnia and Herzegovina</v>
          </cell>
          <cell r="B29" t="str">
            <v>BA</v>
          </cell>
          <cell r="C29" t="str">
            <v>BIH</v>
          </cell>
        </row>
        <row r="30">
          <cell r="A30" t="str">
            <v>Botswana</v>
          </cell>
          <cell r="B30" t="str">
            <v>BW</v>
          </cell>
          <cell r="C30" t="str">
            <v>BWA</v>
          </cell>
        </row>
        <row r="31">
          <cell r="A31" t="str">
            <v>Bouvet Island</v>
          </cell>
          <cell r="B31" t="str">
            <v>BV</v>
          </cell>
          <cell r="C31" t="str">
            <v>BVT</v>
          </cell>
        </row>
        <row r="32">
          <cell r="A32" t="str">
            <v>Brazil</v>
          </cell>
          <cell r="B32" t="str">
            <v>BR</v>
          </cell>
          <cell r="C32" t="str">
            <v>BRA</v>
          </cell>
        </row>
        <row r="33">
          <cell r="A33" t="str">
            <v>British Indian Ocean Territory (the)</v>
          </cell>
          <cell r="B33" t="str">
            <v>IO</v>
          </cell>
          <cell r="C33" t="str">
            <v>IOT</v>
          </cell>
        </row>
        <row r="34">
          <cell r="A34" t="str">
            <v>Brunei Darussalam</v>
          </cell>
          <cell r="B34" t="str">
            <v>BN</v>
          </cell>
          <cell r="C34" t="str">
            <v>BRN</v>
          </cell>
        </row>
        <row r="35">
          <cell r="A35" t="str">
            <v>Bulgaria</v>
          </cell>
          <cell r="B35" t="str">
            <v>BG</v>
          </cell>
          <cell r="C35" t="str">
            <v>BGR</v>
          </cell>
        </row>
        <row r="36">
          <cell r="A36" t="str">
            <v>Burkina Faso</v>
          </cell>
          <cell r="B36" t="str">
            <v>BF</v>
          </cell>
          <cell r="C36" t="str">
            <v>BFA</v>
          </cell>
        </row>
        <row r="37">
          <cell r="A37" t="str">
            <v>Burundi</v>
          </cell>
          <cell r="B37" t="str">
            <v>BI</v>
          </cell>
          <cell r="C37" t="str">
            <v>BDI</v>
          </cell>
        </row>
        <row r="38">
          <cell r="A38" t="str">
            <v>Cape Verde</v>
          </cell>
          <cell r="B38" t="str">
            <v>CV</v>
          </cell>
          <cell r="C38" t="str">
            <v>CPV</v>
          </cell>
        </row>
        <row r="39">
          <cell r="A39" t="str">
            <v>Cambodia</v>
          </cell>
          <cell r="B39" t="str">
            <v>KH</v>
          </cell>
          <cell r="C39" t="str">
            <v>KHM</v>
          </cell>
        </row>
        <row r="40">
          <cell r="A40" t="str">
            <v>Cameroon</v>
          </cell>
          <cell r="B40" t="str">
            <v>CM</v>
          </cell>
          <cell r="C40" t="str">
            <v>CMR</v>
          </cell>
        </row>
        <row r="41">
          <cell r="A41" t="str">
            <v>Canada</v>
          </cell>
          <cell r="B41" t="str">
            <v>CA</v>
          </cell>
          <cell r="C41" t="str">
            <v>CAN</v>
          </cell>
        </row>
        <row r="42">
          <cell r="A42" t="str">
            <v>Cayman Islands (the)</v>
          </cell>
          <cell r="B42" t="str">
            <v>KY</v>
          </cell>
          <cell r="C42" t="str">
            <v>CYM</v>
          </cell>
        </row>
        <row r="43">
          <cell r="A43" t="str">
            <v>Central African Republic (the)</v>
          </cell>
          <cell r="B43" t="str">
            <v>CF</v>
          </cell>
          <cell r="C43" t="str">
            <v>CAF</v>
          </cell>
        </row>
        <row r="44">
          <cell r="A44" t="str">
            <v>Chad</v>
          </cell>
          <cell r="B44" t="str">
            <v>TD</v>
          </cell>
          <cell r="C44" t="str">
            <v>TCD</v>
          </cell>
        </row>
        <row r="45">
          <cell r="A45" t="str">
            <v>Chile</v>
          </cell>
          <cell r="B45" t="str">
            <v>CL</v>
          </cell>
          <cell r="C45" t="str">
            <v>CHL</v>
          </cell>
        </row>
        <row r="46">
          <cell r="A46" t="str">
            <v>China</v>
          </cell>
          <cell r="B46" t="str">
            <v>CN</v>
          </cell>
          <cell r="C46" t="str">
            <v>CHN</v>
          </cell>
        </row>
        <row r="47">
          <cell r="A47" t="str">
            <v>Christmas Island</v>
          </cell>
          <cell r="B47" t="str">
            <v>CX</v>
          </cell>
          <cell r="C47" t="str">
            <v>CXR</v>
          </cell>
        </row>
        <row r="48">
          <cell r="A48" t="str">
            <v>Cocos (Keeling) Islands (the)</v>
          </cell>
          <cell r="B48" t="str">
            <v>CC</v>
          </cell>
          <cell r="C48" t="str">
            <v>CCK</v>
          </cell>
        </row>
        <row r="49">
          <cell r="A49" t="str">
            <v>Colombia</v>
          </cell>
          <cell r="B49" t="str">
            <v>CO</v>
          </cell>
          <cell r="C49" t="str">
            <v>COL</v>
          </cell>
        </row>
        <row r="50">
          <cell r="A50" t="str">
            <v>Comoros (the)</v>
          </cell>
          <cell r="B50" t="str">
            <v>KM</v>
          </cell>
          <cell r="C50" t="str">
            <v>COM</v>
          </cell>
        </row>
        <row r="51">
          <cell r="A51" t="str">
            <v>Congo (the Democratic Republic of the)</v>
          </cell>
          <cell r="B51" t="str">
            <v>CD</v>
          </cell>
          <cell r="C51" t="str">
            <v>COD</v>
          </cell>
        </row>
        <row r="52">
          <cell r="A52" t="str">
            <v>Congo (the)</v>
          </cell>
          <cell r="B52" t="str">
            <v>CG</v>
          </cell>
          <cell r="C52" t="str">
            <v>COG</v>
          </cell>
        </row>
        <row r="53">
          <cell r="A53" t="str">
            <v>Cook Islands (the)</v>
          </cell>
          <cell r="B53" t="str">
            <v>CK</v>
          </cell>
          <cell r="C53" t="str">
            <v>COK</v>
          </cell>
        </row>
        <row r="54">
          <cell r="A54" t="str">
            <v>Costa Rica</v>
          </cell>
          <cell r="B54" t="str">
            <v>CR</v>
          </cell>
          <cell r="C54" t="str">
            <v>CRI</v>
          </cell>
        </row>
        <row r="55">
          <cell r="A55" t="str">
            <v>Croatia</v>
          </cell>
          <cell r="B55" t="str">
            <v>HR</v>
          </cell>
          <cell r="C55" t="str">
            <v>HRV</v>
          </cell>
        </row>
        <row r="56">
          <cell r="A56" t="str">
            <v>Cuba</v>
          </cell>
          <cell r="B56" t="str">
            <v>CU</v>
          </cell>
          <cell r="C56" t="str">
            <v>CUB</v>
          </cell>
        </row>
        <row r="57">
          <cell r="A57" t="str">
            <v>Curaçao</v>
          </cell>
          <cell r="B57" t="str">
            <v>CW</v>
          </cell>
          <cell r="C57" t="str">
            <v>CUW</v>
          </cell>
        </row>
        <row r="58">
          <cell r="A58" t="str">
            <v>Cyprus</v>
          </cell>
          <cell r="B58" t="str">
            <v>CY</v>
          </cell>
          <cell r="C58" t="str">
            <v>CYP</v>
          </cell>
        </row>
        <row r="59">
          <cell r="A59" t="str">
            <v>Czechia</v>
          </cell>
          <cell r="B59" t="str">
            <v>CZ</v>
          </cell>
          <cell r="C59" t="str">
            <v>CZE</v>
          </cell>
        </row>
        <row r="60">
          <cell r="A60" t="str">
            <v>Côte d'Ivoire</v>
          </cell>
          <cell r="B60" t="str">
            <v>CI</v>
          </cell>
          <cell r="C60" t="str">
            <v>CIV</v>
          </cell>
        </row>
        <row r="61">
          <cell r="A61" t="str">
            <v>Denmark</v>
          </cell>
          <cell r="B61" t="str">
            <v>DK</v>
          </cell>
          <cell r="C61" t="str">
            <v>DNK</v>
          </cell>
        </row>
        <row r="62">
          <cell r="A62" t="str">
            <v>Djibouti</v>
          </cell>
          <cell r="B62" t="str">
            <v>DJ</v>
          </cell>
          <cell r="C62" t="str">
            <v>DJI</v>
          </cell>
        </row>
        <row r="63">
          <cell r="A63" t="str">
            <v>Dominica</v>
          </cell>
          <cell r="B63" t="str">
            <v>DM</v>
          </cell>
          <cell r="C63" t="str">
            <v>DMA</v>
          </cell>
        </row>
        <row r="64">
          <cell r="A64" t="str">
            <v>Dominican Republic (the)</v>
          </cell>
          <cell r="B64" t="str">
            <v>DO</v>
          </cell>
          <cell r="C64" t="str">
            <v>DOM</v>
          </cell>
        </row>
        <row r="65">
          <cell r="A65" t="str">
            <v>Ecuador</v>
          </cell>
          <cell r="B65" t="str">
            <v>EC</v>
          </cell>
          <cell r="C65" t="str">
            <v>ECU</v>
          </cell>
        </row>
        <row r="66">
          <cell r="A66" t="str">
            <v>Egypt</v>
          </cell>
          <cell r="B66" t="str">
            <v>EG</v>
          </cell>
          <cell r="C66" t="str">
            <v>EGY</v>
          </cell>
        </row>
        <row r="67">
          <cell r="A67" t="str">
            <v>El Salvador</v>
          </cell>
          <cell r="B67" t="str">
            <v>SV</v>
          </cell>
          <cell r="C67" t="str">
            <v>SLV</v>
          </cell>
        </row>
        <row r="68">
          <cell r="A68" t="str">
            <v>Equatorial Guinea</v>
          </cell>
          <cell r="B68" t="str">
            <v>GQ</v>
          </cell>
          <cell r="C68" t="str">
            <v>GNQ</v>
          </cell>
        </row>
        <row r="69">
          <cell r="A69" t="str">
            <v>Eritrea</v>
          </cell>
          <cell r="B69" t="str">
            <v>ER</v>
          </cell>
          <cell r="C69" t="str">
            <v>ERI</v>
          </cell>
        </row>
        <row r="70">
          <cell r="A70" t="str">
            <v>Estonia</v>
          </cell>
          <cell r="B70" t="str">
            <v>EE</v>
          </cell>
          <cell r="C70" t="str">
            <v>EST</v>
          </cell>
        </row>
        <row r="71">
          <cell r="A71" t="str">
            <v>Eswatini</v>
          </cell>
          <cell r="B71" t="str">
            <v>SZ</v>
          </cell>
          <cell r="C71" t="str">
            <v>SWZ</v>
          </cell>
        </row>
        <row r="72">
          <cell r="A72" t="str">
            <v>Ethiopia</v>
          </cell>
          <cell r="B72" t="str">
            <v>ET</v>
          </cell>
          <cell r="C72" t="str">
            <v>ETH</v>
          </cell>
        </row>
        <row r="73">
          <cell r="A73" t="str">
            <v>Falkland Islands (the) [Malvinas]</v>
          </cell>
          <cell r="B73" t="str">
            <v>FK</v>
          </cell>
          <cell r="C73" t="str">
            <v>FLK</v>
          </cell>
        </row>
        <row r="74">
          <cell r="A74" t="str">
            <v>Faroe Islands (the)</v>
          </cell>
          <cell r="B74" t="str">
            <v>FO</v>
          </cell>
          <cell r="C74" t="str">
            <v>FRO</v>
          </cell>
        </row>
        <row r="75">
          <cell r="A75" t="str">
            <v>Fiji</v>
          </cell>
          <cell r="B75" t="str">
            <v>FJ</v>
          </cell>
          <cell r="C75" t="str">
            <v>FJI</v>
          </cell>
        </row>
        <row r="76">
          <cell r="A76" t="str">
            <v>Finland</v>
          </cell>
          <cell r="B76" t="str">
            <v>FI</v>
          </cell>
          <cell r="C76" t="str">
            <v>FIN</v>
          </cell>
        </row>
        <row r="77">
          <cell r="A77" t="str">
            <v>France</v>
          </cell>
          <cell r="B77" t="str">
            <v>FR</v>
          </cell>
          <cell r="C77" t="str">
            <v>FRA</v>
          </cell>
        </row>
        <row r="78">
          <cell r="A78" t="str">
            <v>French Guiana</v>
          </cell>
          <cell r="B78" t="str">
            <v>GF</v>
          </cell>
          <cell r="C78" t="str">
            <v>GUF</v>
          </cell>
        </row>
        <row r="79">
          <cell r="A79" t="str">
            <v>French Polynesia</v>
          </cell>
          <cell r="B79" t="str">
            <v>PF</v>
          </cell>
          <cell r="C79" t="str">
            <v>PYF</v>
          </cell>
        </row>
        <row r="80">
          <cell r="A80" t="str">
            <v>French Southern Territories (the)</v>
          </cell>
          <cell r="B80" t="str">
            <v>TF</v>
          </cell>
          <cell r="C80" t="str">
            <v>ATF</v>
          </cell>
        </row>
        <row r="81">
          <cell r="A81" t="str">
            <v>Gabon</v>
          </cell>
          <cell r="B81" t="str">
            <v>GA</v>
          </cell>
          <cell r="C81" t="str">
            <v>GAB</v>
          </cell>
        </row>
        <row r="82">
          <cell r="A82" t="str">
            <v>Gambia (the)</v>
          </cell>
          <cell r="B82" t="str">
            <v>GM</v>
          </cell>
          <cell r="C82" t="str">
            <v>GMB</v>
          </cell>
        </row>
        <row r="83">
          <cell r="A83" t="str">
            <v>Georgia</v>
          </cell>
          <cell r="B83" t="str">
            <v>GE</v>
          </cell>
          <cell r="C83" t="str">
            <v>GEO</v>
          </cell>
        </row>
        <row r="84">
          <cell r="A84" t="str">
            <v>Germany</v>
          </cell>
          <cell r="B84" t="str">
            <v>DE</v>
          </cell>
          <cell r="C84" t="str">
            <v>DEU</v>
          </cell>
        </row>
        <row r="85">
          <cell r="A85" t="str">
            <v>Ghana</v>
          </cell>
          <cell r="B85" t="str">
            <v>GH</v>
          </cell>
          <cell r="C85" t="str">
            <v>GHA</v>
          </cell>
        </row>
        <row r="86">
          <cell r="A86" t="str">
            <v>Gibraltar</v>
          </cell>
          <cell r="B86" t="str">
            <v>GI</v>
          </cell>
          <cell r="C86" t="str">
            <v>GIB</v>
          </cell>
        </row>
        <row r="87">
          <cell r="A87" t="str">
            <v>Greece</v>
          </cell>
          <cell r="B87" t="str">
            <v>GR</v>
          </cell>
          <cell r="C87" t="str">
            <v>GRC</v>
          </cell>
        </row>
        <row r="88">
          <cell r="A88" t="str">
            <v>Greenland</v>
          </cell>
          <cell r="B88" t="str">
            <v>GL</v>
          </cell>
          <cell r="C88" t="str">
            <v>GRL</v>
          </cell>
        </row>
        <row r="89">
          <cell r="A89" t="str">
            <v>Grenada</v>
          </cell>
          <cell r="B89" t="str">
            <v>GD</v>
          </cell>
          <cell r="C89" t="str">
            <v>GRD</v>
          </cell>
        </row>
        <row r="90">
          <cell r="A90" t="str">
            <v>Guadeloupe</v>
          </cell>
          <cell r="B90" t="str">
            <v>GP</v>
          </cell>
          <cell r="C90" t="str">
            <v>GLP</v>
          </cell>
        </row>
        <row r="91">
          <cell r="A91" t="str">
            <v>Guam</v>
          </cell>
          <cell r="B91" t="str">
            <v>GU</v>
          </cell>
          <cell r="C91" t="str">
            <v>GUM</v>
          </cell>
        </row>
        <row r="92">
          <cell r="A92" t="str">
            <v>Guatemala</v>
          </cell>
          <cell r="B92" t="str">
            <v>GT</v>
          </cell>
          <cell r="C92" t="str">
            <v>GTM</v>
          </cell>
        </row>
        <row r="93">
          <cell r="A93" t="str">
            <v>Guernsey</v>
          </cell>
          <cell r="B93" t="str">
            <v>GG</v>
          </cell>
          <cell r="C93" t="str">
            <v>GGY</v>
          </cell>
        </row>
        <row r="94">
          <cell r="A94" t="str">
            <v>Guinea</v>
          </cell>
          <cell r="B94" t="str">
            <v>GN</v>
          </cell>
          <cell r="C94" t="str">
            <v>GIN</v>
          </cell>
        </row>
        <row r="95">
          <cell r="A95" t="str">
            <v>Guinea-Bissau</v>
          </cell>
          <cell r="B95" t="str">
            <v>GW</v>
          </cell>
          <cell r="C95" t="str">
            <v>GNB</v>
          </cell>
        </row>
        <row r="96">
          <cell r="A96" t="str">
            <v>Guyana</v>
          </cell>
          <cell r="B96" t="str">
            <v>GY</v>
          </cell>
          <cell r="C96" t="str">
            <v>GUY</v>
          </cell>
        </row>
        <row r="97">
          <cell r="A97" t="str">
            <v>Haiti</v>
          </cell>
          <cell r="B97" t="str">
            <v>HT</v>
          </cell>
          <cell r="C97" t="str">
            <v>HTI</v>
          </cell>
        </row>
        <row r="98">
          <cell r="A98" t="str">
            <v>Heard Island and McDonald Islands</v>
          </cell>
          <cell r="B98" t="str">
            <v>HM</v>
          </cell>
          <cell r="C98" t="str">
            <v>HMD</v>
          </cell>
        </row>
        <row r="99">
          <cell r="A99" t="str">
            <v>Holy See (the)</v>
          </cell>
          <cell r="B99" t="str">
            <v>VA</v>
          </cell>
          <cell r="C99" t="str">
            <v>VAT</v>
          </cell>
        </row>
        <row r="100">
          <cell r="A100" t="str">
            <v>Honduras</v>
          </cell>
          <cell r="B100" t="str">
            <v>HN</v>
          </cell>
          <cell r="C100" t="str">
            <v>HND</v>
          </cell>
        </row>
        <row r="101">
          <cell r="A101" t="str">
            <v>Hong Kong</v>
          </cell>
          <cell r="B101" t="str">
            <v>HK</v>
          </cell>
          <cell r="C101" t="str">
            <v>HKG</v>
          </cell>
        </row>
        <row r="102">
          <cell r="A102" t="str">
            <v>Hungary</v>
          </cell>
          <cell r="B102" t="str">
            <v>HU</v>
          </cell>
          <cell r="C102" t="str">
            <v>HUN</v>
          </cell>
        </row>
        <row r="103">
          <cell r="A103" t="str">
            <v>Iceland</v>
          </cell>
          <cell r="B103" t="str">
            <v>IS</v>
          </cell>
          <cell r="C103" t="str">
            <v>ISL</v>
          </cell>
        </row>
        <row r="104">
          <cell r="A104" t="str">
            <v>India</v>
          </cell>
          <cell r="B104" t="str">
            <v>IN</v>
          </cell>
          <cell r="C104" t="str">
            <v>IND</v>
          </cell>
        </row>
        <row r="105">
          <cell r="A105" t="str">
            <v>Indonesia</v>
          </cell>
          <cell r="B105" t="str">
            <v>ID</v>
          </cell>
          <cell r="C105" t="str">
            <v>IDN</v>
          </cell>
        </row>
        <row r="106">
          <cell r="A106" t="str">
            <v>Iran</v>
          </cell>
          <cell r="B106" t="str">
            <v>IR</v>
          </cell>
          <cell r="C106" t="str">
            <v>IRN</v>
          </cell>
        </row>
        <row r="107">
          <cell r="A107" t="str">
            <v>Iraq</v>
          </cell>
          <cell r="B107" t="str">
            <v>IQ</v>
          </cell>
          <cell r="C107" t="str">
            <v>IRQ</v>
          </cell>
        </row>
        <row r="108">
          <cell r="A108" t="str">
            <v>Ireland</v>
          </cell>
          <cell r="B108" t="str">
            <v>IE</v>
          </cell>
          <cell r="C108" t="str">
            <v>IRL</v>
          </cell>
        </row>
        <row r="109">
          <cell r="A109" t="str">
            <v>Isle of Man</v>
          </cell>
          <cell r="B109" t="str">
            <v>IM</v>
          </cell>
          <cell r="C109" t="str">
            <v>IMN</v>
          </cell>
        </row>
        <row r="110">
          <cell r="A110" t="str">
            <v>Israel</v>
          </cell>
          <cell r="B110" t="str">
            <v>IL</v>
          </cell>
          <cell r="C110" t="str">
            <v>ISR</v>
          </cell>
        </row>
        <row r="111">
          <cell r="A111" t="str">
            <v>Italy</v>
          </cell>
          <cell r="B111" t="str">
            <v>IT</v>
          </cell>
          <cell r="C111" t="str">
            <v>ITA</v>
          </cell>
        </row>
        <row r="112">
          <cell r="A112" t="str">
            <v>Jamaica</v>
          </cell>
          <cell r="B112" t="str">
            <v>JM</v>
          </cell>
          <cell r="C112" t="str">
            <v>JAM</v>
          </cell>
        </row>
        <row r="113">
          <cell r="A113" t="str">
            <v>Japan</v>
          </cell>
          <cell r="B113" t="str">
            <v>JP</v>
          </cell>
          <cell r="C113" t="str">
            <v>JPN</v>
          </cell>
        </row>
        <row r="114">
          <cell r="A114" t="str">
            <v>Jersey</v>
          </cell>
          <cell r="B114" t="str">
            <v>JE</v>
          </cell>
          <cell r="C114" t="str">
            <v>JEY</v>
          </cell>
        </row>
        <row r="115">
          <cell r="A115" t="str">
            <v>Jordan</v>
          </cell>
          <cell r="B115" t="str">
            <v>JO</v>
          </cell>
          <cell r="C115" t="str">
            <v>JOR</v>
          </cell>
        </row>
        <row r="116">
          <cell r="A116" t="str">
            <v>Kazakhstan</v>
          </cell>
          <cell r="B116" t="str">
            <v>KZ</v>
          </cell>
          <cell r="C116" t="str">
            <v>KAZ</v>
          </cell>
        </row>
        <row r="117">
          <cell r="A117" t="str">
            <v>Kenya</v>
          </cell>
          <cell r="B117" t="str">
            <v>KE</v>
          </cell>
          <cell r="C117" t="str">
            <v>KEN</v>
          </cell>
        </row>
        <row r="118">
          <cell r="A118" t="str">
            <v>Kiribati</v>
          </cell>
          <cell r="B118" t="str">
            <v>KI</v>
          </cell>
          <cell r="C118" t="str">
            <v>KIR</v>
          </cell>
        </row>
        <row r="119">
          <cell r="A119" t="str">
            <v>Korea (the Democratic People's Republic of)</v>
          </cell>
          <cell r="B119" t="str">
            <v>KP</v>
          </cell>
          <cell r="C119" t="str">
            <v>PRK</v>
          </cell>
        </row>
        <row r="120">
          <cell r="A120" t="str">
            <v>South Korea</v>
          </cell>
          <cell r="B120" t="str">
            <v>KR</v>
          </cell>
          <cell r="C120" t="str">
            <v>KOR</v>
          </cell>
        </row>
        <row r="121">
          <cell r="A121" t="str">
            <v>Kuwait</v>
          </cell>
          <cell r="B121" t="str">
            <v>KW</v>
          </cell>
          <cell r="C121" t="str">
            <v>KWT</v>
          </cell>
        </row>
        <row r="122">
          <cell r="A122" t="str">
            <v>Kyrgyzstan</v>
          </cell>
          <cell r="B122" t="str">
            <v>KG</v>
          </cell>
          <cell r="C122" t="str">
            <v>KGZ</v>
          </cell>
        </row>
        <row r="123">
          <cell r="A123" t="str">
            <v>Lao People's Democratic Republic (the)</v>
          </cell>
          <cell r="B123" t="str">
            <v>LA</v>
          </cell>
          <cell r="C123" t="str">
            <v>LAO</v>
          </cell>
        </row>
        <row r="124">
          <cell r="A124" t="str">
            <v>Latvia</v>
          </cell>
          <cell r="B124" t="str">
            <v>LV</v>
          </cell>
          <cell r="C124" t="str">
            <v>LVA</v>
          </cell>
        </row>
        <row r="125">
          <cell r="A125" t="str">
            <v>Lebanon</v>
          </cell>
          <cell r="B125" t="str">
            <v>LB</v>
          </cell>
          <cell r="C125" t="str">
            <v>LBN</v>
          </cell>
        </row>
        <row r="126">
          <cell r="A126" t="str">
            <v>Lesotho</v>
          </cell>
          <cell r="B126" t="str">
            <v>LS</v>
          </cell>
          <cell r="C126" t="str">
            <v>LSO</v>
          </cell>
        </row>
        <row r="127">
          <cell r="A127" t="str">
            <v>Liberia</v>
          </cell>
          <cell r="B127" t="str">
            <v>LR</v>
          </cell>
          <cell r="C127" t="str">
            <v>LBR</v>
          </cell>
        </row>
        <row r="128">
          <cell r="A128" t="str">
            <v>Libya</v>
          </cell>
          <cell r="B128" t="str">
            <v>LY</v>
          </cell>
          <cell r="C128" t="str">
            <v>LBY</v>
          </cell>
        </row>
        <row r="129">
          <cell r="A129" t="str">
            <v>Liechtenstein</v>
          </cell>
          <cell r="B129" t="str">
            <v>LI</v>
          </cell>
          <cell r="C129" t="str">
            <v>LIE</v>
          </cell>
        </row>
        <row r="130">
          <cell r="A130" t="str">
            <v>Lithuania</v>
          </cell>
          <cell r="B130" t="str">
            <v>LT</v>
          </cell>
          <cell r="C130" t="str">
            <v>LTU</v>
          </cell>
        </row>
        <row r="131">
          <cell r="A131" t="str">
            <v>Luxembourg</v>
          </cell>
          <cell r="B131" t="str">
            <v>LU</v>
          </cell>
          <cell r="C131" t="str">
            <v>LUX</v>
          </cell>
        </row>
        <row r="132">
          <cell r="A132" t="str">
            <v>Macao</v>
          </cell>
          <cell r="B132" t="str">
            <v>MO</v>
          </cell>
          <cell r="C132" t="str">
            <v>MAC</v>
          </cell>
        </row>
        <row r="133">
          <cell r="A133" t="str">
            <v>Madagascar</v>
          </cell>
          <cell r="B133" t="str">
            <v>MG</v>
          </cell>
          <cell r="C133" t="str">
            <v>MDG</v>
          </cell>
        </row>
        <row r="134">
          <cell r="A134" t="str">
            <v>Malawi</v>
          </cell>
          <cell r="B134" t="str">
            <v>MW</v>
          </cell>
          <cell r="C134" t="str">
            <v>MWI</v>
          </cell>
        </row>
        <row r="135">
          <cell r="A135" t="str">
            <v>Malaysia</v>
          </cell>
          <cell r="B135" t="str">
            <v>MY</v>
          </cell>
          <cell r="C135" t="str">
            <v>MYS</v>
          </cell>
        </row>
        <row r="136">
          <cell r="A136" t="str">
            <v>Maldives</v>
          </cell>
          <cell r="B136" t="str">
            <v>MV</v>
          </cell>
          <cell r="C136" t="str">
            <v>MDV</v>
          </cell>
        </row>
        <row r="137">
          <cell r="A137" t="str">
            <v>Mali</v>
          </cell>
          <cell r="B137" t="str">
            <v>ML</v>
          </cell>
          <cell r="C137" t="str">
            <v>MLI</v>
          </cell>
        </row>
        <row r="138">
          <cell r="A138" t="str">
            <v>Malta</v>
          </cell>
          <cell r="B138" t="str">
            <v>MT</v>
          </cell>
          <cell r="C138" t="str">
            <v>MLT</v>
          </cell>
        </row>
        <row r="139">
          <cell r="A139" t="str">
            <v>Marshall Islands (the)</v>
          </cell>
          <cell r="B139" t="str">
            <v>MH</v>
          </cell>
          <cell r="C139" t="str">
            <v>MHL</v>
          </cell>
        </row>
        <row r="140">
          <cell r="A140" t="str">
            <v>Martinique</v>
          </cell>
          <cell r="B140" t="str">
            <v>MQ</v>
          </cell>
          <cell r="C140" t="str">
            <v>MTQ</v>
          </cell>
        </row>
        <row r="141">
          <cell r="A141" t="str">
            <v>Mauritania</v>
          </cell>
          <cell r="B141" t="str">
            <v>MR</v>
          </cell>
          <cell r="C141" t="str">
            <v>MRT</v>
          </cell>
        </row>
        <row r="142">
          <cell r="A142" t="str">
            <v>Mauritius</v>
          </cell>
          <cell r="B142" t="str">
            <v>MU</v>
          </cell>
          <cell r="C142" t="str">
            <v>MUS</v>
          </cell>
        </row>
        <row r="143">
          <cell r="A143" t="str">
            <v>Mayotte</v>
          </cell>
          <cell r="B143" t="str">
            <v>YT</v>
          </cell>
          <cell r="C143" t="str">
            <v>MYT</v>
          </cell>
        </row>
        <row r="144">
          <cell r="A144" t="str">
            <v>Mexico</v>
          </cell>
          <cell r="B144" t="str">
            <v>MX</v>
          </cell>
          <cell r="C144" t="str">
            <v>MEX</v>
          </cell>
        </row>
        <row r="145">
          <cell r="A145" t="str">
            <v>Micronesia</v>
          </cell>
          <cell r="B145" t="str">
            <v>FM</v>
          </cell>
          <cell r="C145" t="str">
            <v>FSM</v>
          </cell>
        </row>
        <row r="146">
          <cell r="A146" t="str">
            <v>Moldova (the Republic of)</v>
          </cell>
          <cell r="B146" t="str">
            <v>MD</v>
          </cell>
          <cell r="C146" t="str">
            <v>MDA</v>
          </cell>
        </row>
        <row r="147">
          <cell r="A147" t="str">
            <v>Monaco</v>
          </cell>
          <cell r="B147" t="str">
            <v>MC</v>
          </cell>
          <cell r="C147" t="str">
            <v>MCO</v>
          </cell>
        </row>
        <row r="148">
          <cell r="A148" t="str">
            <v>Mongolia</v>
          </cell>
          <cell r="B148" t="str">
            <v>MN</v>
          </cell>
          <cell r="C148" t="str">
            <v>MNG</v>
          </cell>
        </row>
        <row r="149">
          <cell r="A149" t="str">
            <v>Montenegro</v>
          </cell>
          <cell r="B149" t="str">
            <v>ME</v>
          </cell>
          <cell r="C149" t="str">
            <v>MNE</v>
          </cell>
        </row>
        <row r="150">
          <cell r="A150" t="str">
            <v>Montserrat</v>
          </cell>
          <cell r="B150" t="str">
            <v>MS</v>
          </cell>
          <cell r="C150" t="str">
            <v>MSR</v>
          </cell>
        </row>
        <row r="151">
          <cell r="A151" t="str">
            <v>Morocco</v>
          </cell>
          <cell r="B151" t="str">
            <v>MA</v>
          </cell>
          <cell r="C151" t="str">
            <v>MAR</v>
          </cell>
        </row>
        <row r="152">
          <cell r="A152" t="str">
            <v>Mozambique</v>
          </cell>
          <cell r="B152" t="str">
            <v>MZ</v>
          </cell>
          <cell r="C152" t="str">
            <v>MOZ</v>
          </cell>
        </row>
        <row r="153">
          <cell r="A153" t="str">
            <v>Myanmar</v>
          </cell>
          <cell r="B153" t="str">
            <v>MM</v>
          </cell>
          <cell r="C153" t="str">
            <v>MMR</v>
          </cell>
        </row>
        <row r="154">
          <cell r="A154" t="str">
            <v>Namibia</v>
          </cell>
          <cell r="B154" t="str">
            <v>NA</v>
          </cell>
          <cell r="C154" t="str">
            <v>NAM</v>
          </cell>
        </row>
        <row r="155">
          <cell r="A155" t="str">
            <v>Nauru</v>
          </cell>
          <cell r="B155" t="str">
            <v>NR</v>
          </cell>
          <cell r="C155" t="str">
            <v>NRU</v>
          </cell>
        </row>
        <row r="156">
          <cell r="A156" t="str">
            <v>Nepal</v>
          </cell>
          <cell r="B156" t="str">
            <v>NP</v>
          </cell>
          <cell r="C156" t="str">
            <v>NPL</v>
          </cell>
        </row>
        <row r="157">
          <cell r="A157" t="str">
            <v>Netherlands (the)</v>
          </cell>
          <cell r="B157" t="str">
            <v>NL</v>
          </cell>
          <cell r="C157" t="str">
            <v>NLD</v>
          </cell>
        </row>
        <row r="158">
          <cell r="A158" t="str">
            <v>New Caledonia</v>
          </cell>
          <cell r="B158" t="str">
            <v>NC</v>
          </cell>
          <cell r="C158" t="str">
            <v>NCL</v>
          </cell>
        </row>
        <row r="159">
          <cell r="A159" t="str">
            <v>New Zealand</v>
          </cell>
          <cell r="B159" t="str">
            <v>NZ</v>
          </cell>
          <cell r="C159" t="str">
            <v>NZL</v>
          </cell>
        </row>
        <row r="160">
          <cell r="A160" t="str">
            <v>Nicaragua</v>
          </cell>
          <cell r="B160" t="str">
            <v>NI</v>
          </cell>
          <cell r="C160" t="str">
            <v>NIC</v>
          </cell>
        </row>
        <row r="161">
          <cell r="A161" t="str">
            <v>Niger (the)</v>
          </cell>
          <cell r="B161" t="str">
            <v>NE</v>
          </cell>
          <cell r="C161" t="str">
            <v>NER</v>
          </cell>
        </row>
        <row r="162">
          <cell r="A162" t="str">
            <v>Nigeria</v>
          </cell>
          <cell r="B162" t="str">
            <v>NG</v>
          </cell>
          <cell r="C162" t="str">
            <v>NGA</v>
          </cell>
        </row>
        <row r="163">
          <cell r="A163" t="str">
            <v>Niue</v>
          </cell>
          <cell r="B163" t="str">
            <v>NU</v>
          </cell>
          <cell r="C163" t="str">
            <v>NIU</v>
          </cell>
        </row>
        <row r="164">
          <cell r="A164" t="str">
            <v>Norfolk Island</v>
          </cell>
          <cell r="B164" t="str">
            <v>NF</v>
          </cell>
          <cell r="C164" t="str">
            <v>NFK</v>
          </cell>
        </row>
        <row r="165">
          <cell r="A165" t="str">
            <v>Northern Mariana Islands (the)</v>
          </cell>
          <cell r="B165" t="str">
            <v>MP</v>
          </cell>
          <cell r="C165" t="str">
            <v>MNP</v>
          </cell>
        </row>
        <row r="166">
          <cell r="A166" t="str">
            <v>Norway</v>
          </cell>
          <cell r="B166" t="str">
            <v>NO</v>
          </cell>
          <cell r="C166" t="str">
            <v>NOR</v>
          </cell>
        </row>
        <row r="167">
          <cell r="A167" t="str">
            <v>Oman</v>
          </cell>
          <cell r="B167" t="str">
            <v>OM</v>
          </cell>
          <cell r="C167" t="str">
            <v>OMN</v>
          </cell>
        </row>
        <row r="168">
          <cell r="A168" t="str">
            <v>Pakistan</v>
          </cell>
          <cell r="B168" t="str">
            <v>PK</v>
          </cell>
          <cell r="C168" t="str">
            <v>PAK</v>
          </cell>
        </row>
        <row r="169">
          <cell r="A169" t="str">
            <v>Palau</v>
          </cell>
          <cell r="B169" t="str">
            <v>PW</v>
          </cell>
          <cell r="C169" t="str">
            <v>PLW</v>
          </cell>
        </row>
        <row r="170">
          <cell r="A170" t="str">
            <v>Palestinian Authority</v>
          </cell>
          <cell r="B170" t="str">
            <v>PS</v>
          </cell>
          <cell r="C170" t="str">
            <v>PSE</v>
          </cell>
        </row>
        <row r="171">
          <cell r="A171" t="str">
            <v>Panama</v>
          </cell>
          <cell r="B171" t="str">
            <v>PA</v>
          </cell>
          <cell r="C171" t="str">
            <v>PAN</v>
          </cell>
        </row>
        <row r="172">
          <cell r="A172" t="str">
            <v>Papua New Guinea</v>
          </cell>
          <cell r="B172" t="str">
            <v>PG</v>
          </cell>
          <cell r="C172" t="str">
            <v>PNG</v>
          </cell>
        </row>
        <row r="173">
          <cell r="A173" t="str">
            <v>Paraguay</v>
          </cell>
          <cell r="B173" t="str">
            <v>PY</v>
          </cell>
          <cell r="C173" t="str">
            <v>PRY</v>
          </cell>
        </row>
        <row r="174">
          <cell r="A174" t="str">
            <v>Peru</v>
          </cell>
          <cell r="B174" t="str">
            <v>PE</v>
          </cell>
          <cell r="C174" t="str">
            <v>PER</v>
          </cell>
        </row>
        <row r="175">
          <cell r="A175" t="str">
            <v>Philippines (the)</v>
          </cell>
          <cell r="B175" t="str">
            <v>PH</v>
          </cell>
          <cell r="C175" t="str">
            <v>PHL</v>
          </cell>
        </row>
        <row r="176">
          <cell r="A176" t="str">
            <v>Pitcairn</v>
          </cell>
          <cell r="B176" t="str">
            <v>PN</v>
          </cell>
          <cell r="C176" t="str">
            <v>PCN</v>
          </cell>
        </row>
        <row r="177">
          <cell r="A177" t="str">
            <v>Poland</v>
          </cell>
          <cell r="B177" t="str">
            <v>PL</v>
          </cell>
          <cell r="C177" t="str">
            <v>POL</v>
          </cell>
        </row>
        <row r="178">
          <cell r="A178" t="str">
            <v>Portugal</v>
          </cell>
          <cell r="B178" t="str">
            <v>PT</v>
          </cell>
          <cell r="C178" t="str">
            <v>PRT</v>
          </cell>
        </row>
        <row r="179">
          <cell r="A179" t="str">
            <v>Puerto Rico</v>
          </cell>
          <cell r="B179" t="str">
            <v>PR</v>
          </cell>
          <cell r="C179" t="str">
            <v>PRI</v>
          </cell>
        </row>
        <row r="180">
          <cell r="A180" t="str">
            <v>Qatar</v>
          </cell>
          <cell r="B180" t="str">
            <v>QA</v>
          </cell>
          <cell r="C180" t="str">
            <v>QAT</v>
          </cell>
        </row>
        <row r="181">
          <cell r="A181" t="str">
            <v>Republic of North Macedonia</v>
          </cell>
          <cell r="B181" t="str">
            <v>MK</v>
          </cell>
          <cell r="C181" t="str">
            <v>MKD</v>
          </cell>
        </row>
        <row r="182">
          <cell r="A182" t="str">
            <v>Romania</v>
          </cell>
          <cell r="B182" t="str">
            <v>RO</v>
          </cell>
          <cell r="C182" t="str">
            <v>ROU</v>
          </cell>
        </row>
        <row r="183">
          <cell r="A183" t="str">
            <v>Russian Federation</v>
          </cell>
          <cell r="B183" t="str">
            <v>RU</v>
          </cell>
          <cell r="C183" t="str">
            <v>RUS</v>
          </cell>
        </row>
        <row r="184">
          <cell r="A184" t="str">
            <v>Rwanda</v>
          </cell>
          <cell r="B184" t="str">
            <v>RW</v>
          </cell>
          <cell r="C184" t="str">
            <v>RWA</v>
          </cell>
        </row>
        <row r="185">
          <cell r="A185" t="str">
            <v>Réunion</v>
          </cell>
          <cell r="B185" t="str">
            <v>RE</v>
          </cell>
          <cell r="C185" t="str">
            <v>REU</v>
          </cell>
        </row>
        <row r="186">
          <cell r="A186" t="str">
            <v>Saint Barthélemy</v>
          </cell>
          <cell r="B186" t="str">
            <v>BL</v>
          </cell>
          <cell r="C186" t="str">
            <v>BLM</v>
          </cell>
        </row>
        <row r="187">
          <cell r="A187" t="str">
            <v>Saint Helena, Ascension and Tristan da Cunha</v>
          </cell>
          <cell r="B187" t="str">
            <v>SH</v>
          </cell>
          <cell r="C187" t="str">
            <v>SHN</v>
          </cell>
        </row>
        <row r="188">
          <cell r="A188" t="str">
            <v>Saint Kitts and Nevis</v>
          </cell>
          <cell r="B188" t="str">
            <v>KN</v>
          </cell>
          <cell r="C188" t="str">
            <v>KNA</v>
          </cell>
        </row>
        <row r="189">
          <cell r="A189" t="str">
            <v>Saint Lucia</v>
          </cell>
          <cell r="B189" t="str">
            <v>LC</v>
          </cell>
          <cell r="C189" t="str">
            <v>LCA</v>
          </cell>
        </row>
        <row r="190">
          <cell r="A190" t="str">
            <v>Saint Martin (French part)</v>
          </cell>
          <cell r="B190" t="str">
            <v>MF</v>
          </cell>
          <cell r="C190" t="str">
            <v>MAF</v>
          </cell>
        </row>
        <row r="191">
          <cell r="A191" t="str">
            <v>Saint Pierre and Miquelon</v>
          </cell>
          <cell r="B191" t="str">
            <v>PM</v>
          </cell>
          <cell r="C191" t="str">
            <v>SPM</v>
          </cell>
        </row>
        <row r="192">
          <cell r="A192" t="str">
            <v>Saint Vincent and the Grenadines</v>
          </cell>
          <cell r="B192" t="str">
            <v>VC</v>
          </cell>
          <cell r="C192" t="str">
            <v>VCT</v>
          </cell>
        </row>
        <row r="193">
          <cell r="A193" t="str">
            <v>Samoa</v>
          </cell>
          <cell r="B193" t="str">
            <v>WS</v>
          </cell>
          <cell r="C193" t="str">
            <v>WSM</v>
          </cell>
        </row>
        <row r="194">
          <cell r="A194" t="str">
            <v>San Marino</v>
          </cell>
          <cell r="B194" t="str">
            <v>SM</v>
          </cell>
          <cell r="C194" t="str">
            <v>SMR</v>
          </cell>
        </row>
        <row r="195">
          <cell r="A195" t="str">
            <v>Sao Tome and Principe</v>
          </cell>
          <cell r="B195" t="str">
            <v>ST</v>
          </cell>
          <cell r="C195" t="str">
            <v>STP</v>
          </cell>
        </row>
        <row r="196">
          <cell r="A196" t="str">
            <v>Saudi Arabia</v>
          </cell>
          <cell r="B196" t="str">
            <v>SA</v>
          </cell>
          <cell r="C196" t="str">
            <v>SAU</v>
          </cell>
        </row>
        <row r="197">
          <cell r="A197" t="str">
            <v>Senegal</v>
          </cell>
          <cell r="B197" t="str">
            <v>SN</v>
          </cell>
          <cell r="C197" t="str">
            <v>SEN</v>
          </cell>
        </row>
        <row r="198">
          <cell r="A198" t="str">
            <v>Serbia</v>
          </cell>
          <cell r="B198" t="str">
            <v>RS</v>
          </cell>
          <cell r="C198" t="str">
            <v>SRB</v>
          </cell>
        </row>
        <row r="199">
          <cell r="A199" t="str">
            <v>Seychelles</v>
          </cell>
          <cell r="B199" t="str">
            <v>SC</v>
          </cell>
          <cell r="C199" t="str">
            <v>SYC</v>
          </cell>
        </row>
        <row r="200">
          <cell r="A200" t="str">
            <v>Sierra Leone</v>
          </cell>
          <cell r="B200" t="str">
            <v>SL</v>
          </cell>
          <cell r="C200" t="str">
            <v>SLE</v>
          </cell>
        </row>
        <row r="201">
          <cell r="A201" t="str">
            <v>Singapore</v>
          </cell>
          <cell r="B201" t="str">
            <v>SG</v>
          </cell>
          <cell r="C201" t="str">
            <v>SGP</v>
          </cell>
        </row>
        <row r="202">
          <cell r="A202" t="str">
            <v>Sint Maarten (Dutch part)</v>
          </cell>
          <cell r="B202" t="str">
            <v>SX</v>
          </cell>
          <cell r="C202" t="str">
            <v>SXM</v>
          </cell>
        </row>
        <row r="203">
          <cell r="A203" t="str">
            <v>Slovakia</v>
          </cell>
          <cell r="B203" t="str">
            <v>SK</v>
          </cell>
          <cell r="C203" t="str">
            <v>SVK</v>
          </cell>
        </row>
        <row r="204">
          <cell r="A204" t="str">
            <v>Slovenia</v>
          </cell>
          <cell r="B204" t="str">
            <v>SI</v>
          </cell>
          <cell r="C204" t="str">
            <v>SVN</v>
          </cell>
        </row>
        <row r="205">
          <cell r="A205" t="str">
            <v>Solomon Islands</v>
          </cell>
          <cell r="B205" t="str">
            <v>SB</v>
          </cell>
          <cell r="C205" t="str">
            <v>SLB</v>
          </cell>
        </row>
        <row r="206">
          <cell r="A206" t="str">
            <v>Somalia</v>
          </cell>
          <cell r="B206" t="str">
            <v>SO</v>
          </cell>
          <cell r="C206" t="str">
            <v>SOM</v>
          </cell>
        </row>
        <row r="207">
          <cell r="A207" t="str">
            <v>South Africa</v>
          </cell>
          <cell r="B207" t="str">
            <v>ZA</v>
          </cell>
          <cell r="C207" t="str">
            <v>ZAF</v>
          </cell>
        </row>
        <row r="208">
          <cell r="A208" t="str">
            <v>South Georgia and the South Sandwich Islands</v>
          </cell>
          <cell r="B208" t="str">
            <v>GS</v>
          </cell>
          <cell r="C208" t="str">
            <v>SGS</v>
          </cell>
        </row>
        <row r="209">
          <cell r="A209" t="str">
            <v>South Sudan</v>
          </cell>
          <cell r="B209" t="str">
            <v>SS</v>
          </cell>
          <cell r="C209" t="str">
            <v>SSD</v>
          </cell>
        </row>
        <row r="210">
          <cell r="A210" t="str">
            <v>Spain</v>
          </cell>
          <cell r="B210" t="str">
            <v>ES</v>
          </cell>
          <cell r="C210" t="str">
            <v>ESP</v>
          </cell>
        </row>
        <row r="211">
          <cell r="A211" t="str">
            <v>Sri Lanka</v>
          </cell>
          <cell r="B211" t="str">
            <v>LK</v>
          </cell>
          <cell r="C211" t="str">
            <v>LKA</v>
          </cell>
        </row>
        <row r="212">
          <cell r="A212" t="str">
            <v>Sudan (the)</v>
          </cell>
          <cell r="B212" t="str">
            <v>SD</v>
          </cell>
          <cell r="C212" t="str">
            <v>SDN</v>
          </cell>
        </row>
        <row r="213">
          <cell r="A213" t="str">
            <v>Suriname</v>
          </cell>
          <cell r="B213" t="str">
            <v>SR</v>
          </cell>
          <cell r="C213" t="str">
            <v>SUR</v>
          </cell>
        </row>
        <row r="214">
          <cell r="A214" t="str">
            <v>Svalbard and Jan Mayen</v>
          </cell>
          <cell r="B214" t="str">
            <v>SJ</v>
          </cell>
          <cell r="C214" t="str">
            <v>SJM</v>
          </cell>
        </row>
        <row r="215">
          <cell r="A215" t="str">
            <v>Sweden</v>
          </cell>
          <cell r="B215" t="str">
            <v>SE</v>
          </cell>
          <cell r="C215" t="str">
            <v>SWE</v>
          </cell>
        </row>
        <row r="216">
          <cell r="A216" t="str">
            <v>Switzerland</v>
          </cell>
          <cell r="B216" t="str">
            <v>CH</v>
          </cell>
          <cell r="C216" t="str">
            <v>CHE</v>
          </cell>
        </row>
        <row r="217">
          <cell r="A217" t="str">
            <v>Syrian Arab Republic</v>
          </cell>
          <cell r="B217" t="str">
            <v>SY</v>
          </cell>
          <cell r="C217" t="str">
            <v>SYR</v>
          </cell>
        </row>
        <row r="218">
          <cell r="A218" t="str">
            <v>Taiwan (Province of China)</v>
          </cell>
          <cell r="B218" t="str">
            <v>TW</v>
          </cell>
          <cell r="C218" t="str">
            <v>TWN</v>
          </cell>
        </row>
        <row r="219">
          <cell r="A219" t="str">
            <v>Tajikistan</v>
          </cell>
          <cell r="B219" t="str">
            <v>TJ</v>
          </cell>
          <cell r="C219" t="str">
            <v>TJK</v>
          </cell>
        </row>
        <row r="220">
          <cell r="A220" t="str">
            <v>Tanzania, United Republic of</v>
          </cell>
          <cell r="B220" t="str">
            <v>TZ</v>
          </cell>
          <cell r="C220" t="str">
            <v>TZA</v>
          </cell>
        </row>
        <row r="221">
          <cell r="A221" t="str">
            <v>Thailand</v>
          </cell>
          <cell r="B221" t="str">
            <v>TH</v>
          </cell>
          <cell r="C221" t="str">
            <v>THA</v>
          </cell>
        </row>
        <row r="222">
          <cell r="A222" t="str">
            <v>Timor-Leste</v>
          </cell>
          <cell r="B222" t="str">
            <v>TL</v>
          </cell>
          <cell r="C222" t="str">
            <v>TLS</v>
          </cell>
        </row>
        <row r="223">
          <cell r="A223" t="str">
            <v>Togo</v>
          </cell>
          <cell r="B223" t="str">
            <v>TG</v>
          </cell>
          <cell r="C223" t="str">
            <v>TGO</v>
          </cell>
        </row>
        <row r="224">
          <cell r="A224" t="str">
            <v>Tokelau</v>
          </cell>
          <cell r="B224" t="str">
            <v>TK</v>
          </cell>
          <cell r="C224" t="str">
            <v>TKL</v>
          </cell>
        </row>
        <row r="225">
          <cell r="A225" t="str">
            <v>Tonga</v>
          </cell>
          <cell r="B225" t="str">
            <v>TO</v>
          </cell>
          <cell r="C225" t="str">
            <v>TON</v>
          </cell>
        </row>
        <row r="226">
          <cell r="A226" t="str">
            <v>Trinidad and Tobago</v>
          </cell>
          <cell r="B226" t="str">
            <v>TT</v>
          </cell>
          <cell r="C226" t="str">
            <v>TTO</v>
          </cell>
        </row>
        <row r="227">
          <cell r="A227" t="str">
            <v>Tunisia</v>
          </cell>
          <cell r="B227" t="str">
            <v>TN</v>
          </cell>
          <cell r="C227" t="str">
            <v>TUN</v>
          </cell>
        </row>
        <row r="228">
          <cell r="A228" t="str">
            <v>Turkey</v>
          </cell>
          <cell r="B228" t="str">
            <v>TR</v>
          </cell>
          <cell r="C228" t="str">
            <v>TUR</v>
          </cell>
        </row>
        <row r="229">
          <cell r="A229" t="str">
            <v>Turkmenistan</v>
          </cell>
          <cell r="B229" t="str">
            <v>TM</v>
          </cell>
          <cell r="C229" t="str">
            <v>TKM</v>
          </cell>
        </row>
        <row r="230">
          <cell r="A230" t="str">
            <v>Turks and Caicos Islands (the)</v>
          </cell>
          <cell r="B230" t="str">
            <v>TC</v>
          </cell>
          <cell r="C230" t="str">
            <v>TCA</v>
          </cell>
        </row>
        <row r="231">
          <cell r="A231" t="str">
            <v>Tuvalu</v>
          </cell>
          <cell r="B231" t="str">
            <v>TV</v>
          </cell>
          <cell r="C231" t="str">
            <v>TUV</v>
          </cell>
        </row>
        <row r="232">
          <cell r="A232" t="str">
            <v>Uganda</v>
          </cell>
          <cell r="B232" t="str">
            <v>UG</v>
          </cell>
          <cell r="C232" t="str">
            <v>UGA</v>
          </cell>
        </row>
        <row r="233">
          <cell r="A233" t="str">
            <v>Ukraine</v>
          </cell>
          <cell r="B233" t="str">
            <v>UA</v>
          </cell>
          <cell r="C233" t="str">
            <v>UKR</v>
          </cell>
        </row>
        <row r="234">
          <cell r="A234" t="str">
            <v>UAE</v>
          </cell>
          <cell r="B234" t="str">
            <v>AE</v>
          </cell>
          <cell r="C234" t="str">
            <v>ARE</v>
          </cell>
        </row>
        <row r="235">
          <cell r="A235" t="str">
            <v>United Kingdom of Great Britain and Northern Ireland (the)</v>
          </cell>
          <cell r="B235" t="str">
            <v>GB</v>
          </cell>
          <cell r="C235" t="str">
            <v>GBR</v>
          </cell>
        </row>
        <row r="236">
          <cell r="A236" t="str">
            <v>United States Minor Outlying Islands (the)</v>
          </cell>
          <cell r="B236" t="str">
            <v>UM</v>
          </cell>
          <cell r="C236" t="str">
            <v>UMI</v>
          </cell>
        </row>
        <row r="237">
          <cell r="A237" t="str">
            <v>USA</v>
          </cell>
          <cell r="B237" t="str">
            <v>US</v>
          </cell>
          <cell r="C237" t="str">
            <v>USA</v>
          </cell>
        </row>
        <row r="238">
          <cell r="A238" t="str">
            <v>Uruguay</v>
          </cell>
          <cell r="B238" t="str">
            <v>UY</v>
          </cell>
          <cell r="C238" t="str">
            <v>URY</v>
          </cell>
        </row>
        <row r="239">
          <cell r="A239" t="str">
            <v>Uzbekistan</v>
          </cell>
          <cell r="B239" t="str">
            <v>UZ</v>
          </cell>
          <cell r="C239" t="str">
            <v>UZB</v>
          </cell>
        </row>
        <row r="240">
          <cell r="A240" t="str">
            <v>Vanuatu</v>
          </cell>
          <cell r="B240" t="str">
            <v>VU</v>
          </cell>
          <cell r="C240" t="str">
            <v>VUT</v>
          </cell>
        </row>
        <row r="241">
          <cell r="A241" t="str">
            <v>Venezuela (Bolivarian Republic of)</v>
          </cell>
          <cell r="B241" t="str">
            <v>VE</v>
          </cell>
          <cell r="C241" t="str">
            <v>VEN</v>
          </cell>
        </row>
        <row r="242">
          <cell r="A242" t="str">
            <v>Vietnam</v>
          </cell>
          <cell r="B242" t="str">
            <v>VN</v>
          </cell>
          <cell r="C242" t="str">
            <v>VNM</v>
          </cell>
        </row>
        <row r="243">
          <cell r="A243" t="str">
            <v>Virgin Islands (British)</v>
          </cell>
          <cell r="B243" t="str">
            <v>VG</v>
          </cell>
          <cell r="C243" t="str">
            <v>VGB</v>
          </cell>
        </row>
        <row r="244">
          <cell r="A244" t="str">
            <v>Virgin Islands (U.S.)</v>
          </cell>
          <cell r="B244" t="str">
            <v>VI</v>
          </cell>
          <cell r="C244" t="str">
            <v>VIR</v>
          </cell>
        </row>
        <row r="245">
          <cell r="A245" t="str">
            <v>Wallis and Futuna</v>
          </cell>
          <cell r="B245" t="str">
            <v>WF</v>
          </cell>
          <cell r="C245" t="str">
            <v>WLF</v>
          </cell>
        </row>
        <row r="246">
          <cell r="A246" t="str">
            <v>Western Sahara</v>
          </cell>
          <cell r="B246" t="str">
            <v>EH</v>
          </cell>
          <cell r="C246" t="str">
            <v>ESH</v>
          </cell>
        </row>
        <row r="247">
          <cell r="A247" t="str">
            <v>Yemen</v>
          </cell>
          <cell r="B247" t="str">
            <v>YE</v>
          </cell>
          <cell r="C247" t="str">
            <v>YEM</v>
          </cell>
        </row>
        <row r="248">
          <cell r="A248" t="str">
            <v>Zambia</v>
          </cell>
          <cell r="B248" t="str">
            <v>ZM</v>
          </cell>
          <cell r="C248" t="str">
            <v>ZMB</v>
          </cell>
        </row>
        <row r="249">
          <cell r="A249" t="str">
            <v>Zimbabwe</v>
          </cell>
          <cell r="B249" t="str">
            <v>ZW</v>
          </cell>
          <cell r="C249" t="str">
            <v>ZWE</v>
          </cell>
        </row>
        <row r="250">
          <cell r="A250" t="str">
            <v>Åland Islands</v>
          </cell>
          <cell r="B250" t="str">
            <v>AX</v>
          </cell>
          <cell r="C250" t="str">
            <v>ALA</v>
          </cell>
        </row>
        <row r="251">
          <cell r="A251" t="str">
            <v>Kosovo</v>
          </cell>
          <cell r="B251" t="str">
            <v>XK</v>
          </cell>
          <cell r="C251" t="str">
            <v>XXK</v>
          </cell>
        </row>
      </sheetData>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hyperlink" Target="https://www.funcionpublica.gov.co/eva/gestornormativo/norma.php?i=80357" TargetMode="External"/><Relationship Id="rId21" Type="http://schemas.openxmlformats.org/officeDocument/2006/relationships/hyperlink" Target="https://hacienda.cl/english/work-areas/international-finance/sovereign-wealth-funds/economic-and-social-stabilization-fund" TargetMode="External"/><Relationship Id="rId42" Type="http://schemas.openxmlformats.org/officeDocument/2006/relationships/hyperlink" Target="https://www.mofep.gov.gh/sites/default/files/reports/economic/GIIF%20Investment%20Policy%20Statement_April62017.pdf" TargetMode="External"/><Relationship Id="rId47" Type="http://schemas.openxmlformats.org/officeDocument/2006/relationships/hyperlink" Target="https://www.ina.go.id/" TargetMode="External"/><Relationship Id="rId63" Type="http://schemas.openxmlformats.org/officeDocument/2006/relationships/hyperlink" Target="https://lia.ly/en/about-us/our-vision/" TargetMode="External"/><Relationship Id="rId68" Type="http://schemas.openxmlformats.org/officeDocument/2006/relationships/hyperlink" Target="https://www.tresor.mr/fr/afficher.php?tb=paSo&amp;id=ZGJs" TargetMode="External"/><Relationship Id="rId84" Type="http://schemas.openxmlformats.org/officeDocument/2006/relationships/hyperlink" Target="https://www.oia.gov.om/Index.php?r=en%2Fsite%2Fabout&amp;csrt=17991566385299316826" TargetMode="External"/><Relationship Id="rId89" Type="http://schemas.openxmlformats.org/officeDocument/2006/relationships/hyperlink" Target="https://pfr.pl/en/" TargetMode="External"/><Relationship Id="rId112" Type="http://schemas.openxmlformats.org/officeDocument/2006/relationships/hyperlink" Target="https://parliamentwatch.ug/wp-content/uploads/2022/07/Petroleum-Fund-Semi-Annual-Report-on-Inflows-Outflows-and-Assets-of-the-Fund-for-the-Period-ended-31st-December-2021.pdf" TargetMode="External"/><Relationship Id="rId16" Type="http://schemas.openxmlformats.org/officeDocument/2006/relationships/hyperlink" Target="https://www.investopedia.com/terms/r/revenue-regulation-fund.asp" TargetMode="External"/><Relationship Id="rId107" Type="http://schemas.openxmlformats.org/officeDocument/2006/relationships/hyperlink" Target="https://pitchbook.com/profiles/limited-partner/52324-03" TargetMode="External"/><Relationship Id="rId11" Type="http://schemas.openxmlformats.org/officeDocument/2006/relationships/hyperlink" Target="https://www.sfpim.be/" TargetMode="External"/><Relationship Id="rId32" Type="http://schemas.openxmlformats.org/officeDocument/2006/relationships/hyperlink" Target="https://tesi.fi/en/" TargetMode="External"/><Relationship Id="rId37" Type="http://schemas.openxmlformats.org/officeDocument/2006/relationships/hyperlink" Target="http://caistab.ga/a-propos-de/" TargetMode="External"/><Relationship Id="rId53" Type="http://schemas.openxmlformats.org/officeDocument/2006/relationships/hyperlink" Target="https://www.gov.il/BlobFolder/news/press_04042023/en/israel-citizens-foundation_israel-citizens-foundation-annual-report-2022-eng.pdf" TargetMode="External"/><Relationship Id="rId58" Type="http://schemas.openxmlformats.org/officeDocument/2006/relationships/hyperlink" Target="https://sk.kz/about-fund/?lang=en" TargetMode="External"/><Relationship Id="rId74" Type="http://schemas.openxmlformats.org/officeDocument/2006/relationships/hyperlink" Target="https://www.mme.gov.na/mdf/aboutus/" TargetMode="External"/><Relationship Id="rId79" Type="http://schemas.openxmlformats.org/officeDocument/2006/relationships/hyperlink" Target="https://nzsuperfund.nz/about-the-guardians/" TargetMode="External"/><Relationship Id="rId102" Type="http://schemas.openxmlformats.org/officeDocument/2006/relationships/hyperlink" Target="https://www.ndc.gov.tw/en/Content_List.aspx?n=9F0C4DE5BC5FFEFD" TargetMode="External"/><Relationship Id="rId123" Type="http://schemas.openxmlformats.org/officeDocument/2006/relationships/hyperlink" Target="https://fsmcfatf.com/" TargetMode="External"/><Relationship Id="rId128" Type="http://schemas.openxmlformats.org/officeDocument/2006/relationships/hyperlink" Target="https://icd.gov.ae/group-performance/" TargetMode="External"/><Relationship Id="rId5" Type="http://schemas.openxmlformats.org/officeDocument/2006/relationships/hyperlink" Target="https://oebag.gv.at/en/" TargetMode="External"/><Relationship Id="rId90" Type="http://schemas.openxmlformats.org/officeDocument/2006/relationships/hyperlink" Target="https://www.qia.qa/en/About/Pages/default.aspx" TargetMode="External"/><Relationship Id="rId95" Type="http://schemas.openxmlformats.org/officeDocument/2006/relationships/hyperlink" Target="https://www.fonsis.org/fr" TargetMode="External"/><Relationship Id="rId22" Type="http://schemas.openxmlformats.org/officeDocument/2006/relationships/hyperlink" Target="http://www.china-inv.cn/en/" TargetMode="External"/><Relationship Id="rId27" Type="http://schemas.openxmlformats.org/officeDocument/2006/relationships/hyperlink" Target="https://www.ifswf.org/members/national-investment-fund" TargetMode="External"/><Relationship Id="rId43" Type="http://schemas.openxmlformats.org/officeDocument/2006/relationships/hyperlink" Target="https://www.hcap.gr/en/company/" TargetMode="External"/><Relationship Id="rId48" Type="http://schemas.openxmlformats.org/officeDocument/2006/relationships/hyperlink" Target="https://en.ndf.ir/" TargetMode="External"/><Relationship Id="rId64" Type="http://schemas.openxmlformats.org/officeDocument/2006/relationships/hyperlink" Target="https://mfin.gouvernement.lu/fr/le-ministere/fonds-souverain-intergenerationnel-luxembourg.html" TargetMode="External"/><Relationship Id="rId69" Type="http://schemas.openxmlformats.org/officeDocument/2006/relationships/hyperlink" Target="https://globalswf.com/fund/FRC" TargetMode="External"/><Relationship Id="rId113" Type="http://schemas.openxmlformats.org/officeDocument/2006/relationships/hyperlink" Target="https://www.finance.go.ug/sites/default/files/Publications/ANNUAL%20AUDITED%20FINANCIAL%20STATEMENTS%20OF%20THE%20PETROLEUM%20FUND%20FOR%20THE%20YEAR%20ENDED%2030%20JUNE%202020.pdf" TargetMode="External"/><Relationship Id="rId118" Type="http://schemas.openxmlformats.org/officeDocument/2006/relationships/hyperlink" Target="https://www.bpifrance.com/our-mission/" TargetMode="External"/><Relationship Id="rId80" Type="http://schemas.openxmlformats.org/officeDocument/2006/relationships/hyperlink" Target="https://nsia.com.ng/about-us" TargetMode="External"/><Relationship Id="rId85" Type="http://schemas.openxmlformats.org/officeDocument/2006/relationships/hyperlink" Target="https://www.pif.ps/at-a-glance/" TargetMode="External"/><Relationship Id="rId12" Type="http://schemas.openxmlformats.org/officeDocument/2006/relationships/hyperlink" Target="https://thebhutanese.bt/bhutan-economic-stabilization-fund-stands-at-nu-167-mn/" TargetMode="External"/><Relationship Id="rId17" Type="http://schemas.openxmlformats.org/officeDocument/2006/relationships/hyperlink" Target="https://www.gov.br/tesouronacional/en/fundo-soberano-do-brasil-fsb" TargetMode="External"/><Relationship Id="rId33" Type="http://schemas.openxmlformats.org/officeDocument/2006/relationships/hyperlink" Target="https://www.solidium.fi/en/" TargetMode="External"/><Relationship Id="rId38" Type="http://schemas.openxmlformats.org/officeDocument/2006/relationships/hyperlink" Target="https://www.kenfo.de/en/start" TargetMode="External"/><Relationship Id="rId59" Type="http://schemas.openxmlformats.org/officeDocument/2006/relationships/hyperlink" Target="https://www.imf.org/en/Publications/CR/Issues/2016/12/31/Kiribati-2011-Article-IV-Consultation-Staff-Report-Informational-Annexes-Debt-Sustainability-24871" TargetMode="External"/><Relationship Id="rId103" Type="http://schemas.openxmlformats.org/officeDocument/2006/relationships/hyperlink" Target="https://www.mof.gov.tw/Eng/singlehtml/6725?cntId=f04ab8ed7f6a467e9a39efc1b43b3a98" TargetMode="External"/><Relationship Id="rId108" Type="http://schemas.openxmlformats.org/officeDocument/2006/relationships/hyperlink" Target="https://www.state.gov/reports/2021-fiscal-transparency-report/turkmenistan/" TargetMode="External"/><Relationship Id="rId124" Type="http://schemas.openxmlformats.org/officeDocument/2006/relationships/hyperlink" Target="https://www.gov.br/tesouronacional/pt-br/ativos-da-uniao/fundos-governamentais/fundo-soberano-do-brasil-fsb/sobre" TargetMode="External"/><Relationship Id="rId129" Type="http://schemas.openxmlformats.org/officeDocument/2006/relationships/hyperlink" Target="https://www.fujairahholding.ae/home" TargetMode="External"/><Relationship Id="rId54" Type="http://schemas.openxmlformats.org/officeDocument/2006/relationships/hyperlink" Target="https://www.j-ic.co.jp/en/about/" TargetMode="External"/><Relationship Id="rId70" Type="http://schemas.openxmlformats.org/officeDocument/2006/relationships/hyperlink" Target="http://www.eri.mn/research/finished/499-02awmf99" TargetMode="External"/><Relationship Id="rId75" Type="http://schemas.openxmlformats.org/officeDocument/2006/relationships/hyperlink" Target="https://www.lac.org.na/laws/annoSTAT/Minerals%20Development%20Fund%20of%20Namibia%20Act%2019%20of%201996.pdf" TargetMode="External"/><Relationship Id="rId91" Type="http://schemas.openxmlformats.org/officeDocument/2006/relationships/hyperlink" Target="https://archive.minfin.gov.ru/en/key/nationalwealthfund/" TargetMode="External"/><Relationship Id="rId96" Type="http://schemas.openxmlformats.org/officeDocument/2006/relationships/hyperlink" Target="https://www.gic.com.sg/who-we-are/" TargetMode="External"/><Relationship Id="rId1" Type="http://schemas.openxmlformats.org/officeDocument/2006/relationships/hyperlink" Target="https://fundosoberano.ao/en/about-fsdea/overview" TargetMode="External"/><Relationship Id="rId6" Type="http://schemas.openxmlformats.org/officeDocument/2006/relationships/hyperlink" Target="https://aih.gov.az/about-us/about-aih-azerbaijan-investment-holding" TargetMode="External"/><Relationship Id="rId23" Type="http://schemas.openxmlformats.org/officeDocument/2006/relationships/hyperlink" Target="http://www.ssf.gov.cn/portal/yw/webinfo/2021/09/1632812253754637.htm" TargetMode="External"/><Relationship Id="rId28" Type="http://schemas.openxmlformats.org/officeDocument/2006/relationships/hyperlink" Target="https://www.eifo.dk/" TargetMode="External"/><Relationship Id="rId49" Type="http://schemas.openxmlformats.org/officeDocument/2006/relationships/hyperlink" Target="https://en.ndf.ir/About-NDF/History" TargetMode="External"/><Relationship Id="rId114" Type="http://schemas.openxmlformats.org/officeDocument/2006/relationships/hyperlink" Target="https://ufrd.uz/wp-content/uploads/2019/12/Financial-Statement_FRD_NAS-2017_ENG_KPMG.pdf" TargetMode="External"/><Relationship Id="rId119" Type="http://schemas.openxmlformats.org/officeDocument/2006/relationships/hyperlink" Target="https://www.tbilisisrf.gov.ge/en/organizers/partners/81-jsc-partnership-fund" TargetMode="External"/><Relationship Id="rId44" Type="http://schemas.openxmlformats.org/officeDocument/2006/relationships/hyperlink" Target="https://finance.gov.gy/wp-content/uploads/2021/03/NRF-Act_2019.pdf" TargetMode="External"/><Relationship Id="rId60" Type="http://schemas.openxmlformats.org/officeDocument/2006/relationships/hyperlink" Target="https://www.investopedia.com/terms/r/revenue-equalization-reserve-fund.asp" TargetMode="External"/><Relationship Id="rId65" Type="http://schemas.openxmlformats.org/officeDocument/2006/relationships/hyperlink" Target="https://www.khazanah.com.my/who-we-are/about-us/" TargetMode="External"/><Relationship Id="rId81" Type="http://schemas.openxmlformats.org/officeDocument/2006/relationships/hyperlink" Target="https://www.nbim.no/en/the-fund/about-the-fund/" TargetMode="External"/><Relationship Id="rId86" Type="http://schemas.openxmlformats.org/officeDocument/2006/relationships/hyperlink" Target="https://www.fondoahorropanama.com/nuestra-historia" TargetMode="External"/><Relationship Id="rId130" Type="http://schemas.openxmlformats.org/officeDocument/2006/relationships/hyperlink" Target="https://www.sam.ae/about" TargetMode="External"/><Relationship Id="rId13" Type="http://schemas.openxmlformats.org/officeDocument/2006/relationships/hyperlink" Target="https://www.economiayfinanzas.gob.bo/los-ingresos-por-ventas-de-las-empresas-publicas-llegan-a-bs26164-millones-a-junio-de-2022-y-garantizan-el-pago-de-sus-creditos-al-bcb-y-finpro.html" TargetMode="External"/><Relationship Id="rId18" Type="http://schemas.openxmlformats.org/officeDocument/2006/relationships/hyperlink" Target="https://www.mf.gov.cv/web/mf/-/fundo-soberano" TargetMode="External"/><Relationship Id="rId39" Type="http://schemas.openxmlformats.org/officeDocument/2006/relationships/hyperlink" Target="https://www.fgis-gabon.com/about" TargetMode="External"/><Relationship Id="rId109" Type="http://schemas.openxmlformats.org/officeDocument/2006/relationships/hyperlink" Target="https://turkmenportal.com/en/blog/43441/stabilization-fund-of-turkmenistan-will-allocate-funds-for-the-development-of-horse-breeding" TargetMode="External"/><Relationship Id="rId34" Type="http://schemas.openxmlformats.org/officeDocument/2006/relationships/hyperlink" Target="https://www.solidium.fi/en/holdings/" TargetMode="External"/><Relationship Id="rId50" Type="http://schemas.openxmlformats.org/officeDocument/2006/relationships/hyperlink" Target="https://isif.ie/about" TargetMode="External"/><Relationship Id="rId55" Type="http://schemas.openxmlformats.org/officeDocument/2006/relationships/hyperlink" Target="https://www.investopedia.com/terms/k/kazakhstan-national-fund.asp" TargetMode="External"/><Relationship Id="rId76" Type="http://schemas.openxmlformats.org/officeDocument/2006/relationships/hyperlink" Target="https://www.bon.com.na/Bank/Welwitschia-Fund.aspx" TargetMode="External"/><Relationship Id="rId97" Type="http://schemas.openxmlformats.org/officeDocument/2006/relationships/hyperlink" Target="https://www.temasek.com.sg/en/about-us/our-purpose-charter-values" TargetMode="External"/><Relationship Id="rId104" Type="http://schemas.openxmlformats.org/officeDocument/2006/relationships/hyperlink" Target="https://www.ifswf.org/members/timor-leste" TargetMode="External"/><Relationship Id="rId120" Type="http://schemas.openxmlformats.org/officeDocument/2006/relationships/hyperlink" Target="https://www.niifindia.in/about" TargetMode="External"/><Relationship Id="rId125" Type="http://schemas.openxmlformats.org/officeDocument/2006/relationships/hyperlink" Target="https://www.google.com/url?sa=t&amp;rct=j&amp;q=&amp;esrc=s&amp;source=web&amp;cd=&amp;ved=2ahUKEwiDzqLV_PX_AhW6BLkGHQXuAaYQFnoECBQQAQ&amp;url=https%3A%2F%2Fmiif.gov.gh%2F&amp;usg=AOvVaw22xE9eNGG-1EqaRG2T3Reh&amp;opi=89978449" TargetMode="External"/><Relationship Id="rId7" Type="http://schemas.openxmlformats.org/officeDocument/2006/relationships/hyperlink" Target="https://www.oilfund.az/en/fund/about/mission" TargetMode="External"/><Relationship Id="rId71" Type="http://schemas.openxmlformats.org/officeDocument/2006/relationships/hyperlink" Target="http://www.eri.mn/research/finished/499-02awmf99" TargetMode="External"/><Relationship Id="rId92" Type="http://schemas.openxmlformats.org/officeDocument/2006/relationships/hyperlink" Target="https://www.rdif.ru/Eng_About/" TargetMode="External"/><Relationship Id="rId2" Type="http://schemas.openxmlformats.org/officeDocument/2006/relationships/hyperlink" Target="https://www.futurefund.gov.au/en/About-us/Our-funds" TargetMode="External"/><Relationship Id="rId29" Type="http://schemas.openxmlformats.org/officeDocument/2006/relationships/hyperlink" Target="https://www.ifswf.org/members/fonds-souverain-de-djibouti" TargetMode="External"/><Relationship Id="rId24" Type="http://schemas.openxmlformats.org/officeDocument/2006/relationships/hyperlink" Target="https://www.bloomberg.com/profile/company/0173893D:CH" TargetMode="External"/><Relationship Id="rId40" Type="http://schemas.openxmlformats.org/officeDocument/2006/relationships/hyperlink" Target="https://www.bog.gov.gh/ghana-petroleum-funds/about-petroleum-funds/" TargetMode="External"/><Relationship Id="rId45" Type="http://schemas.openxmlformats.org/officeDocument/2006/relationships/hyperlink" Target="https://eng.cnic.com/" TargetMode="External"/><Relationship Id="rId66" Type="http://schemas.openxmlformats.org/officeDocument/2006/relationships/hyperlink" Target="https://mgis.com.mt/about/" TargetMode="External"/><Relationship Id="rId87" Type="http://schemas.openxmlformats.org/officeDocument/2006/relationships/hyperlink" Target="https://www.bcrp.gob.pe/docs/Publicaciones/Revista-Moneda/moneda-174/moneda-174-07.pdf" TargetMode="External"/><Relationship Id="rId110" Type="http://schemas.openxmlformats.org/officeDocument/2006/relationships/hyperlink" Target="https://tuvalutrustfund.tv/index.php/features/faqs" TargetMode="External"/><Relationship Id="rId115" Type="http://schemas.openxmlformats.org/officeDocument/2006/relationships/hyperlink" Target="http://www.scic.vn/index.php/en/about-us" TargetMode="External"/><Relationship Id="rId131" Type="http://schemas.openxmlformats.org/officeDocument/2006/relationships/hyperlink" Target="https://www.monedasdevenezuela.com/economia/dolares-ahorrados-fondo-estabilizacion-macroeconomica/" TargetMode="External"/><Relationship Id="rId61" Type="http://schemas.openxmlformats.org/officeDocument/2006/relationships/hyperlink" Target="https://kryeministri.rks-gov.net/wp-content/uploads/2023/06/Projektligj-per-Fondin-Sovran-te-Republikes-se-Kosoves.pdf" TargetMode="External"/><Relationship Id="rId82" Type="http://schemas.openxmlformats.org/officeDocument/2006/relationships/hyperlink" Target="https://www.omanobserver.om/article/1138054/oman/community/oman-future-fund-a-key-to-financing-big-projects" TargetMode="External"/><Relationship Id="rId19" Type="http://schemas.openxmlformats.org/officeDocument/2006/relationships/hyperlink" Target="https://expansao.co.ao/mundo/africa/interior/fundo-soberano-de-cabo-verde-de-100-milhoes-de-dolares-arranca-em-definitivo-109009.html" TargetMode="External"/><Relationship Id="rId14" Type="http://schemas.openxmlformats.org/officeDocument/2006/relationships/hyperlink" Target="https://www.bankofbotswana.bw/content/pula-fund" TargetMode="External"/><Relationship Id="rId30" Type="http://schemas.openxmlformats.org/officeDocument/2006/relationships/hyperlink" Target="https://tsfe.com/" TargetMode="External"/><Relationship Id="rId35" Type="http://schemas.openxmlformats.org/officeDocument/2006/relationships/hyperlink" Target="https://www.prefectures-regions.gouv.fr/centre-val-de-loire/Region-et-institutions/L-action-de-l-Etat/Economie-entreprises-emploi-et-finances-publiques/Fonds-Strategique-d-Investissement" TargetMode="External"/><Relationship Id="rId56" Type="http://schemas.openxmlformats.org/officeDocument/2006/relationships/hyperlink" Target="https://www.adb.org/sites/default/files/linked-documents/54188-001-sd-05.pdf" TargetMode="External"/><Relationship Id="rId77" Type="http://schemas.openxmlformats.org/officeDocument/2006/relationships/hyperlink" Target="https://naurufinance.info/intergenerational-trust-fund/" TargetMode="External"/><Relationship Id="rId100" Type="http://schemas.openxmlformats.org/officeDocument/2006/relationships/hyperlink" Target="https://www.sepi.es/es/conozca-sepi/objetivos" TargetMode="External"/><Relationship Id="rId105" Type="http://schemas.openxmlformats.org/officeDocument/2006/relationships/hyperlink" Target="https://www.finance.gov.tt/wp-content/uploads/2023/06/HSF-AR-2022.pdf" TargetMode="External"/><Relationship Id="rId126" Type="http://schemas.openxmlformats.org/officeDocument/2006/relationships/hyperlink" Target="https://www.fmped.org.mx/index.html" TargetMode="External"/><Relationship Id="rId8" Type="http://schemas.openxmlformats.org/officeDocument/2006/relationships/hyperlink" Target="https://www.adb.org/sites/default/files/linked-documents/55073-001-sd-04.pdf" TargetMode="External"/><Relationship Id="rId51" Type="http://schemas.openxmlformats.org/officeDocument/2006/relationships/hyperlink" Target="https://www.ntma.ie/national-pensions-reserve-fund-nprf" TargetMode="External"/><Relationship Id="rId72" Type="http://schemas.openxmlformats.org/officeDocument/2006/relationships/hyperlink" Target="https://www.finances.gov.ma/Publication/cabinet/2020/Note-Pres-Fond-Med-VI-Inv-Loi-76-20-Fr.pdf" TargetMode="External"/><Relationship Id="rId93" Type="http://schemas.openxmlformats.org/officeDocument/2006/relationships/hyperlink" Target="https://www.agaciro.rw/index.php?id=158" TargetMode="External"/><Relationship Id="rId98" Type="http://schemas.openxmlformats.org/officeDocument/2006/relationships/hyperlink" Target="https://www.sdh.si/en-gb/about-ssh/mission-vision-values" TargetMode="External"/><Relationship Id="rId121" Type="http://schemas.openxmlformats.org/officeDocument/2006/relationships/hyperlink" Target="https://www.cdp.it/sitointernet/en/cdp_equity.page" TargetMode="External"/><Relationship Id="rId3" Type="http://schemas.openxmlformats.org/officeDocument/2006/relationships/hyperlink" Target="https://maghrebemergent.net/il-sert-a-couvrir-le-deficit-le-fonds-de-regulation-des-recettes-atteint-2300-milliards-de-dinars/" TargetMode="External"/><Relationship Id="rId25" Type="http://schemas.openxmlformats.org/officeDocument/2006/relationships/hyperlink" Target="https://www.investopedia.com/terms/n/national-social-security-fund.asp" TargetMode="External"/><Relationship Id="rId46" Type="http://schemas.openxmlformats.org/officeDocument/2006/relationships/hyperlink" Target="https://www.hkic.org.hk/" TargetMode="External"/><Relationship Id="rId67" Type="http://schemas.openxmlformats.org/officeDocument/2006/relationships/hyperlink" Target="https://ndsf.com.mt/en/Pages/Our-Mission.aspx" TargetMode="External"/><Relationship Id="rId116" Type="http://schemas.openxmlformats.org/officeDocument/2006/relationships/hyperlink" Target="https://www.rbz.co.zw/documents/acts/Sovereign%20Wealth%20Fund%20of%20Zimbabwe%20Act%20%5bChapter%2022-20%5d_0.pdf" TargetMode="External"/><Relationship Id="rId20" Type="http://schemas.openxmlformats.org/officeDocument/2006/relationships/hyperlink" Target="https://hacienda.cl/english/work-areas/international-finance/sovereign-wealth-funds/pension-reserve-fund" TargetMode="External"/><Relationship Id="rId41" Type="http://schemas.openxmlformats.org/officeDocument/2006/relationships/hyperlink" Target="https://www.bog.gov.gh/ghana-petroleum-funds/about-petroleum-funds/" TargetMode="External"/><Relationship Id="rId62" Type="http://schemas.openxmlformats.org/officeDocument/2006/relationships/hyperlink" Target="https://www.kia.gov.kw/" TargetMode="External"/><Relationship Id="rId83" Type="http://schemas.openxmlformats.org/officeDocument/2006/relationships/hyperlink" Target="https://www.zawya.com/en/wealth/funds/omani-officials-welcome-launch-of-oman-future-fund-ybogvxuc" TargetMode="External"/><Relationship Id="rId88" Type="http://schemas.openxmlformats.org/officeDocument/2006/relationships/hyperlink" Target="https://www2.congreso.gob.pe/Sicr/Prensa/heraldo.nsf/CNtitulares2/353305FAD7A4AE8D0525787E006E220A/?OpenDocument" TargetMode="External"/><Relationship Id="rId111" Type="http://schemas.openxmlformats.org/officeDocument/2006/relationships/hyperlink" Target="https://www.eia.gov.ae/" TargetMode="External"/><Relationship Id="rId132" Type="http://schemas.openxmlformats.org/officeDocument/2006/relationships/printerSettings" Target="../printerSettings/printerSettings2.bin"/><Relationship Id="rId15" Type="http://schemas.openxmlformats.org/officeDocument/2006/relationships/hyperlink" Target="https://www.reuters.com/article/botswana-sovereign-wealth-fund-idUSL3N2EL3I5" TargetMode="External"/><Relationship Id="rId36" Type="http://schemas.openxmlformats.org/officeDocument/2006/relationships/hyperlink" Target="https://www.caissedesdepots.fr/en" TargetMode="External"/><Relationship Id="rId57" Type="http://schemas.openxmlformats.org/officeDocument/2006/relationships/hyperlink" Target="https://www.nicnbk.kz/en" TargetMode="External"/><Relationship Id="rId106" Type="http://schemas.openxmlformats.org/officeDocument/2006/relationships/hyperlink" Target="https://www.tvf.com.tr/en/who-we-are/about-us/our-mandate" TargetMode="External"/><Relationship Id="rId127" Type="http://schemas.openxmlformats.org/officeDocument/2006/relationships/hyperlink" Target="https://www.mubadala.com/en/investors/overview" TargetMode="External"/><Relationship Id="rId10" Type="http://schemas.openxmlformats.org/officeDocument/2006/relationships/hyperlink" Target="https://www.mumtalakat.bh/who-we-are" TargetMode="External"/><Relationship Id="rId31" Type="http://schemas.openxmlformats.org/officeDocument/2006/relationships/hyperlink" Target="https://eih.et/" TargetMode="External"/><Relationship Id="rId52" Type="http://schemas.openxmlformats.org/officeDocument/2006/relationships/hyperlink" Target="https://www.ntma.ie/uploads/publication-articles/NPRF-Annual-Report-2013.pdf" TargetMode="External"/><Relationship Id="rId73" Type="http://schemas.openxmlformats.org/officeDocument/2006/relationships/hyperlink" Target="https://www.finances.gov.ma/Publication/Textes-Reg/BO-Fond-Med-VI-Inv-Loi-76-20-FR.pdf" TargetMode="External"/><Relationship Id="rId78" Type="http://schemas.openxmlformats.org/officeDocument/2006/relationships/hyperlink" Target="https://naurufinance.info/wp-content/uploads/2022/12/FINAL-2022-Annual-Report-15-December-2022.pdf" TargetMode="External"/><Relationship Id="rId94" Type="http://schemas.openxmlformats.org/officeDocument/2006/relationships/hyperlink" Target="https://www.pif.gov.sa/en/Pages/AboutPIF.aspx" TargetMode="External"/><Relationship Id="rId99" Type="http://schemas.openxmlformats.org/officeDocument/2006/relationships/hyperlink" Target="https://www.kic.kr/en/01/01/01.jsp" TargetMode="External"/><Relationship Id="rId101" Type="http://schemas.openxmlformats.org/officeDocument/2006/relationships/hyperlink" Target="https://cert-net.com/files/publications/conference/2017/DaniellaWondelStrategicAssetAllocationforasavingsandstabilizationfundTheCaseofSurinameDW_Paper14-10-2017.pdf" TargetMode="External"/><Relationship Id="rId122" Type="http://schemas.openxmlformats.org/officeDocument/2006/relationships/hyperlink" Target="https://rmicfatf.com/" TargetMode="External"/><Relationship Id="rId4" Type="http://schemas.openxmlformats.org/officeDocument/2006/relationships/hyperlink" Target="https://anif.am/" TargetMode="External"/><Relationship Id="rId9" Type="http://schemas.openxmlformats.org/officeDocument/2006/relationships/hyperlink" Target="https://pitchbook.com/profiles/limited-partner/63187-39" TargetMode="External"/><Relationship Id="rId26" Type="http://schemas.openxmlformats.org/officeDocument/2006/relationships/hyperlink" Target="https://www.minhacienda.gov.co/webcenter/portal/SGR/pages_fa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17" Type="http://schemas.openxmlformats.org/officeDocument/2006/relationships/hyperlink" Target="https://ndsf.com.mt/wp-content/uploads/2023/08/Annual-Report-2019.pdf" TargetMode="External"/><Relationship Id="rId671" Type="http://schemas.openxmlformats.org/officeDocument/2006/relationships/hyperlink" Target="https://www.bog.gov.gh/ghana-petroleum-funds/gpf-financial-statements/" TargetMode="External"/><Relationship Id="rId21" Type="http://schemas.openxmlformats.org/officeDocument/2006/relationships/hyperlink" Target="https://www.china-inv.cn/chinainven/Media/Annual_Report.shtml" TargetMode="External"/><Relationship Id="rId324" Type="http://schemas.openxmlformats.org/officeDocument/2006/relationships/hyperlink" Target="https://www.mef.gob.pe/contenidos/tesoro_pub/fef/FEF2007.pdf" TargetMode="External"/><Relationship Id="rId531" Type="http://schemas.openxmlformats.org/officeDocument/2006/relationships/hyperlink" Target="https://www.fmped.org.mx/rendicion-cuentas.html" TargetMode="External"/><Relationship Id="rId629" Type="http://schemas.openxmlformats.org/officeDocument/2006/relationships/hyperlink" Target="https://www.bog.gov.gh/ghana-petroleum-funds/gpf-financial-statements/" TargetMode="External"/><Relationship Id="rId170" Type="http://schemas.openxmlformats.org/officeDocument/2006/relationships/hyperlink" Target="https://drive.google.com/file/d/11bBbjBMAO6qWuQIrSrXzSW_WmD9DDxaw/preview?rm=minimal" TargetMode="External"/><Relationship Id="rId268" Type="http://schemas.openxmlformats.org/officeDocument/2006/relationships/hyperlink" Target="https://www.bancocentral.tl/uploads/documentos/documento_1474853103_1477.pdf" TargetMode="External"/><Relationship Id="rId475" Type="http://schemas.openxmlformats.org/officeDocument/2006/relationships/hyperlink" Target="https://mgis.com.mt/wp-content/uploads/2022/10/MGI-Investment-Activity-2019.pdf" TargetMode="External"/><Relationship Id="rId682" Type="http://schemas.openxmlformats.org/officeDocument/2006/relationships/hyperlink" Target="https://www.eifo.dk/media/ia3lvn0l/eifo-annual-report-2024.pdf" TargetMode="External"/><Relationship Id="rId32" Type="http://schemas.openxmlformats.org/officeDocument/2006/relationships/hyperlink" Target="https://www.china-inv.cn/wps/wcm/connect/e6947335-0efd-492b-bd2f-09a3a9187f69/CICAnnualReport2017.pdf?MOD=AJPERES&amp;CACHEID=e6947335-0efd-492b-bd2f-09a3a9187f69" TargetMode="External"/><Relationship Id="rId128" Type="http://schemas.openxmlformats.org/officeDocument/2006/relationships/hyperlink" Target="https://drive.google.com/file/d/0B4gcUaZXjZztYXpTR1FKSUpwTTQ/preview?rm=minimal&amp;resourcekey=0-UHx2ANNWZLCDZE5zJonE1A" TargetMode="External"/><Relationship Id="rId335" Type="http://schemas.openxmlformats.org/officeDocument/2006/relationships/hyperlink" Target="https://www.mef.gob.pe/contenidos/tesoro_pub/fef/FEF2008.pdf" TargetMode="External"/><Relationship Id="rId542" Type="http://schemas.openxmlformats.org/officeDocument/2006/relationships/hyperlink" Target="https://nationalbank.kz/file/download/1103" TargetMode="External"/><Relationship Id="rId181" Type="http://schemas.openxmlformats.org/officeDocument/2006/relationships/hyperlink" Target="https://naurufinance.info/wp-content/uploads/2020/07/2017_annual_report_-_final.pdf" TargetMode="External"/><Relationship Id="rId402" Type="http://schemas.openxmlformats.org/officeDocument/2006/relationships/hyperlink" Target="https://www.temasek.com.sg/en/our-financials/library/temasek-review" TargetMode="External"/><Relationship Id="rId279" Type="http://schemas.openxmlformats.org/officeDocument/2006/relationships/hyperlink" Target="https://www.bancocentral.tl/uploads/documentos/documento_1759145853_3697.pdf" TargetMode="External"/><Relationship Id="rId486" Type="http://schemas.openxmlformats.org/officeDocument/2006/relationships/hyperlink" Target="https://www.fmped.org.mx/transparencia/%7B2E794633-3CB8-6B2C-EBC3-81DB3E03F899%7D.pdf" TargetMode="External"/><Relationship Id="rId693" Type="http://schemas.openxmlformats.org/officeDocument/2006/relationships/hyperlink" Target="https://www.mof.gov.tw/download/pub15431" TargetMode="External"/><Relationship Id="rId707" Type="http://schemas.openxmlformats.org/officeDocument/2006/relationships/hyperlink" Target="https://ws.ndc.gov.tw/001/administrator/32/relfile/7030/33509/b7c37769-cd6f-4892-a989-fe07c96bce49.pdf" TargetMode="External"/><Relationship Id="rId43" Type="http://schemas.openxmlformats.org/officeDocument/2006/relationships/hyperlink" Target="https://growthfund.gr/wp-content/uploads/2021/10/Consolidated-annual-report-2020_HCAP.pdf" TargetMode="External"/><Relationship Id="rId139" Type="http://schemas.openxmlformats.org/officeDocument/2006/relationships/hyperlink" Target="https://drive.google.com/file/d/100UGrk7VRxFo49i_K9T_izAFjQ9E2rFi/preview?rm=minimal" TargetMode="External"/><Relationship Id="rId346" Type="http://schemas.openxmlformats.org/officeDocument/2006/relationships/hyperlink" Target="https://sk.kz/investors/financial-performance/fin-report.php?lang=en&amp;utm_source=chatgpt.com" TargetMode="External"/><Relationship Id="rId553" Type="http://schemas.openxmlformats.org/officeDocument/2006/relationships/hyperlink" Target="https://sfpim.be/uploads/2022/05/sfpi_rapport_annuel_2012.pdf" TargetMode="External"/><Relationship Id="rId192" Type="http://schemas.openxmlformats.org/officeDocument/2006/relationships/hyperlink" Target="https://nzsuperfund.nz/assets/Publications/Annual-Reports/Annual-Report-2021-22.pdf" TargetMode="External"/><Relationship Id="rId206" Type="http://schemas.openxmlformats.org/officeDocument/2006/relationships/hyperlink" Target="https://static1.squarespace.com/static/53924649e4b010f4651fd393/t/67e6e475646c886b2f754498/1743185037974/IA2024+Version+Final.pdf" TargetMode="External"/><Relationship Id="rId413" Type="http://schemas.openxmlformats.org/officeDocument/2006/relationships/hyperlink" Target="https://minfin.gov.ru/ru/document?id_4=93488-dannye_o_dvizhenii_sredstv_i_rezultatakh_upravleniya_sredstvami_fonda_natsionalnogo_blagosostoyaniya" TargetMode="External"/><Relationship Id="rId497" Type="http://schemas.openxmlformats.org/officeDocument/2006/relationships/hyperlink" Target="https://www.oilfund.az/en/report-and-statistics/report-archive" TargetMode="External"/><Relationship Id="rId620" Type="http://schemas.openxmlformats.org/officeDocument/2006/relationships/hyperlink" Target="https://drive.google.com/file/d/1cyCDX5W_9tSshkuQAD8wv2vhSKHWcx5t/view" TargetMode="External"/><Relationship Id="rId357" Type="http://schemas.openxmlformats.org/officeDocument/2006/relationships/hyperlink" Target="https://sk.kz/upload/iblock/ede/edeb42c6cc1774a74e8420e572cf9dee.pdf" TargetMode="External"/><Relationship Id="rId54" Type="http://schemas.openxmlformats.org/officeDocument/2006/relationships/hyperlink" Target="https://bankofguyana.org.gy/bog/images/accounts_budgeting/natural_resource_fund/financial_statements/nrf_audited_financial_statements_2022.pdf" TargetMode="External"/><Relationship Id="rId217" Type="http://schemas.openxmlformats.org/officeDocument/2006/relationships/hyperlink" Target="https://issuu.com/fundosoberanoao/docs/fsdea-relato_rio-anual-2015_1007201?utm_medium=referral&amp;utm_source=fundosoberano.ao" TargetMode="External"/><Relationship Id="rId564" Type="http://schemas.openxmlformats.org/officeDocument/2006/relationships/hyperlink" Target="https://www.nbim.no/contentassets/fd871d2a4e2d4c1ab9d3d66c98fa6ba1/annual-report_2020_government-pension-fund-global_web/" TargetMode="External"/><Relationship Id="rId424" Type="http://schemas.openxmlformats.org/officeDocument/2006/relationships/hyperlink" Target="https://www.pap.hacienda.gob.es/Recuenta/Views/Buscador.aspx" TargetMode="External"/><Relationship Id="rId631" Type="http://schemas.openxmlformats.org/officeDocument/2006/relationships/hyperlink" Target="https://www.bog.gov.gh/ghana-petroleum-funds/gpf-financial-statements/" TargetMode="External"/><Relationship Id="rId270" Type="http://schemas.openxmlformats.org/officeDocument/2006/relationships/hyperlink" Target="https://www.bancocentral.tl/uploads/documentos/documento_1474853526_4283.pdf" TargetMode="External"/><Relationship Id="rId65" Type="http://schemas.openxmlformats.org/officeDocument/2006/relationships/hyperlink" Target="https://www.ntma.ie/uploads/publication-articles/NPRF-Annual-Report-2009.pdf" TargetMode="External"/><Relationship Id="rId130" Type="http://schemas.openxmlformats.org/officeDocument/2006/relationships/hyperlink" Target="https://drive.google.com/file/d/0B4gcUaZXjZztQ0tqemNlbHc2U1E/preview?rm=minimal&amp;resourcekey=0-mVnptePKkbCKByQM820j3Q" TargetMode="External"/><Relationship Id="rId368" Type="http://schemas.openxmlformats.org/officeDocument/2006/relationships/hyperlink" Target="https://www.khazanah.com.my/media/uploads/2020/05/2014.pdf" TargetMode="External"/><Relationship Id="rId575" Type="http://schemas.openxmlformats.org/officeDocument/2006/relationships/hyperlink" Target="https://www.nbim.no/globalassets/reports/2008/2008-annual-report.pdf" TargetMode="External"/><Relationship Id="rId228" Type="http://schemas.openxmlformats.org/officeDocument/2006/relationships/hyperlink" Target="https://www.futurefund.gov.au/en/About-us/-/media/4932D107CAC9468C995E8185B0248B4D.ashx" TargetMode="External"/><Relationship Id="rId435" Type="http://schemas.openxmlformats.org/officeDocument/2006/relationships/hyperlink" Target="https://en.ufrd.uz/open-data" TargetMode="External"/><Relationship Id="rId642" Type="http://schemas.openxmlformats.org/officeDocument/2006/relationships/hyperlink" Target="https://www.bog.gov.gh/ghana-petroleum-funds/gpf-financial-statements/" TargetMode="External"/><Relationship Id="rId281" Type="http://schemas.openxmlformats.org/officeDocument/2006/relationships/hyperlink" Target="https://www.bancocentral.tl/uploads/documentos/documento_1759189128_2301.pdf" TargetMode="External"/><Relationship Id="rId502" Type="http://schemas.openxmlformats.org/officeDocument/2006/relationships/hyperlink" Target="https://cms.hacienda.cl/hacienda/assets/documento/descargar/62531a935b2f5" TargetMode="External"/><Relationship Id="rId76" Type="http://schemas.openxmlformats.org/officeDocument/2006/relationships/hyperlink" Target="https://www.cdp.it/internet/public/cms/documents/CDP_EQUITY_RFA_2018_ITA.pdf" TargetMode="External"/><Relationship Id="rId141" Type="http://schemas.openxmlformats.org/officeDocument/2006/relationships/hyperlink" Target="https://drive.google.com/file/d/1He3_YJK4kc3EqxDV6D4gBEDlZrzHiY55/preview?rm=minimal" TargetMode="External"/><Relationship Id="rId379" Type="http://schemas.openxmlformats.org/officeDocument/2006/relationships/hyperlink" Target="https://www.khazanah.com.my/media/uploads/2023/07/TKR2022_ENG.pdf" TargetMode="External"/><Relationship Id="rId586" Type="http://schemas.openxmlformats.org/officeDocument/2006/relationships/hyperlink" Target="https://www.nbim.no/globalassets/reports/2002/2002-annual-report-eng.pdf" TargetMode="External"/><Relationship Id="rId7" Type="http://schemas.openxmlformats.org/officeDocument/2006/relationships/hyperlink" Target="https://www.oilfund.az/report-and-statistics/get-download-file/flip/8_2002_en.pdf" TargetMode="External"/><Relationship Id="rId239" Type="http://schemas.openxmlformats.org/officeDocument/2006/relationships/hyperlink" Target="https://www.hacienda.cl/areas-de-trabajo/finanzas-internacionales/fondos-soberanos/fondo-de-reserva-de-pensiones/informe-anual/informe-anual-fondos-soberanos-2020" TargetMode="External"/><Relationship Id="rId446" Type="http://schemas.openxmlformats.org/officeDocument/2006/relationships/hyperlink" Target="https://www.anh.gov.co/documents/1435/Procedimiento_Desahorro_Cupo_FAEP.pdf" TargetMode="External"/><Relationship Id="rId653" Type="http://schemas.openxmlformats.org/officeDocument/2006/relationships/hyperlink" Target="https://www.bog.gov.gh/wp-content/uploads/2021/07/GPF-Annual-Report-and-Financial-Statement-2018-Signed-Accounts.pdf" TargetMode="External"/><Relationship Id="rId292" Type="http://schemas.openxmlformats.org/officeDocument/2006/relationships/hyperlink" Target="https://www.finance.gov.tt/wp-content/uploads/2015/07/HSF-2014-Annual-Report.pdf" TargetMode="External"/><Relationship Id="rId306" Type="http://schemas.openxmlformats.org/officeDocument/2006/relationships/hyperlink" Target="https://www.tvf.com.tr/uploads/file/2018-twf-consolidated-financial-statements-31-december-2018.pdf" TargetMode="External"/><Relationship Id="rId87" Type="http://schemas.openxmlformats.org/officeDocument/2006/relationships/hyperlink" Target="https://www.nicnbk.kz/en/about" TargetMode="External"/><Relationship Id="rId513" Type="http://schemas.openxmlformats.org/officeDocument/2006/relationships/hyperlink" Target="https://oebag.gv.at/wp-content/uploads/2025/08/OBAG_Geschaeftsbericht-2021.pdf" TargetMode="External"/><Relationship Id="rId597" Type="http://schemas.openxmlformats.org/officeDocument/2006/relationships/hyperlink" Target="https://d22x99z9pyemfq.cloudfront.net/mumtalakat-annual_report-2016.pdf" TargetMode="External"/><Relationship Id="rId152" Type="http://schemas.openxmlformats.org/officeDocument/2006/relationships/hyperlink" Target="https://www.fmped.org.mx/informes/%7BD6C25C33-88D3-8004-377E-3F2A0D473607%7D.pdf" TargetMode="External"/><Relationship Id="rId457" Type="http://schemas.openxmlformats.org/officeDocument/2006/relationships/hyperlink" Target="https://fund.ge/wp-content/uploads/PF-Consolidated-FS-2022-ENG.pdf" TargetMode="External"/><Relationship Id="rId664" Type="http://schemas.openxmlformats.org/officeDocument/2006/relationships/hyperlink" Target="https://www.bog.gov.gh/ghana-petroleum-funds/gpf-financial-statements/" TargetMode="External"/><Relationship Id="rId14" Type="http://schemas.openxmlformats.org/officeDocument/2006/relationships/hyperlink" Target="https://www.gov.br/tesouronacional/pt-br/ativos-da-uniao/fundos-governamentais/fundo-soberano-do-brasil-fsb/publicacoes-do-fsb" TargetMode="External"/><Relationship Id="rId317" Type="http://schemas.openxmlformats.org/officeDocument/2006/relationships/hyperlink" Target="https://dgpp.mf.gov.dz/finances-publiques/" TargetMode="External"/><Relationship Id="rId524" Type="http://schemas.openxmlformats.org/officeDocument/2006/relationships/hyperlink" Target="https://www.ntma.ie/publications/p4" TargetMode="External"/><Relationship Id="rId98" Type="http://schemas.openxmlformats.org/officeDocument/2006/relationships/hyperlink" Target="https://www.nicnbk.kz/backend/web/uploads/files/slider-documents/1685591580_D1DR37uyZz.pdf" TargetMode="External"/><Relationship Id="rId163" Type="http://schemas.openxmlformats.org/officeDocument/2006/relationships/hyperlink" Target="https://drive.google.com/file/d/0B25lQaincvKeREJmczUwemo1SGs/preview?rm=minimal&amp;resourcekey=0-A4edt9Wv313ExPF2wQLi_g" TargetMode="External"/><Relationship Id="rId370" Type="http://schemas.openxmlformats.org/officeDocument/2006/relationships/hyperlink" Target="https://www.khazanah.com.my/media/uploads/2020/05/2014.pdf" TargetMode="External"/><Relationship Id="rId230" Type="http://schemas.openxmlformats.org/officeDocument/2006/relationships/hyperlink" Target="https://www.futurefund.gov.au/-/media/2D21A34CC04243399C97D7619115DA51.ashx" TargetMode="External"/><Relationship Id="rId468" Type="http://schemas.openxmlformats.org/officeDocument/2006/relationships/hyperlink" Target="https://mgis.com.mt/annual-reports/" TargetMode="External"/><Relationship Id="rId675" Type="http://schemas.openxmlformats.org/officeDocument/2006/relationships/hyperlink" Target="https://www.eifo.dk/en/about/annual-report/" TargetMode="External"/><Relationship Id="rId25" Type="http://schemas.openxmlformats.org/officeDocument/2006/relationships/hyperlink" Target="https://www.china-inv.cn/wps/wcm/connect/0126eee4-9737-4d5e-a9a0-1c11aac7fca2/CIC_2009_annualreport_en.pdf?MOD=AJPERES&amp;CACHEID=0126eee4-9737-4d5e-a9a0-1c11aac7fca2" TargetMode="External"/><Relationship Id="rId328" Type="http://schemas.openxmlformats.org/officeDocument/2006/relationships/hyperlink" Target="https://www.mef.gob.pe/contenidos/tesoro_pub/fef/informe_anual2016_FEF.pdf" TargetMode="External"/><Relationship Id="rId535" Type="http://schemas.openxmlformats.org/officeDocument/2006/relationships/hyperlink" Target="https://icd.gov.ae/financial-information/" TargetMode="External"/><Relationship Id="rId174" Type="http://schemas.openxmlformats.org/officeDocument/2006/relationships/hyperlink" Target="https://drive.google.com/file/d/1pGPJtYz8A9K5AJR8Jsuft7GmYkFdW9Qp/preview?rm=minimal" TargetMode="External"/><Relationship Id="rId381" Type="http://schemas.openxmlformats.org/officeDocument/2006/relationships/hyperlink" Target="https://www.pif.gov.sa/en/investors/annual-reports/" TargetMode="External"/><Relationship Id="rId602" Type="http://schemas.openxmlformats.org/officeDocument/2006/relationships/hyperlink" Target="https://d22x99z9pyemfq.cloudfront.net/Mumtalakat-Annual_Report-2011.pdf" TargetMode="External"/><Relationship Id="rId241" Type="http://schemas.openxmlformats.org/officeDocument/2006/relationships/hyperlink" Target="https://www.hacienda.cl/areas-de-trabajo/finanzas-internacionales/fondos-soberanos/fondo-de-reserva-de-pensiones/informe-anual/informe-anual-fondos-soberanos-2015" TargetMode="External"/><Relationship Id="rId479" Type="http://schemas.openxmlformats.org/officeDocument/2006/relationships/hyperlink" Target="https://www.fmped.org.mx/informes/%7BF5053D62-DDFD-1D6F-B977-E116C1AC90C3%7D.pdf" TargetMode="External"/><Relationship Id="rId686" Type="http://schemas.openxmlformats.org/officeDocument/2006/relationships/hyperlink" Target="https://www.china-inv.cn/chinainven/Media/Annual_Report.shtml" TargetMode="External"/><Relationship Id="rId36" Type="http://schemas.openxmlformats.org/officeDocument/2006/relationships/hyperlink" Target="https://www.china-inv.cn/chinainven/xhtml/Media/2021EN.pdf" TargetMode="External"/><Relationship Id="rId339" Type="http://schemas.openxmlformats.org/officeDocument/2006/relationships/hyperlink" Target="https://www.bpifrance.fr/investor-relations" TargetMode="External"/><Relationship Id="rId546" Type="http://schemas.openxmlformats.org/officeDocument/2006/relationships/hyperlink" Target="https://sfpim.be/uploads/2022/05/sfpi_rapport_annuel_2015_0.pdf" TargetMode="External"/><Relationship Id="rId101" Type="http://schemas.openxmlformats.org/officeDocument/2006/relationships/hyperlink" Target="https://mfin.gouvernement.lu/dam-assets/le-minist%C3%A8re/fondssouveraininteregenerationnel/comptes-et-rapports-d%E2%80%99activit%C3%A9s-annuels/comptes-an-121066.pdf" TargetMode="External"/><Relationship Id="rId185" Type="http://schemas.openxmlformats.org/officeDocument/2006/relationships/hyperlink" Target="https://naurufinance.info/wp-content/uploads/2021/12/2021-Annual-Report-Signed.pdf" TargetMode="External"/><Relationship Id="rId406" Type="http://schemas.openxmlformats.org/officeDocument/2006/relationships/hyperlink" Target="https://www.minhacienda.gov.co/informe-mensual-y-trimestral-2023/-/document_library/bipi/view_file/1297749?_com_liferay_document_library_web_portlet_DLPortlet_INSTANCE_bipi_redirect=https%3A%2F%2Fwww.minhacienda.gov.co%3A443%2Finforme-mensual-y-trimestral-2023%3Fp_p_id%3Dcom_liferay_document_library_web_portlet_DLPortlet_INSTANCE_bipi%26p_p_lifecycle%3D0%26p_p_state%3Dnormal%26p_p_mode%3Dview&amp;_com_liferay_document_library_web_portlet_DLPortlet_INSTANCE_bipi_fileEntryId=1297749" TargetMode="External"/><Relationship Id="rId392" Type="http://schemas.openxmlformats.org/officeDocument/2006/relationships/hyperlink" Target="https://icd.gov.ae/wp-content/uploads/2020/09/ICD-Audited-Consolidated-FS-Dec-2019.pdf" TargetMode="External"/><Relationship Id="rId613" Type="http://schemas.openxmlformats.org/officeDocument/2006/relationships/hyperlink" Target="https://web.archive.org/web/20241126040650/https:/www.mfed.gov.ki/sites/default/files/Final%20-%20RERF%20Report%20to%20Parliament%2024-8-21.pdf" TargetMode="External"/><Relationship Id="rId697" Type="http://schemas.openxmlformats.org/officeDocument/2006/relationships/hyperlink" Target="https://www.df.gov.tw/News8.aspx?n=EDE29795B79855E0&amp;sms=84DF8AE86BF2C378&amp;page=3&amp;PageSize=10" TargetMode="External"/><Relationship Id="rId252" Type="http://schemas.openxmlformats.org/officeDocument/2006/relationships/hyperlink" Target="https://www.ntma.ie/publications/p4" TargetMode="External"/><Relationship Id="rId47" Type="http://schemas.openxmlformats.org/officeDocument/2006/relationships/hyperlink" Target="https://growthfund.gr/wp-content/uploads/2025/03/Fourth-quarterly-report_Q4_2024.pdf" TargetMode="External"/><Relationship Id="rId112" Type="http://schemas.openxmlformats.org/officeDocument/2006/relationships/hyperlink" Target="https://mfin.gouvernement.lu/fr/le-ministere/fonds-souverain-intergenerationnel-luxembourg/Comptes_et_rapports_d_activites_annuels.html" TargetMode="External"/><Relationship Id="rId557" Type="http://schemas.openxmlformats.org/officeDocument/2006/relationships/hyperlink" Target="https://sfpim.be/uploads/2022/05/sfpi_rapport_annuel_2012.pdf" TargetMode="External"/><Relationship Id="rId196" Type="http://schemas.openxmlformats.org/officeDocument/2006/relationships/hyperlink" Target="https://static1.squarespace.com/static/53924649e4b010f4651fd393/t/551c3193e4b0cf5ef5899d68/1427911059234/%5BPUB%5D+Informe+Anual+2014+del+FAP+%28FINAL%29.pdf" TargetMode="External"/><Relationship Id="rId417" Type="http://schemas.openxmlformats.org/officeDocument/2006/relationships/hyperlink" Target="https://www.sepi.es/sites/default/files/2017-11/informeanual2009.pdf" TargetMode="External"/><Relationship Id="rId624" Type="http://schemas.openxmlformats.org/officeDocument/2006/relationships/hyperlink" Target="https://web.archive.org/web/20220926095933/https:/www.bog.gov.gh/ghana-petroleum-funds/gpf-financial-statements/" TargetMode="External"/><Relationship Id="rId263" Type="http://schemas.openxmlformats.org/officeDocument/2006/relationships/hyperlink" Target="https://www.ntma.ie/annualreport2024/documents/NTMA-Annual-Report-2024.pdf" TargetMode="External"/><Relationship Id="rId470" Type="http://schemas.openxmlformats.org/officeDocument/2006/relationships/hyperlink" Target="https://mgis.com.mt/wp-content/uploads/2025/10/MGI-Investment-Activity-2023.pdf" TargetMode="External"/><Relationship Id="rId58" Type="http://schemas.openxmlformats.org/officeDocument/2006/relationships/hyperlink" Target="https://www.ntma.ie/uploads/publication-articles/NPRF-Annual-Report-2003.pdf" TargetMode="External"/><Relationship Id="rId123" Type="http://schemas.openxmlformats.org/officeDocument/2006/relationships/hyperlink" Target="https://drive.google.com/file/d/0B4gcUaZXjZztSUdMZWt1QzhHQVk/preview?rm=minimal&amp;resourcekey=0-c_tIRXf1qUvlgAz4yK3QTg" TargetMode="External"/><Relationship Id="rId330" Type="http://schemas.openxmlformats.org/officeDocument/2006/relationships/hyperlink" Target="https://www.mef.gob.pe/contenidos/tesoro_pub/fef/FEF2013.pdf" TargetMode="External"/><Relationship Id="rId568" Type="http://schemas.openxmlformats.org/officeDocument/2006/relationships/hyperlink" Target="https://www.nbim.no/contentassets/41460fa6a42b4bd4a758429b90f80da2/government-pension-fund-global---annual-report-2016.pdf" TargetMode="External"/><Relationship Id="rId428" Type="http://schemas.openxmlformats.org/officeDocument/2006/relationships/hyperlink" Target="https://ufrd.uz/f/2022-jil-uchun-moliyavij-hisobot_eng.pdf" TargetMode="External"/><Relationship Id="rId635" Type="http://schemas.openxmlformats.org/officeDocument/2006/relationships/hyperlink" Target="https://web.archive.org/web/20220926095933/https:/www.bog.gov.gh/ghana-petroleum-funds/gpf-financial-statements/" TargetMode="External"/><Relationship Id="rId274" Type="http://schemas.openxmlformats.org/officeDocument/2006/relationships/hyperlink" Target="https://www.bancocentral.tl/uploads/documentos/documento_1474853655_8570.pdf" TargetMode="External"/><Relationship Id="rId481" Type="http://schemas.openxmlformats.org/officeDocument/2006/relationships/hyperlink" Target="https://www.fmped.org.mx/informes/%7BD6C25C33-88D3-8004-377E-3F2A0D473607%7D.pdf" TargetMode="External"/><Relationship Id="rId702" Type="http://schemas.openxmlformats.org/officeDocument/2006/relationships/hyperlink" Target="https://ws.ndc.gov.tw/001/administrator/33/relfile/7098/34321/eb5861b4-4bb7-45f5-b32a-2311be3a4df3.pdf" TargetMode="External"/><Relationship Id="rId69" Type="http://schemas.openxmlformats.org/officeDocument/2006/relationships/hyperlink" Target="https://www.ntma.ie/uploads/publication-articles/NPRF-Annual-Report-2013.pdf" TargetMode="External"/><Relationship Id="rId134" Type="http://schemas.openxmlformats.org/officeDocument/2006/relationships/hyperlink" Target="https://drive.google.com/file/d/0B4gcUaZXjZzteGY0RnA2UENwWlU/preview?rm=minimal&amp;resourcekey=0-v4Ls3wuap5-GmYS7oPSuOQ" TargetMode="External"/><Relationship Id="rId579" Type="http://schemas.openxmlformats.org/officeDocument/2006/relationships/hyperlink" Target="https://www.nbim.no/globalassets/reports/2005/2005-annual-report-eng.pdf" TargetMode="External"/><Relationship Id="rId341" Type="http://schemas.openxmlformats.org/officeDocument/2006/relationships/hyperlink" Target="https://www.cif.gov.il/en/publications/" TargetMode="External"/><Relationship Id="rId439" Type="http://schemas.openxmlformats.org/officeDocument/2006/relationships/hyperlink" Target="https://www.j-ic.co.jp/jp/finance/report/pdf/report210701_02.pdf" TargetMode="External"/><Relationship Id="rId646" Type="http://schemas.openxmlformats.org/officeDocument/2006/relationships/hyperlink" Target="https://web.archive.org/web/20220926095933/https:/www.bog.gov.gh/ghana-petroleum-funds/gpf-financial-statements/" TargetMode="External"/><Relationship Id="rId201" Type="http://schemas.openxmlformats.org/officeDocument/2006/relationships/hyperlink" Target="https://static1.squarespace.com/static/53924649e4b010f4651fd393/t/5e9e1193c3ef2e2ce082a030/1587417515324/IA2019-EF+N.pdf" TargetMode="External"/><Relationship Id="rId285" Type="http://schemas.openxmlformats.org/officeDocument/2006/relationships/hyperlink" Target="https://www.bancocentral.tl/uploads/documentos/documento_1733285325_8031.pdf" TargetMode="External"/><Relationship Id="rId506" Type="http://schemas.openxmlformats.org/officeDocument/2006/relationships/hyperlink" Target="https://www.tesourotransparente.gov.br/ckan/dataset/fundo-soberano-do-brasil/resource/3bcc65e0-7011-4699-9375-bbde0ca67a97" TargetMode="External"/><Relationship Id="rId492" Type="http://schemas.openxmlformats.org/officeDocument/2006/relationships/hyperlink" Target="https://pfr.pl/raporty-okresowe-i-biezace" TargetMode="External"/><Relationship Id="rId145" Type="http://schemas.openxmlformats.org/officeDocument/2006/relationships/hyperlink" Target="https://rmicfatf.com/file-repository/" TargetMode="External"/><Relationship Id="rId352" Type="http://schemas.openxmlformats.org/officeDocument/2006/relationships/hyperlink" Target="https://sk.kz/upload/iblock/001/consolidated-financial-statements-year-12-2023-236-en.pdf" TargetMode="External"/><Relationship Id="rId212" Type="http://schemas.openxmlformats.org/officeDocument/2006/relationships/hyperlink" Target="https://issuu.com/fundosoberanoao/docs/fsdea_annual-report_pt_2013_b4854b10169289?utm_medium=referral&amp;utm_source=fundosoberano.ao" TargetMode="External"/><Relationship Id="rId657" Type="http://schemas.openxmlformats.org/officeDocument/2006/relationships/hyperlink" Target="https://www.bog.gov.gh/wp-content/uploads/2021/07/GPF-Annual-Report-and-Financial-Statement-2018-Signed-Accounts.pdf" TargetMode="External"/><Relationship Id="rId296" Type="http://schemas.openxmlformats.org/officeDocument/2006/relationships/hyperlink" Target="https://www.finance.gov.tt/wp-content/uploads/2019/08/HSF-Annual-Report-2018.pdf" TargetMode="External"/><Relationship Id="rId517" Type="http://schemas.openxmlformats.org/officeDocument/2006/relationships/hyperlink" Target="https://fundosoberano.ao/en/" TargetMode="External"/><Relationship Id="rId60" Type="http://schemas.openxmlformats.org/officeDocument/2006/relationships/hyperlink" Target="https://www.ntma.ie/uploads/publication-articles/NPRF-Annual-Report-2004.pdf" TargetMode="External"/><Relationship Id="rId156" Type="http://schemas.openxmlformats.org/officeDocument/2006/relationships/hyperlink" Target="https://www.fmped.org.mx/informes/%7BF5053D62-DDFD-1D6F-B977-E116C1AC90C3%7D.pdf" TargetMode="External"/><Relationship Id="rId363" Type="http://schemas.openxmlformats.org/officeDocument/2006/relationships/hyperlink" Target="https://sk.kz/upload/iblock/419/419897d50e217eb2035eab6b63f6eb55.pdf" TargetMode="External"/><Relationship Id="rId570" Type="http://schemas.openxmlformats.org/officeDocument/2006/relationships/hyperlink" Target="https://www.nbim.no/contentassets/0ff9cd1d5c8e4737a7b7262d3ec167d4/norges-bank-investment-management-annual-report-2014.pdf" TargetMode="External"/><Relationship Id="rId223" Type="http://schemas.openxmlformats.org/officeDocument/2006/relationships/hyperlink" Target="https://www.futurefund.gov.au/-/media/03AC87A088294DAF906FCEF88EBF363D.ashx" TargetMode="External"/><Relationship Id="rId430" Type="http://schemas.openxmlformats.org/officeDocument/2006/relationships/hyperlink" Target="https://en.ufrd.uz/f/2020_yil_uchun_moliyaviy_hisobot_eng.pdf" TargetMode="External"/><Relationship Id="rId668" Type="http://schemas.openxmlformats.org/officeDocument/2006/relationships/hyperlink" Target="https://www.bog.gov.gh/ghana-petroleum-funds/gpf-financial-statements/" TargetMode="External"/><Relationship Id="rId18" Type="http://schemas.openxmlformats.org/officeDocument/2006/relationships/hyperlink" Target="https://www.kenfo.de/fileadmin/user_upload/geschaeftsberichte/kenfo_geschaeftsbericht_2021.pdf" TargetMode="External"/><Relationship Id="rId528" Type="http://schemas.openxmlformats.org/officeDocument/2006/relationships/hyperlink" Target="https://www.kic.kr/en/news/reports?p=7" TargetMode="External"/><Relationship Id="rId167" Type="http://schemas.openxmlformats.org/officeDocument/2006/relationships/hyperlink" Target="https://drive.google.com/file/d/0B25lQaincvKebS1MR1NVa1VmXzA/preview?rm=minimal&amp;resourcekey=0-dLJ8gX2leSHFgMpRn_9Ahg" TargetMode="External"/><Relationship Id="rId374" Type="http://schemas.openxmlformats.org/officeDocument/2006/relationships/hyperlink" Target="https://www.khazanah.com.my/media/uploads/2020/05/2016.pdf" TargetMode="External"/><Relationship Id="rId581" Type="http://schemas.openxmlformats.org/officeDocument/2006/relationships/hyperlink" Target="https://www.nbim.no/globalassets/reports/2001/annual-report-2001.pdf" TargetMode="External"/><Relationship Id="rId71" Type="http://schemas.openxmlformats.org/officeDocument/2006/relationships/hyperlink" Target="https://www.cdp.it/internet/public/cms/documents/FSI_RFA_2013_ITA.pdf" TargetMode="External"/><Relationship Id="rId234" Type="http://schemas.openxmlformats.org/officeDocument/2006/relationships/hyperlink" Target="https://www.futurefund.gov.au/-/media/A5E50B2302ED442B8DC14AD3A7A01AB1.ashx" TargetMode="External"/><Relationship Id="rId637" Type="http://schemas.openxmlformats.org/officeDocument/2006/relationships/hyperlink" Target="https://web.archive.org/web/20220926095933/https:/www.bog.gov.gh/ghana-petroleum-funds/gpf-financial-statements/" TargetMode="External"/><Relationship Id="rId679" Type="http://schemas.openxmlformats.org/officeDocument/2006/relationships/hyperlink" Target="https://eifo.dk/media/pcplswda/vf-aarsrapport-2022.pdf" TargetMode="External"/><Relationship Id="rId2" Type="http://schemas.openxmlformats.org/officeDocument/2006/relationships/hyperlink" Target="https://www.oilfund.az/report-and-statistics/get-download-file/flip/8_2003_en.pdf" TargetMode="External"/><Relationship Id="rId29" Type="http://schemas.openxmlformats.org/officeDocument/2006/relationships/hyperlink" Target="https://www.china-inv.cn/wps/wcm/connect/56536bd1-bb44-4254-ae08-fe1703894843/CICAnnualReport2014.pdf?MOD=AJPERES&amp;CACHEID=56536bd1-bb44-4254-ae08-fe1703894843" TargetMode="External"/><Relationship Id="rId276" Type="http://schemas.openxmlformats.org/officeDocument/2006/relationships/hyperlink" Target="https://www.bancocentral.tl/uploads/documentos/documento_1474853743_8013.pdf" TargetMode="External"/><Relationship Id="rId441" Type="http://schemas.openxmlformats.org/officeDocument/2006/relationships/hyperlink" Target="https://www.j-ic.co.jp/jp/finance/report/pdf/report230703_02.pdf" TargetMode="External"/><Relationship Id="rId483" Type="http://schemas.openxmlformats.org/officeDocument/2006/relationships/hyperlink" Target="https://www.fmped.org.mx/transparencia/%7BFF5EC50F-7250-8FED-EE87-19563671227B%7D.pdf" TargetMode="External"/><Relationship Id="rId539" Type="http://schemas.openxmlformats.org/officeDocument/2006/relationships/hyperlink" Target="https://nationalbank.kz/file/download/113068" TargetMode="External"/><Relationship Id="rId690" Type="http://schemas.openxmlformats.org/officeDocument/2006/relationships/hyperlink" Target="https://www.mof.gov.tw/download/18919" TargetMode="External"/><Relationship Id="rId704" Type="http://schemas.openxmlformats.org/officeDocument/2006/relationships/hyperlink" Target="https://ws.ndc.gov.tw/001/administrator/32/relfile/7030/33512/2d9791b4-5f89-4e31-b23b-7a7c9699f7f3.pdf" TargetMode="External"/><Relationship Id="rId40" Type="http://schemas.openxmlformats.org/officeDocument/2006/relationships/hyperlink" Target="https://growthfund.gr/wp-content/uploads/2018/09/Annual_Report_FY2017_en.pdf" TargetMode="External"/><Relationship Id="rId136" Type="http://schemas.openxmlformats.org/officeDocument/2006/relationships/hyperlink" Target="https://drive.google.com/file/d/1Q2ZCyLvhjMVgdOM8bpX1HMblsDCfDKgd/preview?rm=minimal" TargetMode="External"/><Relationship Id="rId178" Type="http://schemas.openxmlformats.org/officeDocument/2006/relationships/hyperlink" Target="https://fsmcfatf.com/file-repository/" TargetMode="External"/><Relationship Id="rId301" Type="http://schemas.openxmlformats.org/officeDocument/2006/relationships/hyperlink" Target="https://www.finance.gov.tt/wp-content/uploads/2024/08/WEB-%E2%80%A2-HSF-AR-2023.pdf" TargetMode="External"/><Relationship Id="rId343" Type="http://schemas.openxmlformats.org/officeDocument/2006/relationships/hyperlink" Target="https://www.cif.gov.il/media/zm3hyvk2/annual-report-2022-israel-citizens-foundation.pdf" TargetMode="External"/><Relationship Id="rId550" Type="http://schemas.openxmlformats.org/officeDocument/2006/relationships/hyperlink" Target="https://sfpim.be/en/about/the-figures/" TargetMode="External"/><Relationship Id="rId82" Type="http://schemas.openxmlformats.org/officeDocument/2006/relationships/hyperlink" Target="https://www.cdp.it/internet/public/cms/documents/CDP_Equity_RFA-2023_ENG.pdf" TargetMode="External"/><Relationship Id="rId203" Type="http://schemas.openxmlformats.org/officeDocument/2006/relationships/hyperlink" Target="https://static1.squarespace.com/static/53924649e4b010f4651fd393/t/62460aaa65f9144b3a5425af/1648757425835/IA2021_Version+Final.pdf" TargetMode="External"/><Relationship Id="rId385" Type="http://schemas.openxmlformats.org/officeDocument/2006/relationships/hyperlink" Target="https://icd.gov.ae/wp-content/uploads/2020/02/ICD-Consol-Dec-2013.pdf" TargetMode="External"/><Relationship Id="rId592" Type="http://schemas.openxmlformats.org/officeDocument/2006/relationships/hyperlink" Target="https://d22x99z9pyemfq.cloudfront.net/Mumtalakat-AnnualReports2022-FV_2023-06-26-082119_lgex.pdf" TargetMode="External"/><Relationship Id="rId606" Type="http://schemas.openxmlformats.org/officeDocument/2006/relationships/hyperlink" Target="https://d22x99z9pyemfq.cloudfront.net/Mumtalakat-Annual_Report-2007.pdf" TargetMode="External"/><Relationship Id="rId648" Type="http://schemas.openxmlformats.org/officeDocument/2006/relationships/hyperlink" Target="https://www.bog.gov.gh/wp-content/uploads/2022/11/Petroleum-Funds-2021-FS.pdf" TargetMode="External"/><Relationship Id="rId245" Type="http://schemas.openxmlformats.org/officeDocument/2006/relationships/hyperlink" Target="https://www.hacienda.cl/english/work-areas/international-finance/sovereign-wealth-funds/pension-reserve-fund/financial-situation/market-value" TargetMode="External"/><Relationship Id="rId287" Type="http://schemas.openxmlformats.org/officeDocument/2006/relationships/hyperlink" Target="https://www.finance.gov.tt/wp-content/uploads/2014/02/pubFF5CD4.pdf" TargetMode="External"/><Relationship Id="rId410" Type="http://schemas.openxmlformats.org/officeDocument/2006/relationships/hyperlink" Target="https://minfin.gov.ru/ru/document/?q_4=&amp;LIBRARY_ACTIVITY_SPHERE_4%5B%5D=5&amp;TYPE_ID_4%5B%5D=9&amp;P_DATE_from_4=&amp;P_DATE_to_4=&amp;M_DATE_from_4=&amp;M_DATE_to_4=&amp;t_4=-7284003952205215286&amp;order_4=&amp;dir_4=desc&amp;by_doc_number_4=0&amp;INF_BLOCK_ID_4=0" TargetMode="External"/><Relationship Id="rId452" Type="http://schemas.openxmlformats.org/officeDocument/2006/relationships/hyperlink" Target="https://fund.ge/en/for-investors/financial-reporting/" TargetMode="External"/><Relationship Id="rId494" Type="http://schemas.openxmlformats.org/officeDocument/2006/relationships/hyperlink" Target="https://pfr.pl/raporty-okresowe-i-biezace" TargetMode="External"/><Relationship Id="rId508" Type="http://schemas.openxmlformats.org/officeDocument/2006/relationships/hyperlink" Target="https://oebag.gv.at/en/berichte-downloads/" TargetMode="External"/><Relationship Id="rId105" Type="http://schemas.openxmlformats.org/officeDocument/2006/relationships/hyperlink" Target="https://mfin.gouvernement.lu/dam-assets/le-minist%C3%A8re/fondssouveraininteregenerationnel/comptes-et-rapports-d%E2%80%99activit%C3%A9s-annuels/Fonds-souverain-Comptes-annuels-31122019-pdf-A-final-002-.pdf" TargetMode="External"/><Relationship Id="rId147" Type="http://schemas.openxmlformats.org/officeDocument/2006/relationships/hyperlink" Target="https://www.fmped.org.mx/informes/%7BF5053D62-DDFD-1D6F-B977-E116C1AC90C3%7D.pdf" TargetMode="External"/><Relationship Id="rId312" Type="http://schemas.openxmlformats.org/officeDocument/2006/relationships/hyperlink" Target="https://www.tvf.com.tr/uploads/file/turkiye-varlik-fonu-ve-bagli-oliklari-31122022-eng-final.pdf" TargetMode="External"/><Relationship Id="rId354" Type="http://schemas.openxmlformats.org/officeDocument/2006/relationships/hyperlink" Target="https://sk.kz/upload/iblock/bc1/bc1e0e9690d55fa5426f823a0c1796db.pdf" TargetMode="External"/><Relationship Id="rId51" Type="http://schemas.openxmlformats.org/officeDocument/2006/relationships/hyperlink" Target="https://www.ntma.ie/national-pensions-reserve-fund-nprf?utm_source=chatgpt.com" TargetMode="External"/><Relationship Id="rId93" Type="http://schemas.openxmlformats.org/officeDocument/2006/relationships/hyperlink" Target="https://www.nicnbk.kz/backend/web/uploads/files/slider-documents/1590046429_Pq8Bksz4do.pdf" TargetMode="External"/><Relationship Id="rId189" Type="http://schemas.openxmlformats.org/officeDocument/2006/relationships/hyperlink" Target="https://nzsuperfund.nz/assets/Publications/Annual-Reports/Annual-Report-2002-03.pdf" TargetMode="External"/><Relationship Id="rId396" Type="http://schemas.openxmlformats.org/officeDocument/2006/relationships/hyperlink" Target="https://icd.gov.ae/wp-content/uploads/2020/02/ICD-Audited-Consolidated-FS-Dec-2014.pdf" TargetMode="External"/><Relationship Id="rId561" Type="http://schemas.openxmlformats.org/officeDocument/2006/relationships/hyperlink" Target="https://www.nbim.no/contentassets/594a78d6810040b8931d01306d502caa/gpfg-annual-report_2023.pdf" TargetMode="External"/><Relationship Id="rId617" Type="http://schemas.openxmlformats.org/officeDocument/2006/relationships/hyperlink" Target="https://nsia.com.ng/investor-relations/" TargetMode="External"/><Relationship Id="rId659" Type="http://schemas.openxmlformats.org/officeDocument/2006/relationships/hyperlink" Target="https://www.bog.gov.gh/wp-content/uploads/2021/07/GPF-FS-2015-SIGNED-ACCOUNTS-3.pdf" TargetMode="External"/><Relationship Id="rId214" Type="http://schemas.openxmlformats.org/officeDocument/2006/relationships/hyperlink" Target="https://issuu.com/fundosoberanoao/docs/relat_rio___contas_2019?utm_medium=referral&amp;utm_source=fundosoberano.ao" TargetMode="External"/><Relationship Id="rId256" Type="http://schemas.openxmlformats.org/officeDocument/2006/relationships/hyperlink" Target="../../ASHIMINE/AppData/Local/AppData/Local/Temp/MicrosoftEdgeDownloads/06b719ff-a69e-4a03-9861-d246243a23bc/NTMA-Annual-Report-2017.pdf" TargetMode="External"/><Relationship Id="rId298" Type="http://schemas.openxmlformats.org/officeDocument/2006/relationships/hyperlink" Target="https://www.finance.gov.tt/wp-content/uploads/2021/05/HSF-Annual-Report-2020.pdf" TargetMode="External"/><Relationship Id="rId421" Type="http://schemas.openxmlformats.org/officeDocument/2006/relationships/hyperlink" Target="https://www.sepi.es/sites/default/files/2017-11/informeanualsepi2005.pdf" TargetMode="External"/><Relationship Id="rId463" Type="http://schemas.openxmlformats.org/officeDocument/2006/relationships/hyperlink" Target="https://fund.ge/wp-content/uploads/PF_FS_2015.pdf" TargetMode="External"/><Relationship Id="rId519" Type="http://schemas.openxmlformats.org/officeDocument/2006/relationships/hyperlink" Target="https://www.anh.gov.co/es/operaciones-y-regal%C3%ADas/regal%C3%ADas-de-producci%C3%B3n/estadisticas-antes-del-sgr/" TargetMode="External"/><Relationship Id="rId670" Type="http://schemas.openxmlformats.org/officeDocument/2006/relationships/hyperlink" Target="https://web.archive.org/web/20220926095933/https:/www.bog.gov.gh/ghana-petroleum-funds/gpf-financial-statements/" TargetMode="External"/><Relationship Id="rId116" Type="http://schemas.openxmlformats.org/officeDocument/2006/relationships/hyperlink" Target="https://ndsf.com.mt/wp-content/uploads/2023/08/Annual-Report-2018.pdf" TargetMode="External"/><Relationship Id="rId158" Type="http://schemas.openxmlformats.org/officeDocument/2006/relationships/hyperlink" Target="https://drive.google.com/file/d/0B25lQaincvKeRDdhcWtYYmJmZU0/preview?rm=minimal&amp;resourcekey=0-92_L2M_Cr22X_QBLoXsOOg" TargetMode="External"/><Relationship Id="rId323" Type="http://schemas.openxmlformats.org/officeDocument/2006/relationships/hyperlink" Target="https://www.nbim.no/en/news-and-insights/reports/" TargetMode="External"/><Relationship Id="rId530" Type="http://schemas.openxmlformats.org/officeDocument/2006/relationships/hyperlink" Target="https://www.khazanah.com.my/media-downloads/the-khazanah-report/" TargetMode="External"/><Relationship Id="rId20" Type="http://schemas.openxmlformats.org/officeDocument/2006/relationships/hyperlink" Target="https://www.china-inv.cn/chinainven/Media/Annual_Report.shtml" TargetMode="External"/><Relationship Id="rId62" Type="http://schemas.openxmlformats.org/officeDocument/2006/relationships/hyperlink" Target="https://www.ntma.ie/uploads/publication-articles/NPRF-Annual-Report-2006.pdf" TargetMode="External"/><Relationship Id="rId365" Type="http://schemas.openxmlformats.org/officeDocument/2006/relationships/hyperlink" Target="https://sk.kz/upload/iblock/533/533f714fef18b18ea8fd56736d682f5b.pdf" TargetMode="External"/><Relationship Id="rId572" Type="http://schemas.openxmlformats.org/officeDocument/2006/relationships/hyperlink" Target="https://www.nbim.no/contentassets/0ff9cd1d5c8e4737a7b7262d3ec167d4/norges-bank-investment-management-annual-report-2014.pdf" TargetMode="External"/><Relationship Id="rId628" Type="http://schemas.openxmlformats.org/officeDocument/2006/relationships/hyperlink" Target="https://www.bog.gov.gh/ghana-petroleum-funds/gpf-financial-statements/" TargetMode="External"/><Relationship Id="rId225" Type="http://schemas.openxmlformats.org/officeDocument/2006/relationships/hyperlink" Target="https://www.futurefund.gov.au/-/media/0157BE4A07D34753B5B44FBFDBB3DE01.ashx" TargetMode="External"/><Relationship Id="rId267" Type="http://schemas.openxmlformats.org/officeDocument/2006/relationships/hyperlink" Target="https://www.bancocentral.tl/uploads/documentos/documento_1474853000_2323.pdf" TargetMode="External"/><Relationship Id="rId432" Type="http://schemas.openxmlformats.org/officeDocument/2006/relationships/hyperlink" Target="https://en.ufrd.uz/f/2018-yil_uchun_buxgalteriya_balansi_va_moliyaviy_natijalar_togrisida_hisobot.pdf" TargetMode="External"/><Relationship Id="rId474" Type="http://schemas.openxmlformats.org/officeDocument/2006/relationships/hyperlink" Target="https://mgis.com.mt/wp-content/uploads/2022/10/MGI-Investment-Activity-2019.pdf" TargetMode="External"/><Relationship Id="rId127" Type="http://schemas.openxmlformats.org/officeDocument/2006/relationships/hyperlink" Target="https://drive.google.com/file/d/0B4gcUaZXjZztdmVtX1JnSjhvUW8/preview?rm=minimal&amp;resourcekey=0-dHrFRQOOFexyGzIq3wRG5A" TargetMode="External"/><Relationship Id="rId681" Type="http://schemas.openxmlformats.org/officeDocument/2006/relationships/hyperlink" Target="https://www.eifo.dk/media/ia3lvn0l/eifo-annual-report-2024.pdf" TargetMode="External"/><Relationship Id="rId31" Type="http://schemas.openxmlformats.org/officeDocument/2006/relationships/hyperlink" Target="https://www.china-inv.cn/wps/wcm/connect/f16ecfee-5ce2-453e-8a5c-45c0f0874a9a/CICAnnualReport2016.pdf?MOD=AJPERES&amp;CACHEID=f16ecfee-5ce2-453e-8a5c-45c0f0874a9a" TargetMode="External"/><Relationship Id="rId73" Type="http://schemas.openxmlformats.org/officeDocument/2006/relationships/hyperlink" Target="https://www.cdp.it/internet/public/cms/documents/FSI_RFA_2015_ENG.pdf" TargetMode="External"/><Relationship Id="rId169" Type="http://schemas.openxmlformats.org/officeDocument/2006/relationships/hyperlink" Target="https://drive.google.com/file/d/1rM8M94_JxqDzaUC256dkA_2FnrFhtTMF/preview?rm=minimal" TargetMode="External"/><Relationship Id="rId334" Type="http://schemas.openxmlformats.org/officeDocument/2006/relationships/hyperlink" Target="https://www.mef.gob.pe/contenidos/tesoro_pub/fef/FEF2009.pdf" TargetMode="External"/><Relationship Id="rId376" Type="http://schemas.openxmlformats.org/officeDocument/2006/relationships/hyperlink" Target="https://www.khazanah.com.my/media/uploads/2020/07/TKR2019_ENG.pdf" TargetMode="External"/><Relationship Id="rId541" Type="http://schemas.openxmlformats.org/officeDocument/2006/relationships/hyperlink" Target="https://nationalbank.kz/file/download/1104" TargetMode="External"/><Relationship Id="rId583" Type="http://schemas.openxmlformats.org/officeDocument/2006/relationships/hyperlink" Target="https://www.nbim.no/globalassets/reports/2000_1999_-1998/1999-annual-report-eng.pdf" TargetMode="External"/><Relationship Id="rId639" Type="http://schemas.openxmlformats.org/officeDocument/2006/relationships/hyperlink" Target="https://www.bog.gov.gh/ghana-petroleum-funds/gpf-financial-statements/" TargetMode="External"/><Relationship Id="rId4" Type="http://schemas.openxmlformats.org/officeDocument/2006/relationships/hyperlink" Target="https://www.oilfund.az/report-and-statistics/get-download-file/flip/8_2007_en.pdf" TargetMode="External"/><Relationship Id="rId180" Type="http://schemas.openxmlformats.org/officeDocument/2006/relationships/hyperlink" Target="https://naurufinance.info/wp-content/uploads/2020/07/signed_audited_-_2016_audited_financial_statements.pdf" TargetMode="External"/><Relationship Id="rId236" Type="http://schemas.openxmlformats.org/officeDocument/2006/relationships/hyperlink" Target="https://www.futurefund.gov.au/-/media/A177CB70DF89432789D6A8CF08A830EF.ashx" TargetMode="External"/><Relationship Id="rId278" Type="http://schemas.openxmlformats.org/officeDocument/2006/relationships/hyperlink" Target="https://www.bancocentral.tl/uploads/documentos/documento_1534826066_1536.pdf" TargetMode="External"/><Relationship Id="rId401" Type="http://schemas.openxmlformats.org/officeDocument/2006/relationships/hyperlink" Target="https://www.temasek.com.sg/en/our-financials/library/temasek-review" TargetMode="External"/><Relationship Id="rId443" Type="http://schemas.openxmlformats.org/officeDocument/2006/relationships/hyperlink" Target="https://www.j-ic.co.jp/jp/finance/report/pdf/report2506_02.pdf" TargetMode="External"/><Relationship Id="rId650" Type="http://schemas.openxmlformats.org/officeDocument/2006/relationships/hyperlink" Target="https://www.bog.gov.gh/wp-content/uploads/2022/11/Petroleum-Funds-2020-FS.pdf" TargetMode="External"/><Relationship Id="rId303" Type="http://schemas.openxmlformats.org/officeDocument/2006/relationships/hyperlink" Target="https://www.finance.gov.tt/publications/heritage-and-stabilisation-fund/" TargetMode="External"/><Relationship Id="rId485" Type="http://schemas.openxmlformats.org/officeDocument/2006/relationships/hyperlink" Target="https://www.fmped.org.mx/informes/%7B7DBA511A-28DB-82A0-9C7D-73921B4858F7%7D.pdf" TargetMode="External"/><Relationship Id="rId692" Type="http://schemas.openxmlformats.org/officeDocument/2006/relationships/hyperlink" Target="https://www.mof.gov.tw/download/07a3ea8f8b8a4e95a534f19289abb9a6" TargetMode="External"/><Relationship Id="rId706" Type="http://schemas.openxmlformats.org/officeDocument/2006/relationships/hyperlink" Target="https://ws.ndc.gov.tw/001/administrator/32/relfile/7030/33509/b7c37769-cd6f-4892-a989-fe07c96bce49.pdf" TargetMode="External"/><Relationship Id="rId42" Type="http://schemas.openxmlformats.org/officeDocument/2006/relationships/hyperlink" Target="https://growthfund.gr/wp-content/uploads/2019/12/Annual-Financial-Statements-2018.pdf" TargetMode="External"/><Relationship Id="rId84" Type="http://schemas.openxmlformats.org/officeDocument/2006/relationships/hyperlink" Target="https://www.cdp.it/sitointernet/en/cdp_equity_bilanci.page" TargetMode="External"/><Relationship Id="rId138" Type="http://schemas.openxmlformats.org/officeDocument/2006/relationships/hyperlink" Target="https://drive.google.com/file/d/1hTQaHn_t1bBW_Ai3BvqrBKp7Zk8Ln-Vx/preview?rm=minimal" TargetMode="External"/><Relationship Id="rId345" Type="http://schemas.openxmlformats.org/officeDocument/2006/relationships/hyperlink" Target="https://sk.kz/investors/financial-performance/fin-report.php?lang=en&amp;utm_source=chatgpt.com" TargetMode="External"/><Relationship Id="rId387" Type="http://schemas.openxmlformats.org/officeDocument/2006/relationships/hyperlink" Target="https://icd.gov.ae/wp-content/uploads/2024/05/ICD_Consolidated_FS_YE_2023_Signed.pdf" TargetMode="External"/><Relationship Id="rId510" Type="http://schemas.openxmlformats.org/officeDocument/2006/relationships/hyperlink" Target="https://oebag.gv.at/en/berichte-downloads/" TargetMode="External"/><Relationship Id="rId552" Type="http://schemas.openxmlformats.org/officeDocument/2006/relationships/hyperlink" Target="https://sfpim.be/uploads/2022/05/sfpi_rapport_annuel_2009.pdf" TargetMode="External"/><Relationship Id="rId594" Type="http://schemas.openxmlformats.org/officeDocument/2006/relationships/hyperlink" Target="https://d22x99z9pyemfq.cloudfront.net/Mumtalakat-Annual_Report-2019.pdf" TargetMode="External"/><Relationship Id="rId608" Type="http://schemas.openxmlformats.org/officeDocument/2006/relationships/hyperlink" Target="https://d22x99z9pyemfq.cloudfront.net/Annual-Report-2024_LR_2025-09-11-192447_widx.pdf" TargetMode="External"/><Relationship Id="rId191" Type="http://schemas.openxmlformats.org/officeDocument/2006/relationships/hyperlink" Target="https://nzsuperfund.nz/assets/Publications/Annual-Reports/Annual-Report-2008-09.pdf" TargetMode="External"/><Relationship Id="rId205" Type="http://schemas.openxmlformats.org/officeDocument/2006/relationships/hyperlink" Target="https://static1.squarespace.com/static/53924649e4b010f4651fd393/t/66031f12a1ad007dc03700aa/1711480604176/IA2023+Version+Final.pdf" TargetMode="External"/><Relationship Id="rId247" Type="http://schemas.openxmlformats.org/officeDocument/2006/relationships/hyperlink" Target="https://www.hacienda.cl/areas-de-trabajo/finanzas-internacionales/fondos-soberanos/fondo-de-reserva-de-pensiones/informe-anual/informe-anual-fondos-soberanos-2020" TargetMode="External"/><Relationship Id="rId412" Type="http://schemas.openxmlformats.org/officeDocument/2006/relationships/hyperlink" Target="https://minfin.gov.ru/ru/document?id_4=93488-dannye_o_dvizhenii_sredstv_i_rezultatakh_upravleniya_sredstvami_fonda_natsionalnogo_blagosostoyaniya" TargetMode="External"/><Relationship Id="rId107" Type="http://schemas.openxmlformats.org/officeDocument/2006/relationships/hyperlink" Target="https://mfin.gouvernement.lu/dam-assets/le-minist%C3%A8re/fondssouveraininteregenerationnel/comptes-et-rapports-d%E2%80%99activit%C3%A9s-annuels/Comptes-et-rapport-d-activites-annuels-2020.pdf" TargetMode="External"/><Relationship Id="rId289" Type="http://schemas.openxmlformats.org/officeDocument/2006/relationships/hyperlink" Target="https://www.finance.gov.tt/wp-content/uploads/2014/02/HSF_2012.pdf" TargetMode="External"/><Relationship Id="rId454" Type="http://schemas.openxmlformats.org/officeDocument/2006/relationships/hyperlink" Target="https://fund.ge/wp-content/uploads/DFG-Consolidated-FS-2024-ENG.pdf" TargetMode="External"/><Relationship Id="rId496" Type="http://schemas.openxmlformats.org/officeDocument/2006/relationships/hyperlink" Target="https://www.khazanah.com.my/downloads/TKR2024_ENG.pdf" TargetMode="External"/><Relationship Id="rId661" Type="http://schemas.openxmlformats.org/officeDocument/2006/relationships/hyperlink" Target="https://web.archive.org/web/20220926095933/https:/www.bog.gov.gh/ghana-petroleum-funds/gpf-financial-statements/" TargetMode="External"/><Relationship Id="rId11" Type="http://schemas.openxmlformats.org/officeDocument/2006/relationships/hyperlink" Target="https://www.tesourotransparente.gov.br/ckan/dataset/fundo-soberano-do-brasil?utm_source=chatgpt.com" TargetMode="External"/><Relationship Id="rId53" Type="http://schemas.openxmlformats.org/officeDocument/2006/relationships/hyperlink" Target="https://bankofguyana.org.gy/bog/images/accounts_budgeting/natural_resource_fund/financial_statements/nrf_audited_financial_statements_2023.pdf" TargetMode="External"/><Relationship Id="rId149" Type="http://schemas.openxmlformats.org/officeDocument/2006/relationships/hyperlink" Target="https://www.fmped.org.mx/transparencia/%7B2917A6FA-869E-4A67-E354-91AF0BD45513%7D.pdf" TargetMode="External"/><Relationship Id="rId314" Type="http://schemas.openxmlformats.org/officeDocument/2006/relationships/hyperlink" Target="https://www.tvf.com.tr/en/who-we-are/about-us/general-info" TargetMode="External"/><Relationship Id="rId356" Type="http://schemas.openxmlformats.org/officeDocument/2006/relationships/hyperlink" Target="https://sk.kz/upload/iblock/1b7/1b70f736693643272f6504d19bbd90b9.pdf" TargetMode="External"/><Relationship Id="rId398" Type="http://schemas.openxmlformats.org/officeDocument/2006/relationships/hyperlink" Target="https://tr23.temasekreview.com.sg/group-financials/group-balance-sheets.html" TargetMode="External"/><Relationship Id="rId521" Type="http://schemas.openxmlformats.org/officeDocument/2006/relationships/hyperlink" Target="https://www.kenfo.de/start" TargetMode="External"/><Relationship Id="rId563" Type="http://schemas.openxmlformats.org/officeDocument/2006/relationships/hyperlink" Target="https://www.nbim.no/contentassets/f8c5e301ff804c09881b1beb5299dc30/gpfg-annual-report-2021.pdf" TargetMode="External"/><Relationship Id="rId619" Type="http://schemas.openxmlformats.org/officeDocument/2006/relationships/hyperlink" Target="https://nsia.com.ng/investor-relations/nsia-2013-annual-report/" TargetMode="External"/><Relationship Id="rId95" Type="http://schemas.openxmlformats.org/officeDocument/2006/relationships/hyperlink" Target="https://www.nicnbk.kz/backend/web/uploads/files/slider-documents/1590046664_UO9UZ9VuJb.pdf" TargetMode="External"/><Relationship Id="rId160" Type="http://schemas.openxmlformats.org/officeDocument/2006/relationships/hyperlink" Target="https://drive.google.com/file/d/0B25lQaincvKeX29XblBLV3JkR0k/preview?rm=minimal&amp;resourcekey=0-FN16Ba6zdXol45KPLYSu3Q" TargetMode="External"/><Relationship Id="rId216" Type="http://schemas.openxmlformats.org/officeDocument/2006/relationships/hyperlink" Target="https://issuu.com/fundosoberanoao/docs/fsdea_annual_report_pt_11_62d3d7684ef690?utm_medium=referral&amp;utm_source=fundosoberano.ao" TargetMode="External"/><Relationship Id="rId423" Type="http://schemas.openxmlformats.org/officeDocument/2006/relationships/hyperlink" Target="https://www.sepi.es/sites/default/files/2017-11/memoria_sepi_2005.pdf" TargetMode="External"/><Relationship Id="rId258" Type="http://schemas.openxmlformats.org/officeDocument/2006/relationships/hyperlink" Target="../../ASHIMINE/AppData/Local/AppData/Local/Temp/MicrosoftEdgeDownloads/26b05cec-7c56-4cb1-8c45-b192dc1c8662/NTMA-Annual-Report-2019-English.pdf" TargetMode="External"/><Relationship Id="rId465" Type="http://schemas.openxmlformats.org/officeDocument/2006/relationships/hyperlink" Target="https://fund.ge/wp-content/uploads/PF_FS_2013.pdf" TargetMode="External"/><Relationship Id="rId630" Type="http://schemas.openxmlformats.org/officeDocument/2006/relationships/hyperlink" Target="https://www.bog.gov.gh/ghana-petroleum-funds/gpf-financial-statements/" TargetMode="External"/><Relationship Id="rId672" Type="http://schemas.openxmlformats.org/officeDocument/2006/relationships/hyperlink" Target="https://www.eifo.dk/en/about/annual-report/" TargetMode="External"/><Relationship Id="rId22" Type="http://schemas.openxmlformats.org/officeDocument/2006/relationships/hyperlink" Target="https://www.solidium.fi/en/annual-report/" TargetMode="External"/><Relationship Id="rId64" Type="http://schemas.openxmlformats.org/officeDocument/2006/relationships/hyperlink" Target="https://www.ntma.ie/uploads/publication-articles/NPRF-Annual-Report-2008.pdf" TargetMode="External"/><Relationship Id="rId118" Type="http://schemas.openxmlformats.org/officeDocument/2006/relationships/hyperlink" Target="https://ndsf.com.mt/wp-content/uploads/2023/08/Annual-Report-2020.pdf" TargetMode="External"/><Relationship Id="rId325" Type="http://schemas.openxmlformats.org/officeDocument/2006/relationships/hyperlink" Target="https://www.mef.gob.pe/contenidos/tesoro_pub/fef/FEF2007.pdf" TargetMode="External"/><Relationship Id="rId367" Type="http://schemas.openxmlformats.org/officeDocument/2006/relationships/hyperlink" Target="https://www.khazanah.com.my/media/uploads/2020/05/2013.pdf" TargetMode="External"/><Relationship Id="rId532" Type="http://schemas.openxmlformats.org/officeDocument/2006/relationships/hyperlink" Target="https://www.fmped.org.mx/rendicion-cuentas.html" TargetMode="External"/><Relationship Id="rId574" Type="http://schemas.openxmlformats.org/officeDocument/2006/relationships/hyperlink" Target="https://www.nbim.no/globalassets/reports/2010/english-annual-report-2010-24-march-printed.pdf" TargetMode="External"/><Relationship Id="rId171" Type="http://schemas.openxmlformats.org/officeDocument/2006/relationships/hyperlink" Target="https://drive.google.com/file/d/1RTyN7xLQFEE54LrsdsX92FVjsug5Jl5_/preview?rm=minimal" TargetMode="External"/><Relationship Id="rId227" Type="http://schemas.openxmlformats.org/officeDocument/2006/relationships/hyperlink" Target="https://www.futurefund.gov.au/en/About-us/-/media/F392074E5C624A19A0ACA3809B6AE366.ashx" TargetMode="External"/><Relationship Id="rId269" Type="http://schemas.openxmlformats.org/officeDocument/2006/relationships/hyperlink" Target="https://www.bancocentral.tl/uploads/documentos/documento_1474853136_1660.pdf" TargetMode="External"/><Relationship Id="rId434" Type="http://schemas.openxmlformats.org/officeDocument/2006/relationships/hyperlink" Target="https://en.ufrd.uz/f/frru_fo_2023_eng_compressed.pdf" TargetMode="External"/><Relationship Id="rId476" Type="http://schemas.openxmlformats.org/officeDocument/2006/relationships/hyperlink" Target="https://www.fmped.org.mx/informes/%7BF5053D62-DDFD-1D6F-B977-E116C1AC90C3%7D.pdf" TargetMode="External"/><Relationship Id="rId641" Type="http://schemas.openxmlformats.org/officeDocument/2006/relationships/hyperlink" Target="https://www.bog.gov.gh/ghana-petroleum-funds/gpf-financial-statements/" TargetMode="External"/><Relationship Id="rId683" Type="http://schemas.openxmlformats.org/officeDocument/2006/relationships/hyperlink" Target="https://www.bpifrance.fr/investor-relations" TargetMode="External"/><Relationship Id="rId33" Type="http://schemas.openxmlformats.org/officeDocument/2006/relationships/hyperlink" Target="https://www.china-inv.cn/chinainven/xhtml/Media/2018EN.pdf" TargetMode="External"/><Relationship Id="rId129" Type="http://schemas.openxmlformats.org/officeDocument/2006/relationships/hyperlink" Target="https://drive.google.com/file/d/0B4gcUaZXjZztSGlYWE5CeHMzN2M/preview?rm=minimal&amp;resourcekey=0-vgyZZOSSJG0Hu4jUoWPB8g" TargetMode="External"/><Relationship Id="rId280" Type="http://schemas.openxmlformats.org/officeDocument/2006/relationships/hyperlink" Target="https://www.bancocentral.tl/uploads/documentos/documento_1759189096_1147.pdf" TargetMode="External"/><Relationship Id="rId336" Type="http://schemas.openxmlformats.org/officeDocument/2006/relationships/hyperlink" Target="https://www.mef.gob.pe/contenidos/tesoro_pub/fef/informe_FEF_anual_2023.pdf" TargetMode="External"/><Relationship Id="rId501" Type="http://schemas.openxmlformats.org/officeDocument/2006/relationships/hyperlink" Target="https://www.mf.gov.cv/web/mf/informa%C3%A7%C3%B5es-individuais-das-empresas-p%C3%BAblicas-e-participadas-do-estado/-/document_library/0Hex4KiPTOcH/view/3630088" TargetMode="External"/><Relationship Id="rId543" Type="http://schemas.openxmlformats.org/officeDocument/2006/relationships/hyperlink" Target="https://nationalbank.kz/file/download/1106" TargetMode="External"/><Relationship Id="rId75" Type="http://schemas.openxmlformats.org/officeDocument/2006/relationships/hyperlink" Target="https://www.cdp.it/internet/public/cms/documents/CDP_EQUITY_RFA_2017_ITA.pdf" TargetMode="External"/><Relationship Id="rId140" Type="http://schemas.openxmlformats.org/officeDocument/2006/relationships/hyperlink" Target="https://drive.google.com/file/d/1cfDOkqHWRf0x9zCWN7cisx238nWOhf70/preview?rm=minimal" TargetMode="External"/><Relationship Id="rId182" Type="http://schemas.openxmlformats.org/officeDocument/2006/relationships/hyperlink" Target="https://naurufinance.info/wp-content/uploads/2020/07/2018_annual_report_-_final.pdf" TargetMode="External"/><Relationship Id="rId378" Type="http://schemas.openxmlformats.org/officeDocument/2006/relationships/hyperlink" Target="https://www.khazanah.com.my/media/uploads/2022/07/TKR2021_ENG.pdf" TargetMode="External"/><Relationship Id="rId403" Type="http://schemas.openxmlformats.org/officeDocument/2006/relationships/hyperlink" Target="https://www.minhacienda.gov.co/fondo-de-ahorro-y-estabilizaci%C3%B3n-fae" TargetMode="External"/><Relationship Id="rId585" Type="http://schemas.openxmlformats.org/officeDocument/2006/relationships/hyperlink" Target="https://www.nbim.no/globalassets/reports/2000_1999_-1998/1998-en.pdf" TargetMode="External"/><Relationship Id="rId6" Type="http://schemas.openxmlformats.org/officeDocument/2006/relationships/hyperlink" Target="https://www.oilfund.az/report-and-statistics/get-download-file/flip/8_2015_en.pdf" TargetMode="External"/><Relationship Id="rId238" Type="http://schemas.openxmlformats.org/officeDocument/2006/relationships/hyperlink" Target="https://fundosoberano.cv/index.php/resources/documents/Relatorio_de_contas_2024_eng.pdf" TargetMode="External"/><Relationship Id="rId445" Type="http://schemas.openxmlformats.org/officeDocument/2006/relationships/hyperlink" Target="https://www.j-ic.co.jp/jp/notice/report/" TargetMode="External"/><Relationship Id="rId487" Type="http://schemas.openxmlformats.org/officeDocument/2006/relationships/hyperlink" Target="https://www.monacostatistics.mc/Publications/Focus" TargetMode="External"/><Relationship Id="rId610" Type="http://schemas.openxmlformats.org/officeDocument/2006/relationships/hyperlink" Target="https://mfed.gov.ki/sites/default/files/2025-08/RERF%20Annual%20Report%202024_Final.pdf" TargetMode="External"/><Relationship Id="rId652" Type="http://schemas.openxmlformats.org/officeDocument/2006/relationships/hyperlink" Target="https://www.bog.gov.gh/wp-content/uploads/2023/05/Petroleum-Funds-2022-FS-Signed-Accounts.pdf" TargetMode="External"/><Relationship Id="rId694" Type="http://schemas.openxmlformats.org/officeDocument/2006/relationships/hyperlink" Target="https://www.mof.gov.tw/Eng/download/d942efbb02da4cebbb171ef6770e780c" TargetMode="External"/><Relationship Id="rId708" Type="http://schemas.openxmlformats.org/officeDocument/2006/relationships/hyperlink" Target="https://ws.ndc.gov.tw/001/administrator/32/relfile/7030/33507/fb97a829-99a9-41bd-8fc0-8a13e237a961.pdf" TargetMode="External"/><Relationship Id="rId291" Type="http://schemas.openxmlformats.org/officeDocument/2006/relationships/hyperlink" Target="https://www.finance.gov.tt/wp-content/uploads/2014/06/HSF-2013-Annual-Report.pdf" TargetMode="External"/><Relationship Id="rId305" Type="http://schemas.openxmlformats.org/officeDocument/2006/relationships/hyperlink" Target="https://www.tvf.com.tr/uploads/file/2018-twf-consolidated-financial-statements-31-december-2018.pdf" TargetMode="External"/><Relationship Id="rId347" Type="http://schemas.openxmlformats.org/officeDocument/2006/relationships/hyperlink" Target="https://sk.kz/investors/financial-performance/fin-report.php?lang=en&amp;utm_source=chatgpt.com" TargetMode="External"/><Relationship Id="rId512" Type="http://schemas.openxmlformats.org/officeDocument/2006/relationships/hyperlink" Target="https://oebag.gv.at/en/berichte-downloads/" TargetMode="External"/><Relationship Id="rId44" Type="http://schemas.openxmlformats.org/officeDocument/2006/relationships/hyperlink" Target="https://growthfund.gr/wp-content/uploads/2023/01/Annual-Report-2021_EN.pdf" TargetMode="External"/><Relationship Id="rId86" Type="http://schemas.openxmlformats.org/officeDocument/2006/relationships/hyperlink" Target="https://www.solidium.fi/en/annual-report/" TargetMode="External"/><Relationship Id="rId151" Type="http://schemas.openxmlformats.org/officeDocument/2006/relationships/hyperlink" Target="https://www.fmped.org.mx/transparencia/%7B6BA8FB0E-26B0-993D-532C-AFCBC875AC9D%7D.pdf" TargetMode="External"/><Relationship Id="rId389" Type="http://schemas.openxmlformats.org/officeDocument/2006/relationships/hyperlink" Target="https://icd.gov.ae/wp-content/uploads/2022/05/ICD_Consolidated_FS_YE_2021_Signed.pdf" TargetMode="External"/><Relationship Id="rId554" Type="http://schemas.openxmlformats.org/officeDocument/2006/relationships/hyperlink" Target="https://sfpim.be/uploads/2022/05/sfpi_rapport_annuel_2013.pdf" TargetMode="External"/><Relationship Id="rId596" Type="http://schemas.openxmlformats.org/officeDocument/2006/relationships/hyperlink" Target="https://d22x99z9pyemfq.cloudfront.net/mumtalakat-annual_report-2017.pdf" TargetMode="External"/><Relationship Id="rId193" Type="http://schemas.openxmlformats.org/officeDocument/2006/relationships/hyperlink" Target="https://nzsuperfund.nz/publications/annual-reports/" TargetMode="External"/><Relationship Id="rId207" Type="http://schemas.openxmlformats.org/officeDocument/2006/relationships/hyperlink" Target="https://www.fondoahorropanama.com/informes-anuales" TargetMode="External"/><Relationship Id="rId249" Type="http://schemas.openxmlformats.org/officeDocument/2006/relationships/hyperlink" Target="https://www.hacienda.cl/areas-de-trabajo/finanzas-internacionales/fondos-soberanos/fondo-de-reserva-de-pensiones/informe-anual/informe-anual-fondos-soberanos-2015" TargetMode="External"/><Relationship Id="rId414" Type="http://schemas.openxmlformats.org/officeDocument/2006/relationships/hyperlink" Target="https://www.sepi.es/sites/default/files/2017-11/informeanualsepi2012.pdf" TargetMode="External"/><Relationship Id="rId456" Type="http://schemas.openxmlformats.org/officeDocument/2006/relationships/hyperlink" Target="https://fund.ge/wp-content/uploads/PF-Consolidated-FS-2022-ENG.pdf" TargetMode="External"/><Relationship Id="rId498" Type="http://schemas.openxmlformats.org/officeDocument/2006/relationships/hyperlink" Target="https://www.oilfund.az/en/report-and-statistics/report-archive" TargetMode="External"/><Relationship Id="rId621" Type="http://schemas.openxmlformats.org/officeDocument/2006/relationships/hyperlink" Target="https://drive.google.com/file/d/1cyCDX5W_9tSshkuQAD8wv2vhSKHWcx5t/view" TargetMode="External"/><Relationship Id="rId663" Type="http://schemas.openxmlformats.org/officeDocument/2006/relationships/hyperlink" Target="https://web.archive.org/web/20220926095933/https:/www.bog.gov.gh/ghana-petroleum-funds/gpf-financial-statements/" TargetMode="External"/><Relationship Id="rId13" Type="http://schemas.openxmlformats.org/officeDocument/2006/relationships/hyperlink" Target="https://www.gov.br/tesouronacional/pt-br/ativos-da-uniao/fundos-governamentais/fundo-soberano-do-brasil-fsb/publicacoes-do-fsb" TargetMode="External"/><Relationship Id="rId109" Type="http://schemas.openxmlformats.org/officeDocument/2006/relationships/hyperlink" Target="https://mfin.gouvernement.lu/dam-assets/le-minist%C3%A8re/fondssouveraininteregenerationnel/comptes-et-rapports-d%E2%80%99activit%C3%A9s-annuels/comptes-et-rapport-dactivits-annuels-2023.pdf" TargetMode="External"/><Relationship Id="rId260" Type="http://schemas.openxmlformats.org/officeDocument/2006/relationships/hyperlink" Target="../../ASHIMINE/AppData/Local/AppData/Local/Temp/MicrosoftEdgeDownloads/51b635f4-381a-47ad-97ad-ab066fa67042/NTMA-Annual-Report-2020-English_2021-10-07-160213_mnlq.pdf" TargetMode="External"/><Relationship Id="rId316" Type="http://schemas.openxmlformats.org/officeDocument/2006/relationships/hyperlink" Target="https://growthfund.gr/" TargetMode="External"/><Relationship Id="rId523" Type="http://schemas.openxmlformats.org/officeDocument/2006/relationships/hyperlink" Target="https://growthfund.gr/" TargetMode="External"/><Relationship Id="rId55" Type="http://schemas.openxmlformats.org/officeDocument/2006/relationships/hyperlink" Target="https://bankofguyana.org.gy/bog/images/accounts_budgeting/natural_resource_fund/financial_statements/nrf_audited_financial_statements_2021.pdf" TargetMode="External"/><Relationship Id="rId97" Type="http://schemas.openxmlformats.org/officeDocument/2006/relationships/hyperlink" Target="https://www.nicnbk.kz/backend/web/uploads/files/slider-documents/1653635861_evX3X7oZqg.pdf" TargetMode="External"/><Relationship Id="rId120" Type="http://schemas.openxmlformats.org/officeDocument/2006/relationships/hyperlink" Target="https://ndsf.com.mt/wp-content/uploads/2025/01/0000-EQ93-National-Development-and-Social-Fund-NDSF-Annual-Report-2022-v5-LR.pdf" TargetMode="External"/><Relationship Id="rId358" Type="http://schemas.openxmlformats.org/officeDocument/2006/relationships/hyperlink" Target="https://sk.kz/upload/iblock/429/429419df3c5197242b9c33f0dcdc6fb6.pdf" TargetMode="External"/><Relationship Id="rId565" Type="http://schemas.openxmlformats.org/officeDocument/2006/relationships/hyperlink" Target="https://www.nbim.no/contentassets/3d447c795db84a18b54df8dd87d3b60e/spu_annual_report_2019_en_web.pdf" TargetMode="External"/><Relationship Id="rId162" Type="http://schemas.openxmlformats.org/officeDocument/2006/relationships/hyperlink" Target="https://drive.google.com/file/d/0B25lQaincvKebE94Qlo4RW4xNkU/preview?rm=minimal&amp;resourcekey=0-TSP191ENFJnarXJwrmTU3Q" TargetMode="External"/><Relationship Id="rId218" Type="http://schemas.openxmlformats.org/officeDocument/2006/relationships/hyperlink" Target="https://fundosoberano.ao/en/viewer?u=https%3A%2F%2Ffundosoberano.ao%2Fpublicfiles%2Fdocuments%2FRC_2023_Final.pdf&amp;lp_u=https%3A%2F%2Ffundosoberano.ao%2Fen%2Freports%2Fannual-reports" TargetMode="External"/><Relationship Id="rId425" Type="http://schemas.openxmlformats.org/officeDocument/2006/relationships/hyperlink" Target="https://www.sepi.es/es/sala-de-prensa/ultimos-informes/buscador-informes?tid=24" TargetMode="External"/><Relationship Id="rId467" Type="http://schemas.openxmlformats.org/officeDocument/2006/relationships/hyperlink" Target="https://fund.ge/wp-content/uploads/PF_FS_2012.pdf" TargetMode="External"/><Relationship Id="rId632" Type="http://schemas.openxmlformats.org/officeDocument/2006/relationships/hyperlink" Target="https://www.bog.gov.gh/ghana-petroleum-funds/gpf-financial-statements/" TargetMode="External"/><Relationship Id="rId271" Type="http://schemas.openxmlformats.org/officeDocument/2006/relationships/hyperlink" Target="https://www.bancocentral.tl/uploads/documentos/documento_1474853526_4283.pdf" TargetMode="External"/><Relationship Id="rId674" Type="http://schemas.openxmlformats.org/officeDocument/2006/relationships/hyperlink" Target="https://www.eifo.dk/en/about/annual-report/" TargetMode="External"/><Relationship Id="rId24" Type="http://schemas.openxmlformats.org/officeDocument/2006/relationships/hyperlink" Target="https://www.china-inv.cn/wps/wcm/connect/7c8d7b47-d278-4900-b3b5-4e50061d4e2a/CIC_2008_annualreport_en.pdf?MOD=AJPERES&amp;CACHEID=7c8d7b47-d278-4900-b3b5-4e50061d4e2a" TargetMode="External"/><Relationship Id="rId66" Type="http://schemas.openxmlformats.org/officeDocument/2006/relationships/hyperlink" Target="https://www.ntma.ie/uploads/publication-articles/NPRF-Annual-Report-2010.pdf" TargetMode="External"/><Relationship Id="rId131" Type="http://schemas.openxmlformats.org/officeDocument/2006/relationships/hyperlink" Target="https://drive.google.com/file/d/0B4gcUaZXjZztSmxHd3RvT2xzZmM/preview?rm=minimal&amp;resourcekey=0-UD4rE38Aj0hHbTA5VqsmXg" TargetMode="External"/><Relationship Id="rId327" Type="http://schemas.openxmlformats.org/officeDocument/2006/relationships/hyperlink" Target="https://www.mef.gob.pe/contenidos/tesoro_pub/fef/informe_FEF_anual_2022.pdf" TargetMode="External"/><Relationship Id="rId369" Type="http://schemas.openxmlformats.org/officeDocument/2006/relationships/hyperlink" Target="https://www.khazanah.com.my/media/uploads/2020/05/2014.pdf" TargetMode="External"/><Relationship Id="rId534" Type="http://schemas.openxmlformats.org/officeDocument/2006/relationships/hyperlink" Target="https://en.ufrd.uz/open-data" TargetMode="External"/><Relationship Id="rId576" Type="http://schemas.openxmlformats.org/officeDocument/2006/relationships/hyperlink" Target="https://www.nbim.no/globalassets/reports/2009/nbim_annualreport09.pdf" TargetMode="External"/><Relationship Id="rId173" Type="http://schemas.openxmlformats.org/officeDocument/2006/relationships/hyperlink" Target="https://drive.google.com/file/d/1kAYh9M11EwQdpfQX5L4Z1Sx45HiTkSWE/preview?rm=minimal" TargetMode="External"/><Relationship Id="rId229" Type="http://schemas.openxmlformats.org/officeDocument/2006/relationships/hyperlink" Target="https://www.futurefund.gov.au/-/media/351EEE84BF8A45C5A746BB9D1369CA6D.ashx" TargetMode="External"/><Relationship Id="rId380" Type="http://schemas.openxmlformats.org/officeDocument/2006/relationships/hyperlink" Target="https://www.pif.gov.sa/en/investors/annual-reports/" TargetMode="External"/><Relationship Id="rId436" Type="http://schemas.openxmlformats.org/officeDocument/2006/relationships/hyperlink" Target="https://www.j-ic.co.jp/jp/notice/report/" TargetMode="External"/><Relationship Id="rId601" Type="http://schemas.openxmlformats.org/officeDocument/2006/relationships/hyperlink" Target="https://d22x99z9pyemfq.cloudfront.net/Mumtalakat-Annual_Report-2012.pdf" TargetMode="External"/><Relationship Id="rId643" Type="http://schemas.openxmlformats.org/officeDocument/2006/relationships/hyperlink" Target="https://www.bog.gov.gh/ghana-petroleum-funds/gpf-financial-statements/" TargetMode="External"/><Relationship Id="rId240" Type="http://schemas.openxmlformats.org/officeDocument/2006/relationships/hyperlink" Target="https://www.hacienda.cl/areas-de-trabajo/finanzas-internacionales/fondos-soberanos/fondo-de-reserva-de-pensiones/informe-anual/informe-anual-fondos-soberanos-2018" TargetMode="External"/><Relationship Id="rId478" Type="http://schemas.openxmlformats.org/officeDocument/2006/relationships/hyperlink" Target="https://www.fmped.org.mx/informes/%7BEE17B43B-D440-989F-2110-F74E6F72E221%7D.pdf" TargetMode="External"/><Relationship Id="rId685" Type="http://schemas.openxmlformats.org/officeDocument/2006/relationships/hyperlink" Target="https://www.bpifrance.fr/download/media-file/283580" TargetMode="External"/><Relationship Id="rId35" Type="http://schemas.openxmlformats.org/officeDocument/2006/relationships/hyperlink" Target="https://www.china-inv.cn/chinainven/xhtml/Media/2020EN.pdf" TargetMode="External"/><Relationship Id="rId77" Type="http://schemas.openxmlformats.org/officeDocument/2006/relationships/hyperlink" Target="https://www.cdp.it/internet/public/cms/documents/CDP_EQUITY_RFA_2017_ITA.pdf" TargetMode="External"/><Relationship Id="rId100" Type="http://schemas.openxmlformats.org/officeDocument/2006/relationships/hyperlink" Target="https://www.nicnbk.kz/backend/web/uploads/files/slider-documents/1747982831_pHxGD9uCqO.pdf" TargetMode="External"/><Relationship Id="rId282" Type="http://schemas.openxmlformats.org/officeDocument/2006/relationships/hyperlink" Target="https://www.bancocentral.tl/uploads/documentos/documento_1759189128_2301.pdf" TargetMode="External"/><Relationship Id="rId338" Type="http://schemas.openxmlformats.org/officeDocument/2006/relationships/hyperlink" Target="https://www.mef.gob.pe/es/?utm_source=chatgpt.com&amp;option=com_content&amp;language=es-ES&amp;Itemid=100303&amp;lang=es-ES&amp;view=article&amp;id=1067" TargetMode="External"/><Relationship Id="rId503" Type="http://schemas.openxmlformats.org/officeDocument/2006/relationships/hyperlink" Target="https://www.nbim.no/en/news-and-insights/reports/" TargetMode="External"/><Relationship Id="rId545" Type="http://schemas.openxmlformats.org/officeDocument/2006/relationships/hyperlink" Target="https://sfpim.be/uploads/2022/05/sfpi_rapport_annuel_2010.pdf" TargetMode="External"/><Relationship Id="rId587" Type="http://schemas.openxmlformats.org/officeDocument/2006/relationships/hyperlink" Target="https://www.nbim.no/globalassets/reports/2004/2004-annual-report-english.pdf" TargetMode="External"/><Relationship Id="rId710" Type="http://schemas.openxmlformats.org/officeDocument/2006/relationships/hyperlink" Target="https://www.nicnbk.kz/en/about" TargetMode="External"/><Relationship Id="rId8" Type="http://schemas.openxmlformats.org/officeDocument/2006/relationships/hyperlink" Target="https://sfpim.be/en/publications-and-news/" TargetMode="External"/><Relationship Id="rId142" Type="http://schemas.openxmlformats.org/officeDocument/2006/relationships/hyperlink" Target="https://drive.google.com/file/d/1_vxfE9ItazvpKgHxxFdqBf0oryVAPffE/preview?rm=minimal" TargetMode="External"/><Relationship Id="rId184" Type="http://schemas.openxmlformats.org/officeDocument/2006/relationships/hyperlink" Target="https://naurufinance.info/wp-content/uploads/2020/12/2020-Annual-Report.pdf" TargetMode="External"/><Relationship Id="rId391" Type="http://schemas.openxmlformats.org/officeDocument/2006/relationships/hyperlink" Target="https://icd.gov.ae/wp-content/uploads/2020/09/ICD-Audited-Consolidated-FS-Dec-2019.pdf" TargetMode="External"/><Relationship Id="rId405" Type="http://schemas.openxmlformats.org/officeDocument/2006/relationships/hyperlink" Target="https://www.minhacienda.gov.co/informe-mensual-y-trimestral-2024/-/document_library/bipi/view_file/2226380?_com_liferay_document_library_web_portlet_DLPortlet_INSTANCE_bipi_redirect=https%3A%2F%2Fwww.minhacienda.gov.co%3A443%2Finforme-mensual-y-trimestral-2024%3Fp_p_id%3Dcom_liferay_document_library_web_portlet_DLPortlet_INSTANCE_bipi%26p_p_lifecycle%3D0%26p_p_state%3Dnormal%26p_p_mode%3Dview&amp;_com_liferay_document_library_web_portlet_DLPortlet_INSTANCE_bipi_fileEntryId=2226380" TargetMode="External"/><Relationship Id="rId447" Type="http://schemas.openxmlformats.org/officeDocument/2006/relationships/hyperlink" Target="https://tesi.fi/en/news/reports/?filters=1&amp;tags=1327&amp;total=21" TargetMode="External"/><Relationship Id="rId612" Type="http://schemas.openxmlformats.org/officeDocument/2006/relationships/hyperlink" Target="https://web.archive.org/web/20241126040650/https:/www.mfed.gov.ki/sites/default/files/Final%20-%20RERF%20Report%20to%20Parliament%2024-8-21.pdf" TargetMode="External"/><Relationship Id="rId251" Type="http://schemas.openxmlformats.org/officeDocument/2006/relationships/hyperlink" Target="https://cms.hacienda.cl/hacienda/assets/documento/descargar/62531a935b2f5" TargetMode="External"/><Relationship Id="rId489" Type="http://schemas.openxmlformats.org/officeDocument/2006/relationships/hyperlink" Target="https://www.monacostatistics.mc/content/download/524913/6014096/file/Focus%20Finances%20publiques%202024%20EN.pdf" TargetMode="External"/><Relationship Id="rId654" Type="http://schemas.openxmlformats.org/officeDocument/2006/relationships/hyperlink" Target="https://www.bog.gov.gh/wp-content/uploads/2021/07/GPF-FS-2016-SIGNED-ACCOUNTS.pdf" TargetMode="External"/><Relationship Id="rId696" Type="http://schemas.openxmlformats.org/officeDocument/2006/relationships/hyperlink" Target="https://www.df.gov.tw/eng/News11.aspx?n=16841C88DAE4CCCE&amp;sms=24D4F1B081C7825E&amp;utm_source=chatgpt.com" TargetMode="External"/><Relationship Id="rId46" Type="http://schemas.openxmlformats.org/officeDocument/2006/relationships/hyperlink" Target="https://growthfund.gr/wp-content/uploads/2024/03/EN-ANNUAL-REPORT-GROWTHFUND-24-04-2025.pdf" TargetMode="External"/><Relationship Id="rId293" Type="http://schemas.openxmlformats.org/officeDocument/2006/relationships/hyperlink" Target="https://www.finance.gov.tt/wp-content/uploads/2017/07/HSF-Annual-Report-2016.pdf" TargetMode="External"/><Relationship Id="rId307" Type="http://schemas.openxmlformats.org/officeDocument/2006/relationships/hyperlink" Target="https://www.tvf.com.tr/uploads/file/twf-consolidated-financial-statement-31-december-2020.pdf" TargetMode="External"/><Relationship Id="rId349" Type="http://schemas.openxmlformats.org/officeDocument/2006/relationships/hyperlink" Target="https://sk.kz/investors/financial-performance/fin-report.php?lang=en&amp;utm_source=chatgpt.com" TargetMode="External"/><Relationship Id="rId514" Type="http://schemas.openxmlformats.org/officeDocument/2006/relationships/hyperlink" Target="https://oebag.gv.at/wp-content/uploads/2025/08/Bericht_ueber_Geschaeft_und-Nachhaltigkeit_2022-1.pdf" TargetMode="External"/><Relationship Id="rId556" Type="http://schemas.openxmlformats.org/officeDocument/2006/relationships/hyperlink" Target="https://sfpim.be/uploads/2022/05/sfpi_ra2017_web_0.pdf" TargetMode="External"/><Relationship Id="rId88" Type="http://schemas.openxmlformats.org/officeDocument/2006/relationships/hyperlink" Target="https://www.nicnbk.kz/backend/web/uploads/files/slider-documents/1590046213_XoKfEihvLS.pdf" TargetMode="External"/><Relationship Id="rId111" Type="http://schemas.openxmlformats.org/officeDocument/2006/relationships/hyperlink" Target="https://mfin.gouvernement.lu/fr/le-ministere/fonds-souverain-intergenerationnel-luxembourg/Comptes_et_rapports_d_activites_annuels.html" TargetMode="External"/><Relationship Id="rId153" Type="http://schemas.openxmlformats.org/officeDocument/2006/relationships/hyperlink" Target="https://www.fmped.org.mx/informes/%7BE49279F3-9902-08C1-9D72-7D506A4248CF%7D.pdf" TargetMode="External"/><Relationship Id="rId195" Type="http://schemas.openxmlformats.org/officeDocument/2006/relationships/hyperlink" Target="https://static1.squarespace.com/static/53924649e4b010f4651fd393/t/5436f1b2e4b0a4c7845cb1af/1412886962555/%5BPUB%5D+Informe+Anual+2013-FINAL.pdf" TargetMode="External"/><Relationship Id="rId209" Type="http://schemas.openxmlformats.org/officeDocument/2006/relationships/hyperlink" Target="https://issuu.com/fundosoberanoao/docs/relat_rio_contas_2020_assinado_com_pareceres?utm_medium=referral&amp;utm_source=fundosoberano.ao" TargetMode="External"/><Relationship Id="rId360" Type="http://schemas.openxmlformats.org/officeDocument/2006/relationships/hyperlink" Target="https://sk.kz/upload/iblock/cd7/cd7bfe4cf20164232254b34d961db501.PDF" TargetMode="External"/><Relationship Id="rId416" Type="http://schemas.openxmlformats.org/officeDocument/2006/relationships/hyperlink" Target="https://www.sepi.es/sites/default/files/2017-11/informe_anual_2011.pdf" TargetMode="External"/><Relationship Id="rId598" Type="http://schemas.openxmlformats.org/officeDocument/2006/relationships/hyperlink" Target="https://d22x99z9pyemfq.cloudfront.net/Mumtalakat-Annual_Report-2015.pdf" TargetMode="External"/><Relationship Id="rId220" Type="http://schemas.openxmlformats.org/officeDocument/2006/relationships/hyperlink" Target="https://www.futurefund.gov.au/-/media/D473D1139FEE42179E06E010BA844092.ashx" TargetMode="External"/><Relationship Id="rId458" Type="http://schemas.openxmlformats.org/officeDocument/2006/relationships/hyperlink" Target="https://fund.ge/wp-content/uploads/PF-Consolidated-FS-2021-ENG.pdf" TargetMode="External"/><Relationship Id="rId623" Type="http://schemas.openxmlformats.org/officeDocument/2006/relationships/hyperlink" Target="https://www.fgis-gabon.com/about" TargetMode="External"/><Relationship Id="rId665" Type="http://schemas.openxmlformats.org/officeDocument/2006/relationships/hyperlink" Target="https://www.bog.gov.gh/ghana-petroleum-funds/gpf-financial-statements/" TargetMode="External"/><Relationship Id="rId15" Type="http://schemas.openxmlformats.org/officeDocument/2006/relationships/hyperlink" Target="https://www.mf.gov.cv/web/mf/informa%C3%A7%C3%B5es-individuais-das-empresas-p%C3%BAblicas-e-participadas-do-estado/-/document_library/0Hex4KiPTOcH/view_file/4001777?_com_liferay_document_library_web_portlet_DLPortlet_INSTANCE_0Hex4KiPTOcH_redirect=https%3A%2F%2Fwww.mf.gov.cv%2Fweb%2Fmf%2Finforma%25C3%25A7%25C3%25B5es-individuais-das-empresas-p%25C3%25BAblicas-e-participadas-do-estado%2F-%2Fdocument_library%2F0Hex4KiPTOcH%2Fview%2F4001868%3F_com_liferay_document_library_web_portlet_DLPortlet_INSTANCE_0Hex4KiPTOcH_redirect%3Dhttps%253A%252F%252Fwww.mf.gov.cv%252Fweb%252Fmf%252Finforma%2525C3%2525A7%2525C3%2525B5es-individuais-das-empresas-p%2525C3%2525BAblicas-e-participadas-do-estado%252F-%252Fdocument_library%252F0Hex4KiPTOcH%252Fview%252F3630088%253F_com_liferay_document_library_web_portlet_DLPortlet_INSTANCE_0Hex4KiPTOcH_displayStyle%253Ddescriptive%2526_com_liferay_document_library_web_portlet_DLPortlet_INSTANCE_0Hex4KiPTOcH_navigation%253Dhome" TargetMode="External"/><Relationship Id="rId57" Type="http://schemas.openxmlformats.org/officeDocument/2006/relationships/hyperlink" Target="https://www.ntma.ie/uploads/publication-articles/NPRF-Annual-Report-2002.pdf" TargetMode="External"/><Relationship Id="rId262" Type="http://schemas.openxmlformats.org/officeDocument/2006/relationships/hyperlink" Target="../../ASHIMINE/AppData/Local/AppData/Local/Temp/MicrosoftEdgeDownloads/b1b20091-cc89-4e32-8dc3-a091536e9ee8/NTMA-Annual-Report-and-Financial-Statements-2023.pdf" TargetMode="External"/><Relationship Id="rId318" Type="http://schemas.openxmlformats.org/officeDocument/2006/relationships/hyperlink" Target="https://www.mubadala.com/en/investors/overview?utm_source=chatgpt.com" TargetMode="External"/><Relationship Id="rId525" Type="http://schemas.openxmlformats.org/officeDocument/2006/relationships/hyperlink" Target="https://www.kic.kr/en/news/reports?p=7" TargetMode="External"/><Relationship Id="rId567" Type="http://schemas.openxmlformats.org/officeDocument/2006/relationships/hyperlink" Target="https://www.nbim.no/contentassets/49715a01ed684b1686ff3c017f1efa12/annual-report-2017---government-pension-fund-global.pdf" TargetMode="External"/><Relationship Id="rId99" Type="http://schemas.openxmlformats.org/officeDocument/2006/relationships/hyperlink" Target="https://www.nicnbk.kz/backend/web/uploads/files/slider-documents/1716963457_--xXMeENFK.pdf" TargetMode="External"/><Relationship Id="rId122" Type="http://schemas.openxmlformats.org/officeDocument/2006/relationships/hyperlink" Target="https://ndsf.com.mt/annual-reports-and-financial-statements/" TargetMode="External"/><Relationship Id="rId164" Type="http://schemas.openxmlformats.org/officeDocument/2006/relationships/hyperlink" Target="https://drive.google.com/file/d/0B25lQaincvKeWlREZjNObkR2N2c/preview?rm=minimal&amp;resourcekey=0-aOSOCgo9_t2U9iKqnBLtKQ" TargetMode="External"/><Relationship Id="rId371" Type="http://schemas.openxmlformats.org/officeDocument/2006/relationships/hyperlink" Target="https://www.khazanah.com.my/downloads/TKR2024_ENG.pdf" TargetMode="External"/><Relationship Id="rId427" Type="http://schemas.openxmlformats.org/officeDocument/2006/relationships/hyperlink" Target="https://www.pap.hacienda.gob.es/Recuenta/Views/Buscador.aspx" TargetMode="External"/><Relationship Id="rId469" Type="http://schemas.openxmlformats.org/officeDocument/2006/relationships/hyperlink" Target="https://mgis.com.mt/annual-reports/" TargetMode="External"/><Relationship Id="rId634" Type="http://schemas.openxmlformats.org/officeDocument/2006/relationships/hyperlink" Target="https://web.archive.org/web/20220926095933/https:/www.bog.gov.gh/ghana-petroleum-funds/gpf-financial-statements/" TargetMode="External"/><Relationship Id="rId676" Type="http://schemas.openxmlformats.org/officeDocument/2006/relationships/hyperlink" Target="https://www.eifo.dk/en/about/annual-report/" TargetMode="External"/><Relationship Id="rId26" Type="http://schemas.openxmlformats.org/officeDocument/2006/relationships/hyperlink" Target="https://www.china-inv.cn/wps/wcm/connect/cb5c1ff5-c3db-42ea-bd62-541b0b22e8cc/CICAnnualReport2010.pdf?MOD=AJPERES&amp;CACHEID=cb5c1ff5-c3db-42ea-bd62-541b0b22e8cc" TargetMode="External"/><Relationship Id="rId231" Type="http://schemas.openxmlformats.org/officeDocument/2006/relationships/hyperlink" Target="https://www.futurefund.gov.au/-/media/39EF8BFD57834F68870124EC6D5FD99C.ashx" TargetMode="External"/><Relationship Id="rId273" Type="http://schemas.openxmlformats.org/officeDocument/2006/relationships/hyperlink" Target="https://www.bancocentral.tl/uploads/documentos/documento_1474853617_9174.pdf" TargetMode="External"/><Relationship Id="rId329" Type="http://schemas.openxmlformats.org/officeDocument/2006/relationships/hyperlink" Target="https://www.mef.gob.pe/contenidos/tesoro_pub/fef/FEF2014.pdf" TargetMode="External"/><Relationship Id="rId480" Type="http://schemas.openxmlformats.org/officeDocument/2006/relationships/hyperlink" Target="https://www.fmped.org.mx/informes/%7BE49279F3-9902-08C1-9D72-7D506A4248CF%7D.pdf" TargetMode="External"/><Relationship Id="rId536" Type="http://schemas.openxmlformats.org/officeDocument/2006/relationships/hyperlink" Target="https://icd.gov.ae/financial-information/" TargetMode="External"/><Relationship Id="rId701" Type="http://schemas.openxmlformats.org/officeDocument/2006/relationships/hyperlink" Target="https://ws.ndc.gov.tw/001/administrator/33/relfile/7098/34321/eb5861b4-4bb7-45f5-b32a-2311be3a4df3.pdf" TargetMode="External"/><Relationship Id="rId68" Type="http://schemas.openxmlformats.org/officeDocument/2006/relationships/hyperlink" Target="https://www.ntma.ie/uploads/publication-articles/NPRF-Annual-Report-2012.pdf" TargetMode="External"/><Relationship Id="rId133" Type="http://schemas.openxmlformats.org/officeDocument/2006/relationships/hyperlink" Target="https://drive.google.com/file/d/0B4gcUaZXjZztakJJUU1laUlqVm8/preview?rm=minimal&amp;resourcekey=0-tjYKCGXUIfTOMvz89K5edg" TargetMode="External"/><Relationship Id="rId175" Type="http://schemas.openxmlformats.org/officeDocument/2006/relationships/hyperlink" Target="https://drive.google.com/file/d/1rfoSk9WM21rSwXUq8dzJLWU5_aoGhnv9/preview?rm=minimal" TargetMode="External"/><Relationship Id="rId340" Type="http://schemas.openxmlformats.org/officeDocument/2006/relationships/hyperlink" Target="https://www.cif.gov.il/en/publications/" TargetMode="External"/><Relationship Id="rId578" Type="http://schemas.openxmlformats.org/officeDocument/2006/relationships/hyperlink" Target="https://www.nbim.no/globalassets/reports/2007/nbim_07_eng.pdf" TargetMode="External"/><Relationship Id="rId200" Type="http://schemas.openxmlformats.org/officeDocument/2006/relationships/hyperlink" Target="https://static1.squarespace.com/static/53924649e4b010f4651fd393/t/5cc1c0ebe5e5f0f36f16fb29/1556201728227/IA+FINAL+2018.pdf" TargetMode="External"/><Relationship Id="rId382" Type="http://schemas.openxmlformats.org/officeDocument/2006/relationships/hyperlink" Target="https://www.pif.gov.sa/-/media/project/pif-corporate/pif-corporate-site/our-financials/annual-reports/pdf/pif-annual-report-2021.pdf" TargetMode="External"/><Relationship Id="rId438" Type="http://schemas.openxmlformats.org/officeDocument/2006/relationships/hyperlink" Target="https://www.j-ic.co.jp/jp/finance/report/pdf/report200701_02.pdf" TargetMode="External"/><Relationship Id="rId603" Type="http://schemas.openxmlformats.org/officeDocument/2006/relationships/hyperlink" Target="https://d22x99z9pyemfq.cloudfront.net/Mumtalakat-Annual_Report-2010.pdf" TargetMode="External"/><Relationship Id="rId645" Type="http://schemas.openxmlformats.org/officeDocument/2006/relationships/hyperlink" Target="https://web.archive.org/web/20220926095933/https:/www.bog.gov.gh/ghana-petroleum-funds/gpf-financial-statements/" TargetMode="External"/><Relationship Id="rId687" Type="http://schemas.openxmlformats.org/officeDocument/2006/relationships/hyperlink" Target="https://www.china-inv.cn/chinainven/xhtml/Media/2024EN.pdf" TargetMode="External"/><Relationship Id="rId242" Type="http://schemas.openxmlformats.org/officeDocument/2006/relationships/hyperlink" Target="https://www.hacienda.cl/areas-de-trabajo/finanzas-internacionales/fondos-soberanos/fondo-de-reserva-de-pensiones/informe-anual/informe-anual-fondos-soberanos-2012" TargetMode="External"/><Relationship Id="rId284" Type="http://schemas.openxmlformats.org/officeDocument/2006/relationships/hyperlink" Target="https://www.bancocentral.tl/uploads/documentos/documento_1733365071_3436.pdf" TargetMode="External"/><Relationship Id="rId491" Type="http://schemas.openxmlformats.org/officeDocument/2006/relationships/hyperlink" Target="https://pfr.pl/raporty-okresowe-i-biezace" TargetMode="External"/><Relationship Id="rId505" Type="http://schemas.openxmlformats.org/officeDocument/2006/relationships/hyperlink" Target="https://nzsuperfund.nz/assets/Publications/Annual-Reports/Annual-Report-2002-03.pdf" TargetMode="External"/><Relationship Id="rId37" Type="http://schemas.openxmlformats.org/officeDocument/2006/relationships/hyperlink" Target="https://www.china-inv.cn/chinainven/xhtml/Media/2022EN.pdf" TargetMode="External"/><Relationship Id="rId79" Type="http://schemas.openxmlformats.org/officeDocument/2006/relationships/hyperlink" Target="https://www.cdp.it/internet/public/cms/documents/CDP_EQUITY_RFA_2020_ENG.pdf" TargetMode="External"/><Relationship Id="rId102" Type="http://schemas.openxmlformats.org/officeDocument/2006/relationships/hyperlink" Target="https://mfin.gouvernement.lu/dam-assets/le-minist%C3%A8re/fondssouveraininteregenerationnel/comptes-et-rapports-d%E2%80%99activit%C3%A9s-annuels/comptes-an-ra-050417.pdf" TargetMode="External"/><Relationship Id="rId144" Type="http://schemas.openxmlformats.org/officeDocument/2006/relationships/hyperlink" Target="https://rmicfatf.com/file-repository/" TargetMode="External"/><Relationship Id="rId547" Type="http://schemas.openxmlformats.org/officeDocument/2006/relationships/hyperlink" Target="https://sfpim.be/uploads/2022/05/sfpi_ra2016_web_0.pdf" TargetMode="External"/><Relationship Id="rId589" Type="http://schemas.openxmlformats.org/officeDocument/2006/relationships/hyperlink" Target="https://mumtalakat.bh/annual-reports" TargetMode="External"/><Relationship Id="rId90" Type="http://schemas.openxmlformats.org/officeDocument/2006/relationships/hyperlink" Target="https://www.nicnbk.kz/backend/web/uploads/files/slider-documents/1590046488_FspjxwBfe5.pdf" TargetMode="External"/><Relationship Id="rId186" Type="http://schemas.openxmlformats.org/officeDocument/2006/relationships/hyperlink" Target="https://naurufinance.info/wp-content/uploads/2022/12/FINAL-2022-Annual-Report-15-December-2022.pdf" TargetMode="External"/><Relationship Id="rId351" Type="http://schemas.openxmlformats.org/officeDocument/2006/relationships/hyperlink" Target="https://sk.kz/upload/iblock/001/Consolidated%20financial%20statements%20for%20the%20year%20ended%20December%2031,%202024.pdf" TargetMode="External"/><Relationship Id="rId393" Type="http://schemas.openxmlformats.org/officeDocument/2006/relationships/hyperlink" Target="https://icd.gov.ae/wp-content/uploads/2020/02/ICD-Audited-Consolidated-FS-Dec-2017.pdf" TargetMode="External"/><Relationship Id="rId407" Type="http://schemas.openxmlformats.org/officeDocument/2006/relationships/hyperlink" Target="https://www.minhacienda.gov.co/informe-mensual-y-trimestral-2022/-/document_library/bipi/view_file/1297525?_com_liferay_document_library_web_portlet_DLPortlet_INSTANCE_bipi_redirect=https%3A%2F%2Fwww.minhacienda.gov.co%3A443%2Finforme-mensual-y-trimestral-2022%3Fp_p_id%3Dcom_liferay_document_library_web_portlet_DLPortlet_INSTANCE_bipi%26p_p_lifecycle%3D0%26p_p_state%3Dnormal%26p_p_mode%3Dview&amp;_com_liferay_document_library_web_portlet_DLPortlet_INSTANCE_bipi_fileEntryId=1297525" TargetMode="External"/><Relationship Id="rId449" Type="http://schemas.openxmlformats.org/officeDocument/2006/relationships/hyperlink" Target="https://tesi.fi/wp-content/uploads/2025/03/Financial-Review_2024_final.pdf" TargetMode="External"/><Relationship Id="rId614" Type="http://schemas.openxmlformats.org/officeDocument/2006/relationships/hyperlink" Target="https://mfed.gov.ki/node/141" TargetMode="External"/><Relationship Id="rId656" Type="http://schemas.openxmlformats.org/officeDocument/2006/relationships/hyperlink" Target="https://www.bog.gov.gh/wp-content/uploads/2021/07/GPF-FS-2015-SIGNED-ACCOUNTS-3.pdf" TargetMode="External"/><Relationship Id="rId211" Type="http://schemas.openxmlformats.org/officeDocument/2006/relationships/hyperlink" Target="https://fundosoberano.ao/en/viewer?u=https%3A%2F%2Ffundosoberano.ao%2Fpublicfiles%2Fdocuments%2FRC_2023_Final.pdf&amp;lp_u=https%3A%2F%2Ffundosoberano.ao%2Fen%2Freports%2Fannual-reports" TargetMode="External"/><Relationship Id="rId253" Type="http://schemas.openxmlformats.org/officeDocument/2006/relationships/hyperlink" Target="../../ASHIMINE/AppData/Local/AppData/Local/Temp/MicrosoftEdgeDownloads/7cb16580-2bc7-4255-8aa5-e84c2e14570f/NTMAAnnualReportAndAccounts2015.pdf" TargetMode="External"/><Relationship Id="rId295" Type="http://schemas.openxmlformats.org/officeDocument/2006/relationships/hyperlink" Target="https://www.finance.gov.tt/wp-content/uploads/2019/08/HSF-Annual-Report-2017.pdf" TargetMode="External"/><Relationship Id="rId309" Type="http://schemas.openxmlformats.org/officeDocument/2006/relationships/hyperlink" Target="https://www.tvf.com.tr/uploads/file/twf-consolidated-financial-statement-31-december-2024.pdf" TargetMode="External"/><Relationship Id="rId460" Type="http://schemas.openxmlformats.org/officeDocument/2006/relationships/hyperlink" Target="https://fund.ge/wp-content/uploads/PF-Consolidated-FS-2018-ENG.pdf" TargetMode="External"/><Relationship Id="rId516" Type="http://schemas.openxmlformats.org/officeDocument/2006/relationships/hyperlink" Target="https://dgpp.mf.gov.dz/finances-publiques/" TargetMode="External"/><Relationship Id="rId698" Type="http://schemas.openxmlformats.org/officeDocument/2006/relationships/hyperlink" Target="https://www.df.gov.tw/News8.aspx?n=EDE29795B79855E0&amp;sms=84DF8AE86BF2C378&amp;page=3&amp;PageSize=10" TargetMode="External"/><Relationship Id="rId48" Type="http://schemas.openxmlformats.org/officeDocument/2006/relationships/hyperlink" Target="https://growthfund.gr/wp-content/uploads/2025/03/Fourth-quarterly-report_Q4_2024.pdf" TargetMode="External"/><Relationship Id="rId113" Type="http://schemas.openxmlformats.org/officeDocument/2006/relationships/hyperlink" Target="https://mfin.gouvernement.lu/fr/le-ministere/fonds-souverain-intergenerationnel-luxembourg/Comptes_et_rapports_d_activites_annuels.html" TargetMode="External"/><Relationship Id="rId320" Type="http://schemas.openxmlformats.org/officeDocument/2006/relationships/hyperlink" Target="https://nzsuperfund.nz/assets/Publications/Annual-Reports/2024-NZ-Super-Fund-Annual-Report.pdf" TargetMode="External"/><Relationship Id="rId558" Type="http://schemas.openxmlformats.org/officeDocument/2006/relationships/hyperlink" Target="https://sfpim.be/uploads/2022/05/sfpi_rapport_annuel_2008.pdf" TargetMode="External"/><Relationship Id="rId155" Type="http://schemas.openxmlformats.org/officeDocument/2006/relationships/hyperlink" Target="https://www.fmped.org.mx/informes/%7B4DEB780B-66B4-36D8-15AF-D83A7D9B6DCE%7D.pdf" TargetMode="External"/><Relationship Id="rId197" Type="http://schemas.openxmlformats.org/officeDocument/2006/relationships/hyperlink" Target="https://static1.squarespace.com/static/53924649e4b010f4651fd393/t/56fdc40655598610f75d1ed5/1459471434417/Informe+Anual+2015+del+FAP+%28FINAL%29.pdf" TargetMode="External"/><Relationship Id="rId362" Type="http://schemas.openxmlformats.org/officeDocument/2006/relationships/hyperlink" Target="https://sk.kz/upload/iblock/52a/52a92748730d811a6f9f81d8be75f750.pdf" TargetMode="External"/><Relationship Id="rId418" Type="http://schemas.openxmlformats.org/officeDocument/2006/relationships/hyperlink" Target="https://www.sepi.es/sites/default/files/2017-11/informeanual08.pdf" TargetMode="External"/><Relationship Id="rId625" Type="http://schemas.openxmlformats.org/officeDocument/2006/relationships/hyperlink" Target="https://web.archive.org/web/20220926095933/https:/www.bog.gov.gh/ghana-petroleum-funds/gpf-financial-statements/" TargetMode="External"/><Relationship Id="rId222" Type="http://schemas.openxmlformats.org/officeDocument/2006/relationships/hyperlink" Target="https://www.futurefund.gov.au/-/media/528E006142F54900A9EF7F5D7E8EFCB6.ashx" TargetMode="External"/><Relationship Id="rId264" Type="http://schemas.openxmlformats.org/officeDocument/2006/relationships/hyperlink" Target="https://www.ntma.ie/publications/p4" TargetMode="External"/><Relationship Id="rId471" Type="http://schemas.openxmlformats.org/officeDocument/2006/relationships/hyperlink" Target="https://mgis.com.mt/wp-content/uploads/2025/10/22A-MGI-Agency-Signed-Statement-of-Account-AFS-31.12.2022-1.pdf" TargetMode="External"/><Relationship Id="rId667" Type="http://schemas.openxmlformats.org/officeDocument/2006/relationships/hyperlink" Target="https://www.bog.gov.gh/ghana-petroleum-funds/gpf-financial-statements/" TargetMode="External"/><Relationship Id="rId17" Type="http://schemas.openxmlformats.org/officeDocument/2006/relationships/hyperlink" Target="https://www.mf.gov.cv/web/mf/informa%C3%A7%C3%B5es-individuais-das-empresas-p%C3%BAblicas-e-participadas-do-estado/-/document_library/0Hex4KiPTOcH/view_file/4966424?_com_liferay_document_library_web_portlet_DLPortlet_INSTANCE_0Hex4KiPTOcH_redirect=https%3A%2F%2Fwww.mf.gov.cv%2Fweb%2Fmf%2Finforma%25C3%25A7%25C3%25B5es-individuais-das-empresas-p%25C3%25BAblicas-e-participadas-do-estado%2F-%2Fdocument_library%2F0Hex4KiPTOcH%2Fview%2F4966413%3F_com_liferay_document_library_web_portlet_DLPortlet_INSTANCE_0Hex4KiPTOcH_redirect%3Dhttps%253A%252F%252Fwww.mf.gov.cv%252Fweb%252Fmf%252Finforma%2525C3%2525A7%2525C3%2525B5es-individuais-das-empresas-p%2525C3%2525BAblicas-e-participadas-do-estado%252F-%252Fdocument_library%252F0Hex4KiPTOcH%252Fview%252F3630088" TargetMode="External"/><Relationship Id="rId59" Type="http://schemas.openxmlformats.org/officeDocument/2006/relationships/hyperlink" Target="https://www.ntma.ie/uploads/publication-articles/NPRF-Annual-Report-2002.pdf" TargetMode="External"/><Relationship Id="rId124" Type="http://schemas.openxmlformats.org/officeDocument/2006/relationships/hyperlink" Target="https://drive.google.com/file/d/0B4gcUaZXjZztSUdMZWt1QzhHQVk/preview?rm=minimal&amp;resourcekey=0-c_tIRXf1qUvlgAz4yK3QTg" TargetMode="External"/><Relationship Id="rId527" Type="http://schemas.openxmlformats.org/officeDocument/2006/relationships/hyperlink" Target="https://www.kic.kr/en/news/reports?p=7" TargetMode="External"/><Relationship Id="rId569" Type="http://schemas.openxmlformats.org/officeDocument/2006/relationships/hyperlink" Target="https://www.nbim.no/contentassets/70de238e3f6747228b76a99ec24c53ed/annual_report_2015_web2.pdf" TargetMode="External"/><Relationship Id="rId70" Type="http://schemas.openxmlformats.org/officeDocument/2006/relationships/hyperlink" Target="https://www.cdp.it/internet/public/cms/documents/FSI_RFA_2012_ITA.pdf" TargetMode="External"/><Relationship Id="rId166" Type="http://schemas.openxmlformats.org/officeDocument/2006/relationships/hyperlink" Target="https://drive.google.com/file/d/0B25lQaincvKeXy0tbTljd0Ytekk/preview?rm=minimal&amp;resourcekey=0-dlAERycljHVVxnc7Glq2nw" TargetMode="External"/><Relationship Id="rId331" Type="http://schemas.openxmlformats.org/officeDocument/2006/relationships/hyperlink" Target="https://www.mef.gob.pe/contenidos/tesoro_pub/fef/FEF2012.pdf" TargetMode="External"/><Relationship Id="rId373" Type="http://schemas.openxmlformats.org/officeDocument/2006/relationships/hyperlink" Target="https://www.khazanah.com.my/media/uploads/2020/05/2018.pdf" TargetMode="External"/><Relationship Id="rId429" Type="http://schemas.openxmlformats.org/officeDocument/2006/relationships/hyperlink" Target="https://en.ufrd.uz/f/2021_yil_uchun_moliyaviy_hisobot_eng.pdf" TargetMode="External"/><Relationship Id="rId580" Type="http://schemas.openxmlformats.org/officeDocument/2006/relationships/hyperlink" Target="https://www.nbim.no/globalassets/reports/2003/2003-annual-report-english.pdf" TargetMode="External"/><Relationship Id="rId636" Type="http://schemas.openxmlformats.org/officeDocument/2006/relationships/hyperlink" Target="https://web.archive.org/web/20220926095933/https:/www.bog.gov.gh/ghana-petroleum-funds/gpf-financial-statements/" TargetMode="External"/><Relationship Id="rId1" Type="http://schemas.openxmlformats.org/officeDocument/2006/relationships/hyperlink" Target="https://www.oilfund.az/report-and-statistics/get-download-file/flip/8_2002_en.pdf" TargetMode="External"/><Relationship Id="rId233" Type="http://schemas.openxmlformats.org/officeDocument/2006/relationships/hyperlink" Target="https://www.futurefund.gov.au/-/media/D473D1139FEE42179E06E010BA844092.ashx" TargetMode="External"/><Relationship Id="rId440" Type="http://schemas.openxmlformats.org/officeDocument/2006/relationships/hyperlink" Target="https://www.j-ic.co.jp/jp/finance/report/pdf/report220701_02.pdf" TargetMode="External"/><Relationship Id="rId678" Type="http://schemas.openxmlformats.org/officeDocument/2006/relationships/hyperlink" Target="https://eifo.dk/media/pcplswda/vf-aarsrapport-2022.pdf" TargetMode="External"/><Relationship Id="rId28" Type="http://schemas.openxmlformats.org/officeDocument/2006/relationships/hyperlink" Target="https://www.china-inv.cn/wps/wcm/connect/6486390b-3211-4aca-97af-06746798d6c9/CIC_2012_annualreport_en.pdf?MOD=AJPERES&amp;CACHEID=6486390b-3211-4aca-97af-06746798d6c9" TargetMode="External"/><Relationship Id="rId275" Type="http://schemas.openxmlformats.org/officeDocument/2006/relationships/hyperlink" Target="https://www.bancocentral.tl/uploads/documentos/documento_1474853702_6261.pdf" TargetMode="External"/><Relationship Id="rId300" Type="http://schemas.openxmlformats.org/officeDocument/2006/relationships/hyperlink" Target="https://www.finance.gov.tt/wp-content/uploads/2023/06/HSF-AR-2022.pdf" TargetMode="External"/><Relationship Id="rId482" Type="http://schemas.openxmlformats.org/officeDocument/2006/relationships/hyperlink" Target="https://www.fmped.org.mx/transparencia/%7B6BA8FB0E-26B0-993D-532C-AFCBC875AC9D%7D.pdf" TargetMode="External"/><Relationship Id="rId538" Type="http://schemas.openxmlformats.org/officeDocument/2006/relationships/hyperlink" Target="https://nationalbank.kz/en/news/godovoy-otchet-nbk?page=1" TargetMode="External"/><Relationship Id="rId703" Type="http://schemas.openxmlformats.org/officeDocument/2006/relationships/hyperlink" Target="https://ws.ndc.gov.tw/001/administrator/32/relfile/7030/33523/c9b71182-a0a1-43ee-a3d5-b6746954e81e.pdf" TargetMode="External"/><Relationship Id="rId81" Type="http://schemas.openxmlformats.org/officeDocument/2006/relationships/hyperlink" Target="https://www.cdp.it/internet/public/cms/documents/CDP_Equity_RFA-2022_ENG.pdf" TargetMode="External"/><Relationship Id="rId135" Type="http://schemas.openxmlformats.org/officeDocument/2006/relationships/hyperlink" Target="https://drive.google.com/file/d/0B4gcUaZXjZztZFItTFUwOHI2Vms/preview?rm=minimal&amp;resourcekey=0-Bwud-2x4ooXKQaMji_joHw" TargetMode="External"/><Relationship Id="rId177" Type="http://schemas.openxmlformats.org/officeDocument/2006/relationships/hyperlink" Target="https://fsmcfatf.com/file-repository/" TargetMode="External"/><Relationship Id="rId342" Type="http://schemas.openxmlformats.org/officeDocument/2006/relationships/hyperlink" Target="https://www.cif.gov.il/media/trbbkvab/annual-report-2024-cif-en.pdf" TargetMode="External"/><Relationship Id="rId384" Type="http://schemas.openxmlformats.org/officeDocument/2006/relationships/hyperlink" Target="https://icd.gov.ae/wp-content/uploads/2020/02/ICD-Consol-Dec-2013.pdf" TargetMode="External"/><Relationship Id="rId591" Type="http://schemas.openxmlformats.org/officeDocument/2006/relationships/hyperlink" Target="https://d22x99z9pyemfq.cloudfront.net/Annual-Report-2024_LR_2025-09-11-192447_widx.pdf" TargetMode="External"/><Relationship Id="rId605" Type="http://schemas.openxmlformats.org/officeDocument/2006/relationships/hyperlink" Target="https://d22x99z9pyemfq.cloudfront.net/Mumtalakat-Annual_Report-2009.pdf" TargetMode="External"/><Relationship Id="rId202" Type="http://schemas.openxmlformats.org/officeDocument/2006/relationships/hyperlink" Target="https://static1.squarespace.com/static/53924649e4b010f4651fd393/t/6064e01a9a950e6e693f0696/1617223737950/IA2020_Version+Final.pdf" TargetMode="External"/><Relationship Id="rId244" Type="http://schemas.openxmlformats.org/officeDocument/2006/relationships/hyperlink" Target="https://www.hacienda.cl/english/work-areas/international-finance/sovereign-wealth-funds/pension-reserve-fund/financial-situation/market-value" TargetMode="External"/><Relationship Id="rId647" Type="http://schemas.openxmlformats.org/officeDocument/2006/relationships/hyperlink" Target="https://www.bog.gov.gh/ghana-petroleum-funds/gpf-financial-statements/" TargetMode="External"/><Relationship Id="rId689" Type="http://schemas.openxmlformats.org/officeDocument/2006/relationships/hyperlink" Target="https://www.mof.gov.tw/multiplehtml/384" TargetMode="External"/><Relationship Id="rId39" Type="http://schemas.openxmlformats.org/officeDocument/2006/relationships/hyperlink" Target="https://www.china-inv.cn/wps/wcm/connect/56536bd1-bb44-4254-ae08-fe1703894843/CICAnnualReport2014.pdf?MOD=AJPERES&amp;CACHEID=56536bd1-bb44-4254-ae08-fe1703894843" TargetMode="External"/><Relationship Id="rId286" Type="http://schemas.openxmlformats.org/officeDocument/2006/relationships/hyperlink" Target="https://www.finance.gov.tt/wp-content/uploads/2014/02/pub88F5D5.pdf" TargetMode="External"/><Relationship Id="rId451" Type="http://schemas.openxmlformats.org/officeDocument/2006/relationships/hyperlink" Target="https://tesi.fi/wp-content/uploads/2024/03/Financial-Review_2023_final.pdf" TargetMode="External"/><Relationship Id="rId493" Type="http://schemas.openxmlformats.org/officeDocument/2006/relationships/hyperlink" Target="https://pfr.pl/raporty-okresowe-i-biezace" TargetMode="External"/><Relationship Id="rId507" Type="http://schemas.openxmlformats.org/officeDocument/2006/relationships/hyperlink" Target="https://www.hacienda.cl/english/work-areas/international-finance/sovereign-wealth-funds/economic-and-social-stabilization-fund/annual-report/annual-report-sovereign-wealth-funds-2011" TargetMode="External"/><Relationship Id="rId549" Type="http://schemas.openxmlformats.org/officeDocument/2006/relationships/hyperlink" Target="https://sfpim.be/uploads/2025/09/SFPIM_JV2023_FINAL-avec-compression-1.pdf" TargetMode="External"/><Relationship Id="rId50" Type="http://schemas.openxmlformats.org/officeDocument/2006/relationships/hyperlink" Target="https://bankofguyana.org.gy/bog/publications/natural-resource-fund/audited-financial-statements" TargetMode="External"/><Relationship Id="rId104" Type="http://schemas.openxmlformats.org/officeDocument/2006/relationships/hyperlink" Target="https://mfin.gouvernement.lu/dam-assets/le-minist%C3%A8re/fondssouveraininteregenerationnel/comptes-et-rapports-d%E2%80%99activit%C3%A9s-annuels/20190320-Fonds-Souverain-Comptes-annuels-311218-V2-pdfA.pdf" TargetMode="External"/><Relationship Id="rId146" Type="http://schemas.openxmlformats.org/officeDocument/2006/relationships/hyperlink" Target="https://www.fmped.org.mx/informes/%7BF5053D62-DDFD-1D6F-B977-E116C1AC90C3%7D.pdf" TargetMode="External"/><Relationship Id="rId188" Type="http://schemas.openxmlformats.org/officeDocument/2006/relationships/hyperlink" Target="https://naurufinance.info/wp-content/uploads/2024/12/2024-Annual-Report-FINAL.pdf" TargetMode="External"/><Relationship Id="rId311" Type="http://schemas.openxmlformats.org/officeDocument/2006/relationships/hyperlink" Target="https://www.tvf.com.tr/uploads/file/twf-consolidated-financial-statement-31-december-2023.pdf" TargetMode="External"/><Relationship Id="rId353" Type="http://schemas.openxmlformats.org/officeDocument/2006/relationships/hyperlink" Target="https://sk.kz/upload/iblock/r99/ng9m455ec14tsq5zzjtm3hi32p3o2hpi.pdf" TargetMode="External"/><Relationship Id="rId395" Type="http://schemas.openxmlformats.org/officeDocument/2006/relationships/hyperlink" Target="https://icd.gov.ae/wp-content/uploads/2020/02/ICD-Audited-Consolidated-FS-Dec-2015.pdf" TargetMode="External"/><Relationship Id="rId409" Type="http://schemas.openxmlformats.org/officeDocument/2006/relationships/hyperlink" Target="https://www.minhacienda.gov.co/informe-mensual-y-trimestral-2020/-/document_library/bipi/view_file/1297147?_com_liferay_document_library_web_portlet_DLPortlet_INSTANCE_bipi_redirect=https%3A%2F%2Fwww.minhacienda.gov.co%3A443%2Finforme-mensual-y-trimestral-2020%3Fp_p_id%3Dcom_liferay_document_library_web_portlet_DLPortlet_INSTANCE_bipi%26p_p_lifecycle%3D0%26p_p_state%3Dnormal%26p_p_mode%3Dview&amp;_com_liferay_document_library_web_portlet_DLPortlet_INSTANCE_bipi_fileEntryId=1297147" TargetMode="External"/><Relationship Id="rId560" Type="http://schemas.openxmlformats.org/officeDocument/2006/relationships/hyperlink" Target="https://www.nbim.no/en/news-and-insights/reports/2024/annual-report-2024/web-report-annual-report-2024/" TargetMode="External"/><Relationship Id="rId92" Type="http://schemas.openxmlformats.org/officeDocument/2006/relationships/hyperlink" Target="https://www.nicnbk.kz/backend/web/uploads/files/slider-documents/1590046392_soavjUNDOe.pdf" TargetMode="External"/><Relationship Id="rId213" Type="http://schemas.openxmlformats.org/officeDocument/2006/relationships/hyperlink" Target="https://issuu.com/fundosoberanoao/docs/fsdea-relato_rio-anual-2015_1007201?utm_medium=referral&amp;utm_source=fundosoberano.ao" TargetMode="External"/><Relationship Id="rId420" Type="http://schemas.openxmlformats.org/officeDocument/2006/relationships/hyperlink" Target="https://www.sepi.es/sites/default/files/2017-11/infanualsepi2006.pdf" TargetMode="External"/><Relationship Id="rId616" Type="http://schemas.openxmlformats.org/officeDocument/2006/relationships/hyperlink" Target="https://mfed.gov.ki/node/141" TargetMode="External"/><Relationship Id="rId658" Type="http://schemas.openxmlformats.org/officeDocument/2006/relationships/hyperlink" Target="https://www.bog.gov.gh/w%20p-content/uploads/2025/09/Petroleum-Fund-2024-FS.pdf" TargetMode="External"/><Relationship Id="rId255" Type="http://schemas.openxmlformats.org/officeDocument/2006/relationships/hyperlink" Target="../../ASHIMINE/AppData/Local/AppData/Local/Temp/MicrosoftEdgeDownloads/5df45883-2720-4aeb-9f32-29986ab38601/NTMAAnnualReport2016_2.pdf" TargetMode="External"/><Relationship Id="rId297" Type="http://schemas.openxmlformats.org/officeDocument/2006/relationships/hyperlink" Target="https://www.finance.gov.tt/wp-content/uploads/2020/07/HSF-Annual-Report-2019-1.pdf" TargetMode="External"/><Relationship Id="rId462" Type="http://schemas.openxmlformats.org/officeDocument/2006/relationships/hyperlink" Target="https://fund.ge/wp-content/uploads/PF-Consolidated-FS-2016-ENG.pdf" TargetMode="External"/><Relationship Id="rId518" Type="http://schemas.openxmlformats.org/officeDocument/2006/relationships/hyperlink" Target="https://www.futurefund.gov.au/" TargetMode="External"/><Relationship Id="rId115" Type="http://schemas.openxmlformats.org/officeDocument/2006/relationships/hyperlink" Target="https://ndsf.com.mt/wp-content/uploads/2023/08/Annual-Report-2017.pdf" TargetMode="External"/><Relationship Id="rId157" Type="http://schemas.openxmlformats.org/officeDocument/2006/relationships/hyperlink" Target="https://drive.google.com/file/d/0B25lQaincvKeRDdhcWtYYmJmZU0/preview?rm=minimal&amp;resourcekey=0-92_L2M_Cr22X_QBLoXsOOg" TargetMode="External"/><Relationship Id="rId322" Type="http://schemas.openxmlformats.org/officeDocument/2006/relationships/hyperlink" Target="https://www.nbim.no/en/news-and-insights/reports/" TargetMode="External"/><Relationship Id="rId364" Type="http://schemas.openxmlformats.org/officeDocument/2006/relationships/hyperlink" Target="https://sk.kz/upload/iblock/533/533f714fef18b18ea8fd56736d682f5b.pdf" TargetMode="External"/><Relationship Id="rId61" Type="http://schemas.openxmlformats.org/officeDocument/2006/relationships/hyperlink" Target="https://www.ntma.ie/uploads/publication-articles/NPRF-Annual-Report-2005.pdf" TargetMode="External"/><Relationship Id="rId199" Type="http://schemas.openxmlformats.org/officeDocument/2006/relationships/hyperlink" Target="https://static1.squarespace.com/static/53924649e4b010f4651fd393/t/5ac38d280e2e722b065a7602/1522765150975/FAP+IA2017+FINAL.pdf" TargetMode="External"/><Relationship Id="rId571" Type="http://schemas.openxmlformats.org/officeDocument/2006/relationships/hyperlink" Target="https://www.nbim.no/globalassets/reports/2012/annual-report/annual-report-2012.pdf" TargetMode="External"/><Relationship Id="rId627" Type="http://schemas.openxmlformats.org/officeDocument/2006/relationships/hyperlink" Target="https://web.archive.org/web/20220926095933/https:/www.bog.gov.gh/ghana-petroleum-funds/gpf-financial-statements/" TargetMode="External"/><Relationship Id="rId669" Type="http://schemas.openxmlformats.org/officeDocument/2006/relationships/hyperlink" Target="https://www.bog.gov.gh/ghana-petroleum-funds/gpf-financial-statements/" TargetMode="External"/><Relationship Id="rId19" Type="http://schemas.openxmlformats.org/officeDocument/2006/relationships/hyperlink" Target="https://www.kenfo.de/fileadmin/user_upload/geschaeftsberichte/kenfo_geschaeftsbericht_2019.pdf" TargetMode="External"/><Relationship Id="rId224" Type="http://schemas.openxmlformats.org/officeDocument/2006/relationships/hyperlink" Target="https://www.futurefund.gov.au/-/media/0157BE4A07D34753B5B44FBFDBB3DE01.ashx" TargetMode="External"/><Relationship Id="rId266" Type="http://schemas.openxmlformats.org/officeDocument/2006/relationships/hyperlink" Target="https://www.bancocentral.tl/en/go/publications-key-report-petroleum-fund-report?utm_source=chatgpt.com" TargetMode="External"/><Relationship Id="rId431" Type="http://schemas.openxmlformats.org/officeDocument/2006/relationships/hyperlink" Target="https://en.ufrd.uz/f/2020_yil_uchun_moliyaviy_hisobot_eng.pdf" TargetMode="External"/><Relationship Id="rId473" Type="http://schemas.openxmlformats.org/officeDocument/2006/relationships/hyperlink" Target="https://mgis.com.mt/wp-content/uploads/2025/10/MGI-Agency-Year2020-Signed-compressed.pdf" TargetMode="External"/><Relationship Id="rId529" Type="http://schemas.openxmlformats.org/officeDocument/2006/relationships/hyperlink" Target="https://www.khazanah.com.my/media-downloads/the-khazanah-report/" TargetMode="External"/><Relationship Id="rId680" Type="http://schemas.openxmlformats.org/officeDocument/2006/relationships/hyperlink" Target="https://eifo.dk/media/pcplswda/vf-aarsrapport-2022.pdf" TargetMode="External"/><Relationship Id="rId30" Type="http://schemas.openxmlformats.org/officeDocument/2006/relationships/hyperlink" Target="https://www.china-inv.cn/wps/wcm/connect/62e332fc-8ddd-4eb9-b21c-b5cc3585e82a/CICAnnualReport2015.pdf?MOD=AJPERES&amp;CACHEID=62e332fc-8ddd-4eb9-b21c-b5cc3585e82a" TargetMode="External"/><Relationship Id="rId126" Type="http://schemas.openxmlformats.org/officeDocument/2006/relationships/hyperlink" Target="https://drive.google.com/file/d/0B4gcUaZXjZztdmcydVJuZlBuSnM/preview?rm=minimal&amp;resourcekey=0-bKmbgLPVb2B80mcUsKOEuw" TargetMode="External"/><Relationship Id="rId168" Type="http://schemas.openxmlformats.org/officeDocument/2006/relationships/hyperlink" Target="https://drive.google.com/file/d/1mMnsjppLk-BdBvaL1ifYykdW94hk0L5j/preview?rm=minimal" TargetMode="External"/><Relationship Id="rId333" Type="http://schemas.openxmlformats.org/officeDocument/2006/relationships/hyperlink" Target="https://www.mef.gob.pe/contenidos/tesoro_pub/fef/FEF2010.pdf" TargetMode="External"/><Relationship Id="rId540" Type="http://schemas.openxmlformats.org/officeDocument/2006/relationships/hyperlink" Target="https://nationalbank.kz/file/download/1112" TargetMode="External"/><Relationship Id="rId72" Type="http://schemas.openxmlformats.org/officeDocument/2006/relationships/hyperlink" Target="https://www.cdp.it/internet/public/cms/documents/FSI_RFA_2013_ITA.pdf" TargetMode="External"/><Relationship Id="rId375" Type="http://schemas.openxmlformats.org/officeDocument/2006/relationships/hyperlink" Target="https://www.khazanah.com.my/media/uploads/2020/05/2015.pdf" TargetMode="External"/><Relationship Id="rId582" Type="http://schemas.openxmlformats.org/officeDocument/2006/relationships/hyperlink" Target="https://www.nbim.no/globalassets/reports/2000_1999_-1998/2000-annual-report.pdf" TargetMode="External"/><Relationship Id="rId638" Type="http://schemas.openxmlformats.org/officeDocument/2006/relationships/hyperlink" Target="https://www.bog.gov.gh/ghana-petroleum-funds/gpf-financial-statements/" TargetMode="External"/><Relationship Id="rId3" Type="http://schemas.openxmlformats.org/officeDocument/2006/relationships/hyperlink" Target="https://www.oilfund.az/report-and-statistics/get-download-file/flip/8_2004_en.pdf" TargetMode="External"/><Relationship Id="rId235" Type="http://schemas.openxmlformats.org/officeDocument/2006/relationships/hyperlink" Target="https://www.futurefund.gov.au/-/media/0E0A2DBFF3C449A98CCFD57E41F0CCBC.ashx" TargetMode="External"/><Relationship Id="rId277" Type="http://schemas.openxmlformats.org/officeDocument/2006/relationships/hyperlink" Target="https://www.bancocentral.tl/uploads/documentos/documento_1506558376_4574.pdf" TargetMode="External"/><Relationship Id="rId400" Type="http://schemas.openxmlformats.org/officeDocument/2006/relationships/hyperlink" Target="https://tr24.temasekreview.com.sg/performance-and-portfolio.html" TargetMode="External"/><Relationship Id="rId442" Type="http://schemas.openxmlformats.org/officeDocument/2006/relationships/hyperlink" Target="https://www.j-ic.co.jp/jp/finance/report/pdf/report2406_02.pdf" TargetMode="External"/><Relationship Id="rId484" Type="http://schemas.openxmlformats.org/officeDocument/2006/relationships/hyperlink" Target="https://www.fmped.org.mx/transparencia/%7B2917A6FA-869E-4A67-E354-91AF0BD45513%7D.pdf" TargetMode="External"/><Relationship Id="rId705" Type="http://schemas.openxmlformats.org/officeDocument/2006/relationships/hyperlink" Target="https://ws.ndc.gov.tw/001/administrator/32/relfile/7030/33516/329b7df5-51f6-4b03-b5a3-4259a946f7b0.pdf" TargetMode="External"/><Relationship Id="rId137" Type="http://schemas.openxmlformats.org/officeDocument/2006/relationships/hyperlink" Target="https://drive.google.com/file/d/1vAnp9ExuHf7srZZKy5YfapdNGgBm3aya/preview?rm=minimal" TargetMode="External"/><Relationship Id="rId302" Type="http://schemas.openxmlformats.org/officeDocument/2006/relationships/hyperlink" Target="https://www.finance.gov.tt/wp-content/uploads/2025/07/Heritage-and-Stabilisation-Fund-2024-Annual-Report-and-Audited-Financial-statements.pdf" TargetMode="External"/><Relationship Id="rId344" Type="http://schemas.openxmlformats.org/officeDocument/2006/relationships/hyperlink" Target="https://www.cif.gov.il/media/j24nqbne/annual-report-2023-israel-citizens-foundation.pdf" TargetMode="External"/><Relationship Id="rId691" Type="http://schemas.openxmlformats.org/officeDocument/2006/relationships/hyperlink" Target="https://www.mof.gov.tw/download/86353062c61b4e9890d3220af0381074" TargetMode="External"/><Relationship Id="rId41" Type="http://schemas.openxmlformats.org/officeDocument/2006/relationships/hyperlink" Target="https://growthfund.gr/wp-content/uploads/2018/09/Annual_Report_FY2017_en.pdf" TargetMode="External"/><Relationship Id="rId83" Type="http://schemas.openxmlformats.org/officeDocument/2006/relationships/hyperlink" Target="https://www.cdp.it/internet/public/cms/documents/CDP_Equity_RFA-2024_ENG.pdf" TargetMode="External"/><Relationship Id="rId179" Type="http://schemas.openxmlformats.org/officeDocument/2006/relationships/hyperlink" Target="https://naurufinance.info/intergenerational-trust-fund/?utm_source=chatgpt.com" TargetMode="External"/><Relationship Id="rId386" Type="http://schemas.openxmlformats.org/officeDocument/2006/relationships/hyperlink" Target="https://icd.gov.ae/wp-content/uploads/2025/05/ICD_Consolidated_FS_YE_2024_Signed.pdf" TargetMode="External"/><Relationship Id="rId551" Type="http://schemas.openxmlformats.org/officeDocument/2006/relationships/hyperlink" Target="https://sfpim.be/uploads/2022/05/sfpi_rapport_annuel_2008.pdf" TargetMode="External"/><Relationship Id="rId593" Type="http://schemas.openxmlformats.org/officeDocument/2006/relationships/hyperlink" Target="https://d22x99z9pyemfq.cloudfront.net/mumtalakat-annual_report-2021.pdf" TargetMode="External"/><Relationship Id="rId607" Type="http://schemas.openxmlformats.org/officeDocument/2006/relationships/hyperlink" Target="https://d22x99z9pyemfq.cloudfront.net/Mumtalakat-Annual_Report-2007.pdf" TargetMode="External"/><Relationship Id="rId649" Type="http://schemas.openxmlformats.org/officeDocument/2006/relationships/hyperlink" Target="https://www.bog.gov.gh/wp-content/uploads/2024/06/Petroleum-Funds-2023-FS.pdf" TargetMode="External"/><Relationship Id="rId190" Type="http://schemas.openxmlformats.org/officeDocument/2006/relationships/hyperlink" Target="https://nzsuperfund.nz/assets/Publications/Annual-Reports/Annual-Report-2005-06.pdf" TargetMode="External"/><Relationship Id="rId204" Type="http://schemas.openxmlformats.org/officeDocument/2006/relationships/hyperlink" Target="https://static1.squarespace.com/static/53924649e4b010f4651fd393/t/642712fa5d266945cbfb2795/1680282368588/IA2022+Version+Final.pdf" TargetMode="External"/><Relationship Id="rId246" Type="http://schemas.openxmlformats.org/officeDocument/2006/relationships/hyperlink" Target="https://www.hacienda.cl/english/work-areas/international-finance/sovereign-wealth-funds/pension-reserve-fund/financial-situation/market-value" TargetMode="External"/><Relationship Id="rId288" Type="http://schemas.openxmlformats.org/officeDocument/2006/relationships/hyperlink" Target="https://www.finance.gov.tt/wp-content/uploads/2014/02/pubA7E350.pdf" TargetMode="External"/><Relationship Id="rId411" Type="http://schemas.openxmlformats.org/officeDocument/2006/relationships/hyperlink" Target="https://minfin.gov.ru/ru/document/?q_4=&amp;LIBRARY_ACTIVITY_SPHERE_4%5B%5D=5&amp;TYPE_ID_4%5B%5D=9&amp;P_DATE_from_4=&amp;P_DATE_to_4=&amp;M_DATE_from_4=&amp;M_DATE_to_4=&amp;t_4=-7284003952205215286&amp;order_4=&amp;dir_4=desc&amp;by_doc_number_4=0&amp;INF_BLOCK_ID_4=0" TargetMode="External"/><Relationship Id="rId453" Type="http://schemas.openxmlformats.org/officeDocument/2006/relationships/hyperlink" Target="https://fund.ge/en/for-investors/financial-reporting/" TargetMode="External"/><Relationship Id="rId509" Type="http://schemas.openxmlformats.org/officeDocument/2006/relationships/hyperlink" Target="https://oebag.gv.at/en/berichte-downloads/" TargetMode="External"/><Relationship Id="rId660" Type="http://schemas.openxmlformats.org/officeDocument/2006/relationships/hyperlink" Target="https://web.archive.org/web/20220926095933/https:/www.bog.gov.gh/ghana-petroleum-funds/gpf-financial-statements/" TargetMode="External"/><Relationship Id="rId106" Type="http://schemas.openxmlformats.org/officeDocument/2006/relationships/hyperlink" Target="https://mfin.gouvernement.lu/dam-assets/le-minist%C3%A8re/fondssouveraininteregenerationnel/comptes-et-rapports-d%E2%80%99activit%C3%A9s-annuels/comptes-et-rapport-d-activites-annuels-2021.pdf" TargetMode="External"/><Relationship Id="rId313" Type="http://schemas.openxmlformats.org/officeDocument/2006/relationships/hyperlink" Target="https://www.tvf.com.tr/en/who-we-are/about-us/general-info" TargetMode="External"/><Relationship Id="rId495" Type="http://schemas.openxmlformats.org/officeDocument/2006/relationships/hyperlink" Target="https://pfr.pl/raporty-okresowe-i-biezace" TargetMode="External"/><Relationship Id="rId10" Type="http://schemas.openxmlformats.org/officeDocument/2006/relationships/hyperlink" Target="https://cdn.tesouro.gov.br/sistemas-internos/apex/producao/sistemas/thot/arquivos/publicacoes/32474_1021886/RG%20FSB%20Ext%202019_final-1-37.pdf?utm_source=chatgpt.com" TargetMode="External"/><Relationship Id="rId52" Type="http://schemas.openxmlformats.org/officeDocument/2006/relationships/hyperlink" Target="https://bankofguyana.org.gy/bog/images/accounts_budgeting/natural_resource_fund/financial_statements/nrf_audited_financial_statements_2024.pdf" TargetMode="External"/><Relationship Id="rId94" Type="http://schemas.openxmlformats.org/officeDocument/2006/relationships/hyperlink" Target="https://www.nicnbk.kz/backend/web/uploads/files/slider-documents/1590136581_ykpYJzL2LN.pdf" TargetMode="External"/><Relationship Id="rId148" Type="http://schemas.openxmlformats.org/officeDocument/2006/relationships/hyperlink" Target="https://www.fmped.org.mx/informes/%7B7DBA511A-28DB-82A0-9C7D-73921B4858F7%7D.pdf" TargetMode="External"/><Relationship Id="rId355" Type="http://schemas.openxmlformats.org/officeDocument/2006/relationships/hyperlink" Target="https://sk.kz/upload/iblock/bc1/bc1e0e9690d55fa5426f823a0c1796db.pdf" TargetMode="External"/><Relationship Id="rId397" Type="http://schemas.openxmlformats.org/officeDocument/2006/relationships/hyperlink" Target="https://www.mubadala.com/annual-review-2021/en/" TargetMode="External"/><Relationship Id="rId520" Type="http://schemas.openxmlformats.org/officeDocument/2006/relationships/hyperlink" Target="https://www.kenfo.de/fileadmin/user_upload/geschaeftsberichte/kenfo_geschaeftsbericht_2017.pdf" TargetMode="External"/><Relationship Id="rId562" Type="http://schemas.openxmlformats.org/officeDocument/2006/relationships/hyperlink" Target="https://www.nbim.no/contentassets/99de366397a847db99ab7a156e15aaa0/gpfg_annual-report-2022.pdf" TargetMode="External"/><Relationship Id="rId618" Type="http://schemas.openxmlformats.org/officeDocument/2006/relationships/hyperlink" Target="https://nsia.com.ng/investor-relations/nsia-2013-annual-report/" TargetMode="External"/><Relationship Id="rId215" Type="http://schemas.openxmlformats.org/officeDocument/2006/relationships/hyperlink" Target="https://fundosoberano.ao/en/viewer?u=https%3A%2F%2Ffundosoberano.ao%2FPublicFiles%2FFiles%2F6%2FSubContent%2F1fd7afcc-5cde-4ef9-8f84-5bdc9f686f08.pdf&amp;lp_u=https%3A%2F%2Ffundosoberano.ao%2Fen%2Freports%2Fannual-reports" TargetMode="External"/><Relationship Id="rId257" Type="http://schemas.openxmlformats.org/officeDocument/2006/relationships/hyperlink" Target="../../ASHIMINE/AppData/Local/AppData/Local/Temp/MicrosoftEdgeDownloads/e87a3c5d-0a14-460b-b743-74e0de1ebcd5/NTMA-Annual-Report-2018.pdf" TargetMode="External"/><Relationship Id="rId422" Type="http://schemas.openxmlformats.org/officeDocument/2006/relationships/hyperlink" Target="https://www.sepi.es/sites/default/files/2017-11/memoria_sepi_2005.pdf" TargetMode="External"/><Relationship Id="rId464" Type="http://schemas.openxmlformats.org/officeDocument/2006/relationships/hyperlink" Target="https://fund.ge/wp-content/uploads/PF_FS_2014.pdf" TargetMode="External"/><Relationship Id="rId299" Type="http://schemas.openxmlformats.org/officeDocument/2006/relationships/hyperlink" Target="https://www.finance.gov.tt/wp-content/uploads/2022/04/HSF-AR-2021-web-1.pdf" TargetMode="External"/><Relationship Id="rId63" Type="http://schemas.openxmlformats.org/officeDocument/2006/relationships/hyperlink" Target="https://www.ntma.ie/uploads/publication-articles/NPRF-Annual-Report-2007.pdf" TargetMode="External"/><Relationship Id="rId159" Type="http://schemas.openxmlformats.org/officeDocument/2006/relationships/hyperlink" Target="https://drive.google.com/file/d/0B25lQaincvKeUmVvajdvOXR3SmM/preview?rm=minimal&amp;resourcekey=0-yIAqeO1PAvzMYVO31NKT7Q" TargetMode="External"/><Relationship Id="rId366" Type="http://schemas.openxmlformats.org/officeDocument/2006/relationships/hyperlink" Target="https://sk.kz/upload/iblock/48b/48b6b9e82377a09d1926e6874a2dbcd1.pdf" TargetMode="External"/><Relationship Id="rId573" Type="http://schemas.openxmlformats.org/officeDocument/2006/relationships/hyperlink" Target="https://www.nbim.no/globalassets/reports/2011/annual-report-2011/arsrapport_11_eng_web.pdf" TargetMode="External"/><Relationship Id="rId226" Type="http://schemas.openxmlformats.org/officeDocument/2006/relationships/hyperlink" Target="https://www.futurefund.gov.au/en/About-us/-/media/FBC64B0ACB28412F9BE5073F3DDB5FD7.ashx" TargetMode="External"/><Relationship Id="rId433" Type="http://schemas.openxmlformats.org/officeDocument/2006/relationships/hyperlink" Target="https://en.ufrd.uz/f/2018-yil_uchun_buxgalteriya_balansi_va_moliyaviy_natijalar_togrisida_hisobot.pdf" TargetMode="External"/><Relationship Id="rId640" Type="http://schemas.openxmlformats.org/officeDocument/2006/relationships/hyperlink" Target="https://www.bog.gov.gh/ghana-petroleum-funds/gpf-financial-statements/" TargetMode="External"/><Relationship Id="rId74" Type="http://schemas.openxmlformats.org/officeDocument/2006/relationships/hyperlink" Target="https://www.cdp.it/internet/public/cms/documents/FSI_RFA_2015_ENG.pdf" TargetMode="External"/><Relationship Id="rId377" Type="http://schemas.openxmlformats.org/officeDocument/2006/relationships/hyperlink" Target="https://www.khazanah.com.my/media/uploads/2022/07/TKR2021_ENG.pdf" TargetMode="External"/><Relationship Id="rId500" Type="http://schemas.openxmlformats.org/officeDocument/2006/relationships/hyperlink" Target="https://www.mf.gov.cv/web/mf/informa%C3%A7%C3%B5es-individuais-das-empresas-p%C3%BAblicas-e-participadas-do-estado/-/document_library/0Hex4KiPTOcH/view/3630088" TargetMode="External"/><Relationship Id="rId584" Type="http://schemas.openxmlformats.org/officeDocument/2006/relationships/hyperlink" Target="https://www.nbim.no/globalassets/reports/2000_1999_-1998/1998-en.pdf" TargetMode="External"/><Relationship Id="rId5" Type="http://schemas.openxmlformats.org/officeDocument/2006/relationships/hyperlink" Target="https://www.oilfund.az/report-and-statistics/get-download-file/flip/8_2019_en.pdf" TargetMode="External"/><Relationship Id="rId237" Type="http://schemas.openxmlformats.org/officeDocument/2006/relationships/hyperlink" Target="https://www.futurefund.gov.au/-/media/A177CB70DF89432789D6A8CF08A830EF.ashx" TargetMode="External"/><Relationship Id="rId444" Type="http://schemas.openxmlformats.org/officeDocument/2006/relationships/hyperlink" Target="https://www.j-ic.co.jp/jp/finance/report/pdf/report190701_02.pdf" TargetMode="External"/><Relationship Id="rId651" Type="http://schemas.openxmlformats.org/officeDocument/2006/relationships/hyperlink" Target="https://www.bog.gov.gh/wp-content/uploads/2022/11/Petroleum-Funds-2019-FS.pdf" TargetMode="External"/><Relationship Id="rId290" Type="http://schemas.openxmlformats.org/officeDocument/2006/relationships/hyperlink" Target="https://www.finance.gov.tt/wp-content/uploads/2014/02/HSF_2012.pdf" TargetMode="External"/><Relationship Id="rId304" Type="http://schemas.openxmlformats.org/officeDocument/2006/relationships/hyperlink" Target="https://www.finance.gov.tt/publications/heritage-and-stabilisation-fund/" TargetMode="External"/><Relationship Id="rId388" Type="http://schemas.openxmlformats.org/officeDocument/2006/relationships/hyperlink" Target="https://icd.gov.ae/wp-content/uploads/2023/05/ICD_Consolidated_FS_YE_2022_Signed.pdf" TargetMode="External"/><Relationship Id="rId511" Type="http://schemas.openxmlformats.org/officeDocument/2006/relationships/hyperlink" Target="https://oebag.gv.at/en/berichte-downloads/" TargetMode="External"/><Relationship Id="rId609" Type="http://schemas.openxmlformats.org/officeDocument/2006/relationships/hyperlink" Target="https://d22x99z9pyemfq.cloudfront.net/mumtalakat-annual_report-2018.pdf" TargetMode="External"/><Relationship Id="rId85" Type="http://schemas.openxmlformats.org/officeDocument/2006/relationships/hyperlink" Target="https://www.cdp.it/sitointernet/en/cdp_equity_bilanci.page" TargetMode="External"/><Relationship Id="rId150" Type="http://schemas.openxmlformats.org/officeDocument/2006/relationships/hyperlink" Target="https://www.fmped.org.mx/transparencia/%7BFF5EC50F-7250-8FED-EE87-19563671227B%7D.pdf" TargetMode="External"/><Relationship Id="rId595" Type="http://schemas.openxmlformats.org/officeDocument/2006/relationships/hyperlink" Target="https://d22x99z9pyemfq.cloudfront.net/Mumtalakat-2020_AnnualReport_2022-05-13-152000_ixaa.pdf" TargetMode="External"/><Relationship Id="rId248" Type="http://schemas.openxmlformats.org/officeDocument/2006/relationships/hyperlink" Target="https://www.hacienda.cl/areas-de-trabajo/finanzas-internacionales/fondos-soberanos/fondo-de-reserva-de-pensiones/informe-anual/informe-anual-fondos-soberanos-2018" TargetMode="External"/><Relationship Id="rId455" Type="http://schemas.openxmlformats.org/officeDocument/2006/relationships/hyperlink" Target="https://fund.ge/wp-content/uploads/DFG-Consolidated-FS-2024-ENG.pdf" TargetMode="External"/><Relationship Id="rId662" Type="http://schemas.openxmlformats.org/officeDocument/2006/relationships/hyperlink" Target="https://web.archive.org/web/20220926095933/https:/www.bog.gov.gh/ghana-petroleum-funds/gpf-financial-statements/" TargetMode="External"/><Relationship Id="rId12" Type="http://schemas.openxmlformats.org/officeDocument/2006/relationships/hyperlink" Target="https://www.tesourotransparente.gov.br/ckan/dataset/fundo-soberano-do-brasil?utm_source=chatgpt.com" TargetMode="External"/><Relationship Id="rId108" Type="http://schemas.openxmlformats.org/officeDocument/2006/relationships/hyperlink" Target="https://mfin.gouvernement.lu/dam-assets/le-minist%C3%A8re/fondssouveraininteregenerationnel/comptes-et-rapports-d%E2%80%99activit%C3%A9s-annuels/comptes-et-rapport-dactivits-annuels-2022.pdf" TargetMode="External"/><Relationship Id="rId315" Type="http://schemas.openxmlformats.org/officeDocument/2006/relationships/hyperlink" Target="https://kic-annualreport.kr/2024/eng/" TargetMode="External"/><Relationship Id="rId522" Type="http://schemas.openxmlformats.org/officeDocument/2006/relationships/hyperlink" Target="https://www.kenfo.de/start" TargetMode="External"/><Relationship Id="rId96" Type="http://schemas.openxmlformats.org/officeDocument/2006/relationships/hyperlink" Target="https://www.nicnbk.kz/backend/web/uploads/files/slider-documents/1623237564_N6q-gFxabU.pdf" TargetMode="External"/><Relationship Id="rId161" Type="http://schemas.openxmlformats.org/officeDocument/2006/relationships/hyperlink" Target="https://drive.google.com/file/d/0B25lQaincvKeMGY2bHFydWNVeWs/preview?rm=minimal&amp;resourcekey=0-CoJVUAnEJokLNe8DvnseDA" TargetMode="External"/><Relationship Id="rId399" Type="http://schemas.openxmlformats.org/officeDocument/2006/relationships/hyperlink" Target="https://tr23.temasekreview.com.sg/group-financials/group-balance-sheets.html" TargetMode="External"/><Relationship Id="rId259" Type="http://schemas.openxmlformats.org/officeDocument/2006/relationships/hyperlink" Target="../../ASHIMINE/AppData/Local/AppData/Local/Temp/MicrosoftEdgeDownloads/599c8b38-2d82-4dd0-ae63-d271411ea84e/NTMA-Annual-Report-2021-English.pdf" TargetMode="External"/><Relationship Id="rId466" Type="http://schemas.openxmlformats.org/officeDocument/2006/relationships/hyperlink" Target="https://fund.ge/wp-content/uploads/PF_FS_2012.pdf" TargetMode="External"/><Relationship Id="rId673" Type="http://schemas.openxmlformats.org/officeDocument/2006/relationships/hyperlink" Target="https://www.eifo.dk/en/about/annual-report/" TargetMode="External"/><Relationship Id="rId23" Type="http://schemas.openxmlformats.org/officeDocument/2006/relationships/hyperlink" Target="https://www.china-inv.cn/chinainven/Media/Annual_Report.shtml" TargetMode="External"/><Relationship Id="rId119" Type="http://schemas.openxmlformats.org/officeDocument/2006/relationships/hyperlink" Target="https://ndsf.com.mt/wp-content/uploads/2024/04/NDSF_AnnualReport2021.pdf" TargetMode="External"/><Relationship Id="rId326" Type="http://schemas.openxmlformats.org/officeDocument/2006/relationships/hyperlink" Target="https://www.mef.gob.pe/contenidos/tesoro_pub/fef/informe_FEF_anual_2024.pdf" TargetMode="External"/><Relationship Id="rId533" Type="http://schemas.openxmlformats.org/officeDocument/2006/relationships/hyperlink" Target="https://www.fmped.org.mx/rendicion-cuentas.html" TargetMode="External"/><Relationship Id="rId172" Type="http://schemas.openxmlformats.org/officeDocument/2006/relationships/hyperlink" Target="https://drive.google.com/file/d/19y2tT6tVScFMGxTg2STlSFFyZrqSk-NN/preview?rm=minimal" TargetMode="External"/><Relationship Id="rId477" Type="http://schemas.openxmlformats.org/officeDocument/2006/relationships/hyperlink" Target="https://www.fmped.org.mx/informes/%7BEE17B43B-D440-989F-2110-F74E6F72E221%7D.pdf" TargetMode="External"/><Relationship Id="rId600" Type="http://schemas.openxmlformats.org/officeDocument/2006/relationships/hyperlink" Target="https://d22x99z9pyemfq.cloudfront.net/Mumtalakat-Annual_Report-2013.pdf" TargetMode="External"/><Relationship Id="rId684" Type="http://schemas.openxmlformats.org/officeDocument/2006/relationships/hyperlink" Target="https://www.bpifrance.fr/download/media-file/75464" TargetMode="External"/><Relationship Id="rId337" Type="http://schemas.openxmlformats.org/officeDocument/2006/relationships/hyperlink" Target="https://www.mef.gob.pe/es/?utm_source=chatgpt.com&amp;option=com_content&amp;language=es-ES&amp;Itemid=100303&amp;lang=es-ES&amp;view=article&amp;id=1067" TargetMode="External"/><Relationship Id="rId34" Type="http://schemas.openxmlformats.org/officeDocument/2006/relationships/hyperlink" Target="https://www.china-inv.cn/chinainven/xhtml/Media/2019EN.pdf" TargetMode="External"/><Relationship Id="rId544" Type="http://schemas.openxmlformats.org/officeDocument/2006/relationships/hyperlink" Target="https://web.archive.org/web/20081122105248/http:/www.nationalbank.kz/cont/publish740891_3716.pdf" TargetMode="External"/><Relationship Id="rId183" Type="http://schemas.openxmlformats.org/officeDocument/2006/relationships/hyperlink" Target="https://naurufinance.info/wp-content/uploads/2020/07/finals_2019_annual_report.pdf" TargetMode="External"/><Relationship Id="rId390" Type="http://schemas.openxmlformats.org/officeDocument/2006/relationships/hyperlink" Target="https://icd.gov.ae/wp-content/uploads/2021/06/ICD_Consolidated_FS_YE_2020_Signed.pdf" TargetMode="External"/><Relationship Id="rId404" Type="http://schemas.openxmlformats.org/officeDocument/2006/relationships/hyperlink" Target="https://www.minhacienda.gov.co/fondo-de-ahorro-y-estabilizaci%C3%B3n-fae" TargetMode="External"/><Relationship Id="rId611" Type="http://schemas.openxmlformats.org/officeDocument/2006/relationships/hyperlink" Target="https://mfed.gov.ki/sites/default/files/2025-08/RERF%20Annual%20Report%202024_Final.pdf" TargetMode="External"/><Relationship Id="rId250" Type="http://schemas.openxmlformats.org/officeDocument/2006/relationships/hyperlink" Target="https://www.hacienda.cl/areas-de-trabajo/finanzas-internacionales/fondos-soberanos/fondo-de-reserva-de-pensiones/informe-anual/informe-anual-fondos-soberanos-2012" TargetMode="External"/><Relationship Id="rId488" Type="http://schemas.openxmlformats.org/officeDocument/2006/relationships/hyperlink" Target="https://www.monacostatistics.mc/Publications/Focus" TargetMode="External"/><Relationship Id="rId695" Type="http://schemas.openxmlformats.org/officeDocument/2006/relationships/hyperlink" Target="https://www.df.gov.tw/eng/News11.aspx?n=16841C88DAE4CCCE&amp;sms=24D4F1B081C7825E&amp;utm_source=chatgpt.com" TargetMode="External"/><Relationship Id="rId709" Type="http://schemas.openxmlformats.org/officeDocument/2006/relationships/hyperlink" Target="https://ws.ndc.gov.tw/001/administrator/32/relfile/7030/33516/329b7df5-51f6-4b03-b5a3-4259a946f7b0.pdf" TargetMode="External"/><Relationship Id="rId45" Type="http://schemas.openxmlformats.org/officeDocument/2006/relationships/hyperlink" Target="https://growthfund.gr/wp-content/uploads/2024/01/2022_GROWTHFUND_ANNUAL_EN_WEB.pdf" TargetMode="External"/><Relationship Id="rId110" Type="http://schemas.openxmlformats.org/officeDocument/2006/relationships/hyperlink" Target="https://mfin.gouvernement.lu/dam-assets/le-minist%C3%A8re/fondssouveraininteregenerationnel/comptes-et-rapports-d%E2%80%99activit%C3%A9s-annuels/comptes-et-rapport-dactivits-annuels-2024.pdf" TargetMode="External"/><Relationship Id="rId348" Type="http://schemas.openxmlformats.org/officeDocument/2006/relationships/hyperlink" Target="https://sk.kz/investors/financial-performance/fin-report.php?lang=en&amp;utm_source=chatgpt.com" TargetMode="External"/><Relationship Id="rId555" Type="http://schemas.openxmlformats.org/officeDocument/2006/relationships/hyperlink" Target="https://sfpim.be/uploads/2022/05/sfpi_ra2014_fr_web_0.pdf" TargetMode="External"/><Relationship Id="rId194" Type="http://schemas.openxmlformats.org/officeDocument/2006/relationships/hyperlink" Target="https://nzsuperfund.nz/publications/annual-reports/" TargetMode="External"/><Relationship Id="rId208" Type="http://schemas.openxmlformats.org/officeDocument/2006/relationships/hyperlink" Target="https://www.fondoahorropanama.com/informes-anuales" TargetMode="External"/><Relationship Id="rId415" Type="http://schemas.openxmlformats.org/officeDocument/2006/relationships/hyperlink" Target="https://www.sepi.es/sites/default/files/2017-11/informeanualsepi2012.pdf" TargetMode="External"/><Relationship Id="rId622" Type="http://schemas.openxmlformats.org/officeDocument/2006/relationships/hyperlink" Target="https://www.fgis-gabon.com/about" TargetMode="External"/><Relationship Id="rId261" Type="http://schemas.openxmlformats.org/officeDocument/2006/relationships/hyperlink" Target="../../ASHIMINE/AppData/Local/AppData/Local/Temp/MicrosoftEdgeDownloads/6293a113-89a1-4ac5-b02d-361f6954cd18/NTMA-Annual-Report-2022-English.pdf" TargetMode="External"/><Relationship Id="rId499" Type="http://schemas.openxmlformats.org/officeDocument/2006/relationships/hyperlink" Target="https://www.oilfund.az/en/report-and-statistics/report-archive" TargetMode="External"/><Relationship Id="rId56" Type="http://schemas.openxmlformats.org/officeDocument/2006/relationships/hyperlink" Target="https://bankofguyana.org.gy/bog/images/accounts_budgeting/natural_resource_fund/financial_statements/nrf_audited_financial_statements_2020.pdf" TargetMode="External"/><Relationship Id="rId359" Type="http://schemas.openxmlformats.org/officeDocument/2006/relationships/hyperlink" Target="https://sk.kz/upload/iblock/f30/f30e9ede37e17443377d7701423c3f81.pdf" TargetMode="External"/><Relationship Id="rId566" Type="http://schemas.openxmlformats.org/officeDocument/2006/relationships/hyperlink" Target="https://www.nbim.no/contentassets/02bfbbef416f4014b043e74b8405fa97/annual-report-2018-government-pension-fund-global.pdf" TargetMode="External"/><Relationship Id="rId121" Type="http://schemas.openxmlformats.org/officeDocument/2006/relationships/hyperlink" Target="https://ndsf.com.mt/wp-content/uploads/2025/07/Annual-Report-and-Financial-Statements-2023-.pdf" TargetMode="External"/><Relationship Id="rId219" Type="http://schemas.openxmlformats.org/officeDocument/2006/relationships/hyperlink" Target="https://www.futurefund.gov.au/-/media/351EEE84BF8A45C5A746BB9D1369CA6D.ashx" TargetMode="External"/><Relationship Id="rId426" Type="http://schemas.openxmlformats.org/officeDocument/2006/relationships/hyperlink" Target="https://www.sepi.es/es/sala-de-prensa/ultimos-informes/buscador-informes?tid=24" TargetMode="External"/><Relationship Id="rId633" Type="http://schemas.openxmlformats.org/officeDocument/2006/relationships/hyperlink" Target="https://www.bog.gov.gh/ghana-petroleum-funds/gpf-financial-statements/" TargetMode="External"/><Relationship Id="rId67" Type="http://schemas.openxmlformats.org/officeDocument/2006/relationships/hyperlink" Target="https://www.ntma.ie/uploads/publication-articles/NPRF-Annual-Report-2011.pdf" TargetMode="External"/><Relationship Id="rId272" Type="http://schemas.openxmlformats.org/officeDocument/2006/relationships/hyperlink" Target="https://www.bancocentral.tl/uploads/documentos/documento_1474853562_7176.pdf" TargetMode="External"/><Relationship Id="rId577" Type="http://schemas.openxmlformats.org/officeDocument/2006/relationships/hyperlink" Target="https://www.nbim.no/globalassets/reports/2010/english-annual-report-2010-24-march-printed.pdf" TargetMode="External"/><Relationship Id="rId700" Type="http://schemas.openxmlformats.org/officeDocument/2006/relationships/hyperlink" Target="https://ws.ndc.gov.tw/001/administrator/33/relfile/7098/39032/ca34a3ff-589d-4e65-9226-19f6c66f8722.pdf" TargetMode="External"/><Relationship Id="rId132" Type="http://schemas.openxmlformats.org/officeDocument/2006/relationships/hyperlink" Target="https://drive.google.com/file/d/0B4gcUaZXjZztTzIzQUZwQzlidnc/preview?rm=minimal&amp;resourcekey=0-jdixAN-uOGfs249zL2Pgfw" TargetMode="External"/><Relationship Id="rId437" Type="http://schemas.openxmlformats.org/officeDocument/2006/relationships/hyperlink" Target="https://www.j-ic.co.jp/jp/notice/report/" TargetMode="External"/><Relationship Id="rId644" Type="http://schemas.openxmlformats.org/officeDocument/2006/relationships/hyperlink" Target="https://web.archive.org/web/20220926095933/https:/www.bog.gov.gh/ghana-petroleum-funds/gpf-financial-statements/" TargetMode="External"/><Relationship Id="rId283" Type="http://schemas.openxmlformats.org/officeDocument/2006/relationships/hyperlink" Target="https://www.bancocentral.tl/uploads/documentos/documento_1733365071_3436.pdf" TargetMode="External"/><Relationship Id="rId490" Type="http://schemas.openxmlformats.org/officeDocument/2006/relationships/hyperlink" Target="https://pfr.pl/raporty-okresowe-i-biezace" TargetMode="External"/><Relationship Id="rId504" Type="http://schemas.openxmlformats.org/officeDocument/2006/relationships/hyperlink" Target="https://nzsuperfund.nz/assets/Publications/Annual-Reports/Annual-Report-2004-05.pdf" TargetMode="External"/><Relationship Id="rId711" Type="http://schemas.openxmlformats.org/officeDocument/2006/relationships/printerSettings" Target="../printerSettings/printerSettings4.bin"/><Relationship Id="rId78" Type="http://schemas.openxmlformats.org/officeDocument/2006/relationships/hyperlink" Target="https://www.cdp.it/internet/public/cms/documents/CDP_EQUITY_RFA_2019_ENG.pdf" TargetMode="External"/><Relationship Id="rId143" Type="http://schemas.openxmlformats.org/officeDocument/2006/relationships/hyperlink" Target="https://drive.google.com/file/d/1-gsSzCm2Dtl4PC7DyHcObGbDTejG7wYo/preview?rm=minimal" TargetMode="External"/><Relationship Id="rId350" Type="http://schemas.openxmlformats.org/officeDocument/2006/relationships/hyperlink" Target="https://sk.kz/our2024/en/fund-in-numbers.html" TargetMode="External"/><Relationship Id="rId588" Type="http://schemas.openxmlformats.org/officeDocument/2006/relationships/hyperlink" Target="https://www.nbim.no/globalassets/reports/2002/2002-annual-report-eng.pdf" TargetMode="External"/><Relationship Id="rId9" Type="http://schemas.openxmlformats.org/officeDocument/2006/relationships/hyperlink" Target="https://thot-arquivos.tesouro.gov.br/publicacao/30318" TargetMode="External"/><Relationship Id="rId210" Type="http://schemas.openxmlformats.org/officeDocument/2006/relationships/hyperlink" Target="https://issuu.com/fundosoberanoao/docs/rc_fsdea_2021_16062022_final_publica_o_site-merge?utm_medium=referral&amp;utm_source=fundosoberano.ao" TargetMode="External"/><Relationship Id="rId448" Type="http://schemas.openxmlformats.org/officeDocument/2006/relationships/hyperlink" Target="https://tesi.fi/en/news/reports/?filters=1&amp;tags=1327&amp;total=21" TargetMode="External"/><Relationship Id="rId655" Type="http://schemas.openxmlformats.org/officeDocument/2006/relationships/hyperlink" Target="https://www.bog.gov.gh/wp-content/uploads/2021/07/GPF-FS-2015-SIGNED-ACCOUNTS-3.pdf" TargetMode="External"/><Relationship Id="rId294" Type="http://schemas.openxmlformats.org/officeDocument/2006/relationships/hyperlink" Target="https://www.finance.gov.tt/wp-content/uploads/2017/07/HSF-Annual-Report-2016.pdf" TargetMode="External"/><Relationship Id="rId308" Type="http://schemas.openxmlformats.org/officeDocument/2006/relationships/hyperlink" Target="https://www.tvf.com.tr/uploads/file/twf-consolidated-financial-statement-31-december-2020.pdf" TargetMode="External"/><Relationship Id="rId515" Type="http://schemas.openxmlformats.org/officeDocument/2006/relationships/hyperlink" Target="https://oebag.gv.at/wp-content/uploads/2025/09/OEBAG-Annual-Report-2023.pdf" TargetMode="External"/><Relationship Id="rId89" Type="http://schemas.openxmlformats.org/officeDocument/2006/relationships/hyperlink" Target="https://www.nicnbk.kz/backend/web/uploads/files/slider-documents/1590046376_HIE7AfxO5U.pdf" TargetMode="External"/><Relationship Id="rId154" Type="http://schemas.openxmlformats.org/officeDocument/2006/relationships/hyperlink" Target="https://www.fmped.org.mx/informes/%7BEE17B43B-D440-989F-2110-F74E6F72E221%7D.pdf" TargetMode="External"/><Relationship Id="rId361" Type="http://schemas.openxmlformats.org/officeDocument/2006/relationships/hyperlink" Target="https://sk.kz/upload/iblock/52a/52a92748730d811a6f9f81d8be75f750.pdf" TargetMode="External"/><Relationship Id="rId599" Type="http://schemas.openxmlformats.org/officeDocument/2006/relationships/hyperlink" Target="https://d22x99z9pyemfq.cloudfront.net/Mumtalakat-Annual_Report-2014.pdf" TargetMode="External"/><Relationship Id="rId459" Type="http://schemas.openxmlformats.org/officeDocument/2006/relationships/hyperlink" Target="https://fund.ge/wp-content/uploads/PF-Consolidated-FS-2020-ENG.pdf" TargetMode="External"/><Relationship Id="rId666" Type="http://schemas.openxmlformats.org/officeDocument/2006/relationships/hyperlink" Target="https://www.bog.gov.gh/ghana-petroleum-funds/gpf-financial-statements/" TargetMode="External"/><Relationship Id="rId16" Type="http://schemas.openxmlformats.org/officeDocument/2006/relationships/hyperlink" Target="https://www.mf.gov.cv/web/mf/informa%C3%A7%C3%B5es-individuais-das-empresas-p%C3%BAblicas-e-participadas-do-estado/-/document_library/0Hex4KiPTOcH/view_file/4001777?_com_liferay_document_library_web_portlet_DLPortlet_INSTANCE_0Hex4KiPTOcH_redirect=https%3A%2F%2Fwww.mf.gov.cv%2Fweb%2Fmf%2Finforma%25C3%25A7%25C3%25B5es-individuais-das-empresas-p%25C3%25BAblicas-e-participadas-do-estado%2F-%2Fdocument_library%2F0Hex4KiPTOcH%2Fview%2F4001868%3F_com_liferay_document_library_web_portlet_DLPortlet_INSTANCE_0Hex4KiPTOcH_redirect%3Dhttps%253A%252F%252Fwww.mf.gov.cv%252Fweb%252Fmf%252Finforma%2525C3%2525A7%2525C3%2525B5es-individuais-das-empresas-p%2525C3%2525BAblicas-e-participadas-do-estado%252F-%252Fdocument_library%252F0Hex4KiPTOcH%252Fview%252F3630088%253F_com_liferay_document_library_web_portlet_DLPortlet_INSTANCE_0Hex4KiPTOcH_displayStyle%253Ddescriptive%2526_com_liferay_document_library_web_portlet_DLPortlet_INSTANCE_0Hex4KiPTOcH_navigation%253Dhome" TargetMode="External"/><Relationship Id="rId221" Type="http://schemas.openxmlformats.org/officeDocument/2006/relationships/hyperlink" Target="https://www.futurefund.gov.au/-/media/0E0A2DBFF3C449A98CCFD57E41F0CCBC.ashx" TargetMode="External"/><Relationship Id="rId319" Type="http://schemas.openxmlformats.org/officeDocument/2006/relationships/hyperlink" Target="https://www.mubadala.com/en/investors/overview?utm_source=chatgpt.com" TargetMode="External"/><Relationship Id="rId526" Type="http://schemas.openxmlformats.org/officeDocument/2006/relationships/hyperlink" Target="https://www.kic.kr/en/news/reports?p=7" TargetMode="External"/><Relationship Id="rId165" Type="http://schemas.openxmlformats.org/officeDocument/2006/relationships/hyperlink" Target="https://drive.google.com/file/d/0B25lQaincvKecE1UUkNqN3FGd1k/preview?rm=minimal&amp;resourcekey=0-oEfYsceQ_cVfCnnOQldO8Q" TargetMode="External"/><Relationship Id="rId372" Type="http://schemas.openxmlformats.org/officeDocument/2006/relationships/hyperlink" Target="https://www.khazanah.com.my/media/uploads/2020/05/2018.pdf" TargetMode="External"/><Relationship Id="rId677" Type="http://schemas.openxmlformats.org/officeDocument/2006/relationships/hyperlink" Target="https://www.eifo.dk/en/about/annual-report/" TargetMode="External"/><Relationship Id="rId232" Type="http://schemas.openxmlformats.org/officeDocument/2006/relationships/hyperlink" Target="https://www.futurefund.gov.au/-/media/CC54C0443FAA49F5923E8260695C4A33.ashx" TargetMode="External"/><Relationship Id="rId27" Type="http://schemas.openxmlformats.org/officeDocument/2006/relationships/hyperlink" Target="https://www.china-inv.cn/wps/wcm/connect/dd2750af-c025-4886-8ee6-8ce3a9178cbf/CICAnnualReport2011.pdf?MOD=AJPERES&amp;CACHEID=dd2750af-c025-4886-8ee6-8ce3a9178cbf" TargetMode="External"/><Relationship Id="rId537" Type="http://schemas.openxmlformats.org/officeDocument/2006/relationships/hyperlink" Target="https://nationalbank.kz/en/news/godovoy-otchet-nbk?page=1" TargetMode="External"/><Relationship Id="rId80" Type="http://schemas.openxmlformats.org/officeDocument/2006/relationships/hyperlink" Target="https://www.cdp.it/internet/public/cms/documents/CDP_EQUITY_RFA_2021_ENG.pdf" TargetMode="External"/><Relationship Id="rId176" Type="http://schemas.openxmlformats.org/officeDocument/2006/relationships/hyperlink" Target="https://drive.google.com/file/d/0B25lQaincvKebEIxOXdDdm5LSnc/preview?rm=minimal&amp;resourcekey=0-LRI9FWvaMboMnjBb0pmceA" TargetMode="External"/><Relationship Id="rId383" Type="http://schemas.openxmlformats.org/officeDocument/2006/relationships/hyperlink" Target="https://www.pif.gov.sa/-/media/project/pif-corporate/pif-corporate-site/our-financials/annual-reports/pdf/pif-annual-report-2021.pdf" TargetMode="External"/><Relationship Id="rId590" Type="http://schemas.openxmlformats.org/officeDocument/2006/relationships/hyperlink" Target="https://mumtalakat.bh/annual-reports" TargetMode="External"/><Relationship Id="rId604" Type="http://schemas.openxmlformats.org/officeDocument/2006/relationships/hyperlink" Target="https://d22x99z9pyemfq.cloudfront.net/Mumtalakat-Annual_Report-2009.pdf" TargetMode="External"/><Relationship Id="rId243" Type="http://schemas.openxmlformats.org/officeDocument/2006/relationships/hyperlink" Target="https://cms.hacienda.cl/hacienda/assets/documento/descargar/e96958655b2f5/1759329180" TargetMode="External"/><Relationship Id="rId450" Type="http://schemas.openxmlformats.org/officeDocument/2006/relationships/hyperlink" Target="https://tesi.fi/wp-content/uploads/2025/03/Financial-Review_2024_final.pdf" TargetMode="External"/><Relationship Id="rId688" Type="http://schemas.openxmlformats.org/officeDocument/2006/relationships/hyperlink" Target="https://www.mof.gov.tw/multiplehtml/384" TargetMode="External"/><Relationship Id="rId38" Type="http://schemas.openxmlformats.org/officeDocument/2006/relationships/hyperlink" Target="https://www.china-inv.cn/chinainven/xhtml/Media/2023EN.pdf" TargetMode="External"/><Relationship Id="rId103" Type="http://schemas.openxmlformats.org/officeDocument/2006/relationships/hyperlink" Target="https://mfin.gouvernement.lu/dam-assets/le-minist%C3%A8re/fondssouveraininteregenerationnel/comptes-et-rapports-d%E2%80%99activit%C3%A9s-annuels/comptes-an-ra-311217.pdf" TargetMode="External"/><Relationship Id="rId310" Type="http://schemas.openxmlformats.org/officeDocument/2006/relationships/hyperlink" Target="https://www.tvf.com.tr/uploads/file/twf-consolidated-financial-statement-31-december-2023.pdf" TargetMode="External"/><Relationship Id="rId548" Type="http://schemas.openxmlformats.org/officeDocument/2006/relationships/hyperlink" Target="https://sfpim.be/uploads/2022/05/sfpi_rapport_annuel2018_0.pdf" TargetMode="External"/><Relationship Id="rId91" Type="http://schemas.openxmlformats.org/officeDocument/2006/relationships/hyperlink" Target="https://www.nicnbk.kz/backend/web/uploads/files/slider-documents/1590046370_RXby7UGjLx.pdf" TargetMode="External"/><Relationship Id="rId187" Type="http://schemas.openxmlformats.org/officeDocument/2006/relationships/hyperlink" Target="https://naurufinance.info/wp-content/uploads/2024/01/NTF-2023-Annual-Report.pdf" TargetMode="External"/><Relationship Id="rId394" Type="http://schemas.openxmlformats.org/officeDocument/2006/relationships/hyperlink" Target="https://icd.gov.ae/wp-content/uploads/2020/02/ICD-Audited-Consolidated-FS-Dec-2016.pdf" TargetMode="External"/><Relationship Id="rId408" Type="http://schemas.openxmlformats.org/officeDocument/2006/relationships/hyperlink" Target="https://www.minhacienda.gov.co/informe-mensual-y-trimestral-2021/-/document_library/bipi/view_file/1297306?_com_liferay_document_library_web_portlet_DLPortlet_INSTANCE_bipi_redirect=https%3A%2F%2Fwww.minhacienda.gov.co%3A443%2Finforme-mensual-y-trimestral-2021%3Fp_p_id%3Dcom_liferay_document_library_web_portlet_DLPortlet_INSTANCE_bipi%26p_p_lifecycle%3D0%26p_p_state%3Dnormal%26p_p_mode%3Dview&amp;_com_liferay_document_library_web_portlet_DLPortlet_INSTANCE_bipi_fileEntryId=1297306" TargetMode="External"/><Relationship Id="rId615" Type="http://schemas.openxmlformats.org/officeDocument/2006/relationships/hyperlink" Target="https://mfed.gov.ki/node/141" TargetMode="External"/><Relationship Id="rId254" Type="http://schemas.openxmlformats.org/officeDocument/2006/relationships/hyperlink" Target="../../ASHIMINE/AppData/Local/AppData/Local/Temp/MicrosoftEdgeDownloads/7cb16580-2bc7-4255-8aa5-e84c2e14570f/NTMAAnnualReportAndAccounts2015.pdf" TargetMode="External"/><Relationship Id="rId699" Type="http://schemas.openxmlformats.org/officeDocument/2006/relationships/hyperlink" Target="https://ws.ndc.gov.tw/001/administrator/33/relfile/7098/39032/ca34a3ff-589d-4e65-9226-19f6c66f8722.pdf" TargetMode="External"/><Relationship Id="rId49" Type="http://schemas.openxmlformats.org/officeDocument/2006/relationships/hyperlink" Target="https://bankofguyana.org.gy/bog/publications/natural-resource-fund/audited-financial-statements" TargetMode="External"/><Relationship Id="rId114" Type="http://schemas.openxmlformats.org/officeDocument/2006/relationships/hyperlink" Target="https://ndsf.com.mt/wp-content/uploads/2023/08/Annual-Report-2016.pdf" TargetMode="External"/><Relationship Id="rId461" Type="http://schemas.openxmlformats.org/officeDocument/2006/relationships/hyperlink" Target="https://fund.ge/wp-content/uploads/PF-Consolidated-FS-2017-ENG.pdf" TargetMode="External"/><Relationship Id="rId559" Type="http://schemas.openxmlformats.org/officeDocument/2006/relationships/hyperlink" Target="https://sfpim.be/uploads/2022/05/sfpi_rapport_annuel_2007_0.pdf" TargetMode="External"/><Relationship Id="rId198" Type="http://schemas.openxmlformats.org/officeDocument/2006/relationships/hyperlink" Target="https://static1.squarespace.com/static/53924649e4b010f4651fd393/t/58e3b311b3db2b46d4635395/1491317565285/Informe+Anual+2016+del+FAP+%28FINAL%29.pdf" TargetMode="External"/><Relationship Id="rId321" Type="http://schemas.openxmlformats.org/officeDocument/2006/relationships/hyperlink" Target="https://www.kenfo.de/fileadmin/user_upload/geschaeftsberichte/kenfo_geschaeftsbericht_2024_digital.pdf" TargetMode="External"/><Relationship Id="rId419" Type="http://schemas.openxmlformats.org/officeDocument/2006/relationships/hyperlink" Target="https://www.sepi.es/sites/default/files/2017-11/informe2007web.pdf" TargetMode="External"/><Relationship Id="rId626" Type="http://schemas.openxmlformats.org/officeDocument/2006/relationships/hyperlink" Target="https://web.archive.org/web/20220926095933/https:/www.bog.gov.gh/ghana-petroleum-funds/gpf-financial-statements/" TargetMode="External"/><Relationship Id="rId265" Type="http://schemas.openxmlformats.org/officeDocument/2006/relationships/hyperlink" Target="https://www.bancocentral.tl/en/go/publications-key-report-petroleum-fund-report?utm_source=chatgpt.com" TargetMode="External"/><Relationship Id="rId472" Type="http://schemas.openxmlformats.org/officeDocument/2006/relationships/hyperlink" Target="https://mgis.com.mt/wp-content/uploads/2025/10/MGI-Agency-Year-2021-Signed-compressed.pdf" TargetMode="External"/><Relationship Id="rId125" Type="http://schemas.openxmlformats.org/officeDocument/2006/relationships/hyperlink" Target="https://drive.google.com/file/d/0B4gcUaZXjZztdmcydVJuZlBuSnM/preview?rm=minimal&amp;resourcekey=0-bKmbgLPVb2B80mcUsKOEuw" TargetMode="External"/><Relationship Id="rId332" Type="http://schemas.openxmlformats.org/officeDocument/2006/relationships/hyperlink" Target="https://www.mef.gob.pe/contenidos/tesoro_pub/fef/FEF2011.pdf"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caistab.ga/a-propos-de/" TargetMode="External"/><Relationship Id="rId2" Type="http://schemas.openxmlformats.org/officeDocument/2006/relationships/hyperlink" Target="https://www.funcionpublica.gov.co/eva/gestornormativo/norma.php?i=75013" TargetMode="External"/><Relationship Id="rId1" Type="http://schemas.openxmlformats.org/officeDocument/2006/relationships/hyperlink" Target="https://documents1.worldbank.org/curated/en/099062923235023642/pdf/P1750421bc28de0961aadc1edbd7b705ea8.pdf?_gl=1%2A1etop0y%2A_gcl_au%2AMTkyODg5Mzc3NC4xNzIyODM5NjMw&amp;" TargetMode="External"/><Relationship Id="rId6" Type="http://schemas.openxmlformats.org/officeDocument/2006/relationships/hyperlink" Target="https://fsmcfatf.com/file-repository/" TargetMode="External"/><Relationship Id="rId5" Type="http://schemas.openxmlformats.org/officeDocument/2006/relationships/hyperlink" Target="https://rmicfatf.com/file-repository/" TargetMode="External"/><Relationship Id="rId4" Type="http://schemas.openxmlformats.org/officeDocument/2006/relationships/hyperlink" Target="https://web.archive.org/web/20160331213035/http:/en.ndf.ir/About-NDF/Histo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5DDE5-2C4A-49DB-9032-B0921B778419}">
  <dimension ref="B3:C32"/>
  <sheetViews>
    <sheetView topLeftCell="A7" workbookViewId="0">
      <selection activeCell="C10" sqref="C10"/>
    </sheetView>
  </sheetViews>
  <sheetFormatPr baseColWidth="10" defaultColWidth="8.44140625" defaultRowHeight="13.2" x14ac:dyDescent="0.25"/>
  <cols>
    <col min="1" max="1" width="3.33203125" style="27" customWidth="1"/>
    <col min="2" max="2" width="44" style="27" customWidth="1"/>
    <col min="3" max="3" width="118.6640625" style="27" customWidth="1"/>
    <col min="4" max="16384" width="8.44140625" style="27"/>
  </cols>
  <sheetData>
    <row r="3" spans="2:3" x14ac:dyDescent="0.25">
      <c r="B3" s="36"/>
      <c r="C3" s="37"/>
    </row>
    <row r="4" spans="2:3" x14ac:dyDescent="0.25">
      <c r="B4" s="38"/>
      <c r="C4" s="39"/>
    </row>
    <row r="5" spans="2:3" ht="24.6" x14ac:dyDescent="0.25">
      <c r="B5" s="51" t="s">
        <v>0</v>
      </c>
      <c r="C5" s="52"/>
    </row>
    <row r="6" spans="2:3" ht="117" customHeight="1" x14ac:dyDescent="0.25">
      <c r="B6" s="40" t="s">
        <v>1</v>
      </c>
      <c r="C6" s="41" t="s">
        <v>2</v>
      </c>
    </row>
    <row r="7" spans="2:3" ht="36.450000000000003" customHeight="1" x14ac:dyDescent="0.25">
      <c r="B7" s="40" t="s">
        <v>3</v>
      </c>
      <c r="C7" s="42" t="s">
        <v>4</v>
      </c>
    </row>
    <row r="8" spans="2:3" ht="15.45" customHeight="1" x14ac:dyDescent="0.25">
      <c r="B8" s="40"/>
      <c r="C8" s="41"/>
    </row>
    <row r="9" spans="2:3" ht="14.7" customHeight="1" x14ac:dyDescent="0.25">
      <c r="B9" s="40"/>
      <c r="C9" s="41"/>
    </row>
    <row r="10" spans="2:3" ht="94.2" customHeight="1" x14ac:dyDescent="0.25">
      <c r="B10" s="40" t="s">
        <v>5</v>
      </c>
      <c r="C10" s="41" t="s">
        <v>1414</v>
      </c>
    </row>
    <row r="11" spans="2:3" ht="18" x14ac:dyDescent="0.35">
      <c r="B11" s="33"/>
      <c r="C11" s="31"/>
    </row>
    <row r="12" spans="2:3" ht="193.2" customHeight="1" x14ac:dyDescent="0.25">
      <c r="B12" s="40" t="s">
        <v>6</v>
      </c>
      <c r="C12" s="41" t="s">
        <v>7</v>
      </c>
    </row>
    <row r="13" spans="2:3" ht="10.95" customHeight="1" x14ac:dyDescent="0.35">
      <c r="B13" s="33"/>
      <c r="C13" s="41"/>
    </row>
    <row r="14" spans="2:3" ht="79.95" customHeight="1" x14ac:dyDescent="0.25">
      <c r="B14" s="43" t="s">
        <v>8</v>
      </c>
      <c r="C14" s="44" t="s">
        <v>9</v>
      </c>
    </row>
    <row r="15" spans="2:3" ht="14.7" customHeight="1" x14ac:dyDescent="0.25"/>
    <row r="16" spans="2:3" ht="47.7" customHeight="1" x14ac:dyDescent="0.25"/>
    <row r="17" ht="12" customHeight="1" x14ac:dyDescent="0.25"/>
    <row r="18" ht="51" customHeight="1" x14ac:dyDescent="0.25"/>
    <row r="19" ht="45" customHeight="1" x14ac:dyDescent="0.25"/>
    <row r="20" ht="45" customHeight="1" x14ac:dyDescent="0.25"/>
    <row r="21" ht="11.7" customHeight="1" x14ac:dyDescent="0.25"/>
    <row r="22" ht="98.25" customHeight="1" x14ac:dyDescent="0.25"/>
    <row r="23" ht="25.2" customHeight="1" x14ac:dyDescent="0.25"/>
    <row r="24" ht="97.2" customHeight="1" x14ac:dyDescent="0.25"/>
    <row r="25" ht="17.7" customHeight="1" x14ac:dyDescent="0.25"/>
    <row r="26" ht="51" customHeight="1" x14ac:dyDescent="0.25"/>
    <row r="27" ht="57.45" customHeight="1" x14ac:dyDescent="0.25"/>
    <row r="28" ht="13.95" customHeight="1" x14ac:dyDescent="0.25"/>
    <row r="29" ht="38.700000000000003" customHeight="1" x14ac:dyDescent="0.25"/>
    <row r="30" ht="12.45" customHeight="1" x14ac:dyDescent="0.25"/>
    <row r="31" ht="113.7" customHeight="1" x14ac:dyDescent="0.25"/>
    <row r="32" ht="51" customHeight="1" x14ac:dyDescent="0.25"/>
  </sheetData>
  <mergeCells count="1">
    <mergeCell ref="B5:C5"/>
  </mergeCells>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6D210-676F-4331-B281-CC96AAE386A5}">
  <dimension ref="B2:C40"/>
  <sheetViews>
    <sheetView zoomScale="70" zoomScaleNormal="70" workbookViewId="0">
      <selection activeCell="C16" sqref="C16"/>
    </sheetView>
  </sheetViews>
  <sheetFormatPr baseColWidth="10" defaultColWidth="8.6640625" defaultRowHeight="13.2" x14ac:dyDescent="0.25"/>
  <cols>
    <col min="1" max="1" width="8.6640625" style="27"/>
    <col min="2" max="2" width="29.109375" style="27" customWidth="1"/>
    <col min="3" max="3" width="103.109375" style="27" customWidth="1"/>
    <col min="4" max="16384" width="8.6640625" style="27"/>
  </cols>
  <sheetData>
    <row r="2" spans="2:3" ht="46.95" customHeight="1" x14ac:dyDescent="0.4">
      <c r="B2" s="53" t="s">
        <v>0</v>
      </c>
      <c r="C2" s="54"/>
    </row>
    <row r="3" spans="2:3" ht="15" customHeight="1" x14ac:dyDescent="0.45">
      <c r="B3" s="28"/>
      <c r="C3" s="29"/>
    </row>
    <row r="4" spans="2:3" ht="21" x14ac:dyDescent="0.4">
      <c r="B4" s="55" t="s">
        <v>10</v>
      </c>
      <c r="C4" s="56"/>
    </row>
    <row r="5" spans="2:3" ht="15.6" x14ac:dyDescent="0.3">
      <c r="B5" s="30"/>
      <c r="C5" s="31"/>
    </row>
    <row r="6" spans="2:3" ht="15.6" x14ac:dyDescent="0.3">
      <c r="B6" s="32" t="s">
        <v>11</v>
      </c>
      <c r="C6" s="31"/>
    </row>
    <row r="7" spans="2:3" ht="31.95" customHeight="1" x14ac:dyDescent="0.35">
      <c r="B7" s="46" t="s">
        <v>12</v>
      </c>
      <c r="C7" s="31"/>
    </row>
    <row r="8" spans="2:3" ht="18" x14ac:dyDescent="0.35">
      <c r="B8" s="33" t="s">
        <v>13</v>
      </c>
      <c r="C8" s="31" t="s">
        <v>14</v>
      </c>
    </row>
    <row r="9" spans="2:3" ht="32.700000000000003" customHeight="1" x14ac:dyDescent="0.35">
      <c r="B9" s="33" t="s">
        <v>15</v>
      </c>
      <c r="C9" s="31" t="s">
        <v>16</v>
      </c>
    </row>
    <row r="10" spans="2:3" ht="32.700000000000003" customHeight="1" x14ac:dyDescent="0.35">
      <c r="B10" s="33" t="s">
        <v>17</v>
      </c>
      <c r="C10" s="31" t="s">
        <v>18</v>
      </c>
    </row>
    <row r="11" spans="2:3" ht="32.700000000000003" customHeight="1" x14ac:dyDescent="0.35">
      <c r="B11" s="33" t="s">
        <v>19</v>
      </c>
      <c r="C11" s="31" t="s">
        <v>20</v>
      </c>
    </row>
    <row r="12" spans="2:3" ht="32.700000000000003" customHeight="1" x14ac:dyDescent="0.35">
      <c r="B12" s="33" t="s">
        <v>21</v>
      </c>
      <c r="C12" s="31" t="s">
        <v>22</v>
      </c>
    </row>
    <row r="13" spans="2:3" ht="32.700000000000003" customHeight="1" x14ac:dyDescent="0.35">
      <c r="B13" s="33" t="s">
        <v>23</v>
      </c>
      <c r="C13" s="31" t="s">
        <v>24</v>
      </c>
    </row>
    <row r="14" spans="2:3" ht="49.95" customHeight="1" x14ac:dyDescent="0.35">
      <c r="B14" s="46" t="s">
        <v>25</v>
      </c>
      <c r="C14" s="31"/>
    </row>
    <row r="15" spans="2:3" ht="32.700000000000003" customHeight="1" x14ac:dyDescent="0.35">
      <c r="B15" s="33" t="s">
        <v>26</v>
      </c>
      <c r="C15" s="47" t="s">
        <v>27</v>
      </c>
    </row>
    <row r="16" spans="2:3" ht="32.700000000000003" customHeight="1" x14ac:dyDescent="0.35">
      <c r="B16" s="33" t="s">
        <v>28</v>
      </c>
      <c r="C16" s="31" t="s">
        <v>29</v>
      </c>
    </row>
    <row r="17" spans="2:3" ht="32.700000000000003" customHeight="1" x14ac:dyDescent="0.35">
      <c r="B17" s="33" t="s">
        <v>30</v>
      </c>
      <c r="C17" s="31"/>
    </row>
    <row r="18" spans="2:3" ht="32.700000000000003" customHeight="1" x14ac:dyDescent="0.35">
      <c r="B18" s="33" t="s">
        <v>31</v>
      </c>
      <c r="C18" s="31" t="s">
        <v>32</v>
      </c>
    </row>
    <row r="19" spans="2:3" ht="32.700000000000003" customHeight="1" x14ac:dyDescent="0.35">
      <c r="B19" s="33" t="s">
        <v>33</v>
      </c>
      <c r="C19" s="31" t="s">
        <v>34</v>
      </c>
    </row>
    <row r="20" spans="2:3" ht="32.700000000000003" customHeight="1" x14ac:dyDescent="0.35">
      <c r="B20" s="33" t="s">
        <v>35</v>
      </c>
      <c r="C20" s="31" t="s">
        <v>36</v>
      </c>
    </row>
    <row r="21" spans="2:3" ht="32.700000000000003" customHeight="1" x14ac:dyDescent="0.35">
      <c r="B21" s="33" t="s">
        <v>37</v>
      </c>
      <c r="C21" s="31" t="s">
        <v>38</v>
      </c>
    </row>
    <row r="22" spans="2:3" ht="32.700000000000003" customHeight="1" x14ac:dyDescent="0.35">
      <c r="B22" s="33"/>
      <c r="C22" s="31"/>
    </row>
    <row r="23" spans="2:3" ht="32.700000000000003" customHeight="1" x14ac:dyDescent="0.25">
      <c r="B23" s="34"/>
      <c r="C23" s="35"/>
    </row>
    <row r="24" spans="2:3" ht="32.700000000000003" customHeight="1" x14ac:dyDescent="0.25"/>
    <row r="25" spans="2:3" ht="32.700000000000003" customHeight="1" x14ac:dyDescent="0.25"/>
    <row r="26" spans="2:3" ht="32.700000000000003" customHeight="1" x14ac:dyDescent="0.25"/>
    <row r="27" spans="2:3" ht="32.700000000000003" customHeight="1" x14ac:dyDescent="0.25"/>
    <row r="28" spans="2:3" ht="32.700000000000003" customHeight="1" x14ac:dyDescent="0.25"/>
    <row r="29" spans="2:3" ht="32.700000000000003" customHeight="1" x14ac:dyDescent="0.25"/>
    <row r="30" spans="2:3" ht="32.700000000000003" customHeight="1" x14ac:dyDescent="0.25"/>
    <row r="31" spans="2:3" ht="32.700000000000003" customHeight="1" x14ac:dyDescent="0.25"/>
    <row r="32" spans="2:3" ht="32.700000000000003" customHeight="1" x14ac:dyDescent="0.25"/>
    <row r="33" ht="32.700000000000003" customHeight="1" x14ac:dyDescent="0.25"/>
    <row r="34" ht="32.700000000000003" customHeight="1" x14ac:dyDescent="0.25"/>
    <row r="35" ht="32.700000000000003" customHeight="1" x14ac:dyDescent="0.25"/>
    <row r="36" ht="32.700000000000003" customHeight="1" x14ac:dyDescent="0.25"/>
    <row r="37" ht="32.700000000000003" customHeight="1" x14ac:dyDescent="0.25"/>
    <row r="38" ht="32.700000000000003" customHeight="1" x14ac:dyDescent="0.25"/>
    <row r="39" ht="32.700000000000003" customHeight="1" x14ac:dyDescent="0.25"/>
    <row r="40" ht="32.700000000000003" customHeight="1" x14ac:dyDescent="0.25"/>
  </sheetData>
  <mergeCells count="2">
    <mergeCell ref="B2:C2"/>
    <mergeCell ref="B4: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67586-6987-4420-90B9-A1AC6E963EF0}">
  <sheetPr>
    <tabColor theme="0"/>
  </sheetPr>
  <dimension ref="A1:W116"/>
  <sheetViews>
    <sheetView zoomScale="85" zoomScaleNormal="85" workbookViewId="0">
      <pane xSplit="2" ySplit="1" topLeftCell="C2" activePane="bottomRight" state="frozen"/>
      <selection pane="topRight" activeCell="C1" sqref="C1"/>
      <selection pane="bottomLeft" activeCell="A2" sqref="A2"/>
      <selection pane="bottomRight" activeCell="K30" sqref="K30"/>
    </sheetView>
  </sheetViews>
  <sheetFormatPr baseColWidth="10" defaultColWidth="11.44140625" defaultRowHeight="14.4" x14ac:dyDescent="0.3"/>
  <cols>
    <col min="1" max="1" width="57.44140625" customWidth="1"/>
    <col min="2" max="2" width="16.6640625" bestFit="1" customWidth="1"/>
    <col min="3" max="3" width="16.6640625" customWidth="1"/>
    <col min="6" max="6" width="21.44140625" style="2" customWidth="1"/>
    <col min="7" max="7" width="18.6640625" bestFit="1" customWidth="1"/>
    <col min="9" max="9" width="36.44140625" customWidth="1"/>
    <col min="15" max="15" width="40" customWidth="1"/>
    <col min="16" max="16" width="26.6640625" customWidth="1"/>
  </cols>
  <sheetData>
    <row r="1" spans="1:23" ht="15" customHeight="1" x14ac:dyDescent="0.3">
      <c r="A1" t="s">
        <v>13</v>
      </c>
      <c r="B1" t="s">
        <v>39</v>
      </c>
      <c r="C1" t="s">
        <v>40</v>
      </c>
      <c r="D1" t="s">
        <v>26</v>
      </c>
      <c r="E1" s="50" t="s">
        <v>28</v>
      </c>
      <c r="F1" s="2" t="s">
        <v>41</v>
      </c>
      <c r="G1" t="s">
        <v>42</v>
      </c>
      <c r="H1" t="s">
        <v>43</v>
      </c>
      <c r="I1" t="s">
        <v>44</v>
      </c>
      <c r="J1" t="s">
        <v>45</v>
      </c>
      <c r="K1" t="s">
        <v>46</v>
      </c>
      <c r="L1" t="s">
        <v>47</v>
      </c>
      <c r="M1" t="s">
        <v>48</v>
      </c>
      <c r="N1" t="s">
        <v>49</v>
      </c>
      <c r="O1" t="s">
        <v>50</v>
      </c>
      <c r="P1" t="s">
        <v>51</v>
      </c>
      <c r="Q1" t="s">
        <v>52</v>
      </c>
      <c r="R1" t="s">
        <v>53</v>
      </c>
      <c r="S1" t="s">
        <v>54</v>
      </c>
      <c r="T1" t="s">
        <v>55</v>
      </c>
      <c r="U1" t="s">
        <v>56</v>
      </c>
      <c r="V1" t="s">
        <v>57</v>
      </c>
      <c r="W1" t="s">
        <v>58</v>
      </c>
    </row>
    <row r="2" spans="1:23" ht="15" customHeight="1" x14ac:dyDescent="0.3">
      <c r="A2" t="s">
        <v>59</v>
      </c>
      <c r="B2" t="s">
        <v>60</v>
      </c>
      <c r="C2" t="str">
        <f>VLOOKUP(B2,[1]country_codes!A:C,3,FALSE)</f>
        <v>DZA</v>
      </c>
      <c r="D2">
        <v>2000</v>
      </c>
      <c r="E2" s="50"/>
      <c r="F2" s="2">
        <v>16346859000</v>
      </c>
      <c r="G2" t="s">
        <v>61</v>
      </c>
      <c r="J2">
        <v>1</v>
      </c>
      <c r="K2" t="str">
        <f>IFERROR(VLOOKUP($I2,[1]ifsfw!$A:$N,11,FALSE),"")</f>
        <v/>
      </c>
      <c r="L2" t="str">
        <f>IFERROR(VLOOKUP($I2,[1]ifsfw!$A:$N,12,FALSE),"")</f>
        <v/>
      </c>
      <c r="M2" t="str">
        <f>IFERROR(VLOOKUP($I2,[1]ifsfw!$A:$N,13,FALSE),"")</f>
        <v/>
      </c>
      <c r="N2" t="str">
        <f>IFERROR(VLOOKUP($I2,[1]ifsfw!$A:$N,14,FALSE),"")</f>
        <v/>
      </c>
      <c r="O2" s="1" t="s">
        <v>62</v>
      </c>
      <c r="P2" t="s">
        <v>63</v>
      </c>
      <c r="Q2">
        <v>1</v>
      </c>
      <c r="R2">
        <v>0</v>
      </c>
      <c r="S2">
        <v>0</v>
      </c>
      <c r="T2">
        <f t="shared" ref="T2:T33" si="0">SUM(R2:S2)</f>
        <v>0</v>
      </c>
      <c r="U2" s="1" t="s">
        <v>64</v>
      </c>
    </row>
    <row r="3" spans="1:23" ht="15" customHeight="1" x14ac:dyDescent="0.3">
      <c r="A3" t="s">
        <v>65</v>
      </c>
      <c r="B3" t="s">
        <v>66</v>
      </c>
      <c r="C3" t="str">
        <f>VLOOKUP(B3,[1]country_codes!A:C,3,FALSE)</f>
        <v>AGO</v>
      </c>
      <c r="D3">
        <v>2012</v>
      </c>
      <c r="F3" s="2">
        <v>2175093000</v>
      </c>
      <c r="G3" t="s">
        <v>61</v>
      </c>
      <c r="H3">
        <v>1</v>
      </c>
      <c r="I3" t="s">
        <v>65</v>
      </c>
      <c r="J3">
        <v>1</v>
      </c>
      <c r="K3">
        <f>IFERROR(VLOOKUP($I3,[1]ifsfw!$A:$N,11,FALSE),"")</f>
        <v>0</v>
      </c>
      <c r="L3">
        <f>IFERROR(VLOOKUP($I3,[1]ifsfw!$A:$N,12,FALSE),"")</f>
        <v>0</v>
      </c>
      <c r="M3">
        <f>IFERROR(VLOOKUP($I3,[1]ifsfw!$A:$N,13,FALSE),"")</f>
        <v>0</v>
      </c>
      <c r="N3">
        <f>IFERROR(VLOOKUP($I3,[1]ifsfw!$A:$N,14,FALSE),"")</f>
        <v>1</v>
      </c>
      <c r="O3" s="1" t="s">
        <v>67</v>
      </c>
      <c r="P3" t="s">
        <v>68</v>
      </c>
      <c r="Q3">
        <v>0</v>
      </c>
      <c r="R3">
        <v>0</v>
      </c>
      <c r="S3">
        <v>1</v>
      </c>
      <c r="T3">
        <f t="shared" si="0"/>
        <v>1</v>
      </c>
    </row>
    <row r="4" spans="1:23" ht="15" customHeight="1" x14ac:dyDescent="0.3">
      <c r="A4" t="s">
        <v>69</v>
      </c>
      <c r="B4" t="s">
        <v>70</v>
      </c>
      <c r="C4" t="str">
        <f>VLOOKUP(B4,[1]country_codes!A:C,3,FALSE)</f>
        <v>ARM</v>
      </c>
      <c r="D4">
        <v>2019</v>
      </c>
      <c r="F4" s="2">
        <v>1000000000</v>
      </c>
      <c r="G4" t="s">
        <v>71</v>
      </c>
      <c r="H4">
        <v>1</v>
      </c>
      <c r="I4" t="s">
        <v>72</v>
      </c>
      <c r="J4">
        <v>1</v>
      </c>
      <c r="K4">
        <f>IFERROR(VLOOKUP($I4,[1]ifsfw!$A:$N,11,FALSE),"")</f>
        <v>0</v>
      </c>
      <c r="L4">
        <f>IFERROR(VLOOKUP($I4,[1]ifsfw!$A:$N,12,FALSE),"")</f>
        <v>0</v>
      </c>
      <c r="M4">
        <f>IFERROR(VLOOKUP($I4,[1]ifsfw!$A:$N,13,FALSE),"")</f>
        <v>1</v>
      </c>
      <c r="N4">
        <f>IFERROR(VLOOKUP($I4,[1]ifsfw!$A:$N,14,FALSE),"")</f>
        <v>0</v>
      </c>
      <c r="O4" s="1" t="s">
        <v>73</v>
      </c>
      <c r="P4" t="s">
        <v>74</v>
      </c>
      <c r="Q4">
        <v>0</v>
      </c>
      <c r="R4">
        <v>0</v>
      </c>
      <c r="S4">
        <v>1</v>
      </c>
      <c r="T4">
        <f t="shared" si="0"/>
        <v>1</v>
      </c>
    </row>
    <row r="5" spans="1:23" ht="15" customHeight="1" x14ac:dyDescent="0.3">
      <c r="A5" t="s">
        <v>75</v>
      </c>
      <c r="B5" t="s">
        <v>76</v>
      </c>
      <c r="C5" t="str">
        <f>VLOOKUP(B5,[1]country_codes!A:C,3,FALSE)</f>
        <v>AUS</v>
      </c>
      <c r="D5">
        <v>2006</v>
      </c>
      <c r="F5" s="2">
        <v>135838775226</v>
      </c>
      <c r="G5" t="s">
        <v>77</v>
      </c>
      <c r="H5">
        <v>1</v>
      </c>
      <c r="I5" t="s">
        <v>75</v>
      </c>
      <c r="J5">
        <v>1</v>
      </c>
      <c r="K5">
        <f>IFERROR(VLOOKUP($I5,[1]ifsfw!$A:$N,11,FALSE),"")</f>
        <v>0</v>
      </c>
      <c r="L5">
        <f>IFERROR(VLOOKUP($I5,[1]ifsfw!$A:$N,12,FALSE),"")</f>
        <v>1</v>
      </c>
      <c r="M5">
        <f>IFERROR(VLOOKUP($I5,[1]ifsfw!$A:$N,13,FALSE),"")</f>
        <v>0</v>
      </c>
      <c r="N5">
        <f>IFERROR(VLOOKUP($I5,[1]ifsfw!$A:$N,14,FALSE),"")</f>
        <v>0</v>
      </c>
      <c r="O5" s="1" t="s">
        <v>78</v>
      </c>
      <c r="P5" t="s">
        <v>79</v>
      </c>
      <c r="Q5">
        <v>0</v>
      </c>
      <c r="R5">
        <v>1</v>
      </c>
      <c r="S5">
        <v>0</v>
      </c>
      <c r="T5">
        <f t="shared" si="0"/>
        <v>1</v>
      </c>
      <c r="W5" s="3" t="s">
        <v>80</v>
      </c>
    </row>
    <row r="6" spans="1:23" ht="15" customHeight="1" x14ac:dyDescent="0.3">
      <c r="A6" t="s">
        <v>81</v>
      </c>
      <c r="B6" t="s">
        <v>82</v>
      </c>
      <c r="C6" t="str">
        <f>VLOOKUP(B6,[1]country_codes!A:C,3,FALSE)</f>
        <v>AUT</v>
      </c>
      <c r="D6">
        <v>1967</v>
      </c>
      <c r="F6" s="2">
        <v>3983315867</v>
      </c>
      <c r="G6" t="s">
        <v>83</v>
      </c>
      <c r="J6">
        <v>1</v>
      </c>
      <c r="K6" t="str">
        <f>IFERROR(VLOOKUP($I6,[1]ifsfw!$A:$N,11,FALSE),"")</f>
        <v/>
      </c>
      <c r="L6" t="str">
        <f>IFERROR(VLOOKUP($I6,[1]ifsfw!$A:$N,12,FALSE),"")</f>
        <v/>
      </c>
      <c r="M6" t="str">
        <f>IFERROR(VLOOKUP($I6,[1]ifsfw!$A:$N,13,FALSE),"")</f>
        <v/>
      </c>
      <c r="N6" t="str">
        <f>IFERROR(VLOOKUP($I6,[1]ifsfw!$A:$N,14,FALSE),"")</f>
        <v/>
      </c>
      <c r="O6" s="1" t="s">
        <v>84</v>
      </c>
      <c r="P6" t="s">
        <v>85</v>
      </c>
      <c r="Q6">
        <v>0</v>
      </c>
      <c r="R6">
        <v>1</v>
      </c>
      <c r="S6">
        <v>0</v>
      </c>
      <c r="T6">
        <f t="shared" si="0"/>
        <v>1</v>
      </c>
    </row>
    <row r="7" spans="1:23" ht="15" customHeight="1" x14ac:dyDescent="0.3">
      <c r="A7" t="s">
        <v>86</v>
      </c>
      <c r="B7" t="s">
        <v>87</v>
      </c>
      <c r="C7" t="str">
        <f>VLOOKUP(B7,[1]country_codes!A:C,3,FALSE)</f>
        <v>AZE</v>
      </c>
      <c r="D7">
        <v>2001</v>
      </c>
      <c r="F7" s="2">
        <v>45263330000</v>
      </c>
      <c r="G7" t="s">
        <v>71</v>
      </c>
      <c r="H7">
        <v>1</v>
      </c>
      <c r="I7" t="s">
        <v>88</v>
      </c>
      <c r="J7">
        <v>1</v>
      </c>
      <c r="K7">
        <f>IFERROR(VLOOKUP($I7,[1]ifsfw!$A:$N,11,FALSE),"")</f>
        <v>0</v>
      </c>
      <c r="L7">
        <f>IFERROR(VLOOKUP($I7,[1]ifsfw!$A:$N,12,FALSE),"")</f>
        <v>0</v>
      </c>
      <c r="M7">
        <f>IFERROR(VLOOKUP($I7,[1]ifsfw!$A:$N,13,FALSE),"")</f>
        <v>0</v>
      </c>
      <c r="N7">
        <f>IFERROR(VLOOKUP($I7,[1]ifsfw!$A:$N,14,FALSE),"")</f>
        <v>1</v>
      </c>
      <c r="O7" s="1" t="s">
        <v>89</v>
      </c>
      <c r="P7" t="s">
        <v>90</v>
      </c>
      <c r="Q7">
        <v>1</v>
      </c>
      <c r="R7" s="5">
        <v>0</v>
      </c>
      <c r="S7">
        <v>0</v>
      </c>
      <c r="T7">
        <f t="shared" si="0"/>
        <v>0</v>
      </c>
      <c r="U7" s="1" t="s">
        <v>91</v>
      </c>
      <c r="V7" t="s">
        <v>92</v>
      </c>
    </row>
    <row r="8" spans="1:23" ht="15" customHeight="1" x14ac:dyDescent="0.3">
      <c r="A8" t="s">
        <v>93</v>
      </c>
      <c r="B8" t="s">
        <v>87</v>
      </c>
      <c r="C8" t="str">
        <f>VLOOKUP(B8,[1]country_codes!A:C,3,FALSE)</f>
        <v>AZE</v>
      </c>
      <c r="D8">
        <v>2020</v>
      </c>
      <c r="F8" s="2">
        <v>22000000000</v>
      </c>
      <c r="G8" t="s">
        <v>71</v>
      </c>
      <c r="J8">
        <v>1</v>
      </c>
      <c r="K8" t="str">
        <f>IFERROR(VLOOKUP($I8,[1]ifsfw!$A:$N,11,FALSE),"")</f>
        <v/>
      </c>
      <c r="L8" t="str">
        <f>IFERROR(VLOOKUP($I8,[1]ifsfw!$A:$N,12,FALSE),"")</f>
        <v/>
      </c>
      <c r="M8" t="str">
        <f>IFERROR(VLOOKUP($I8,[1]ifsfw!$A:$N,13,FALSE),"")</f>
        <v/>
      </c>
      <c r="N8" t="str">
        <f>IFERROR(VLOOKUP($I8,[1]ifsfw!$A:$N,14,FALSE),"")</f>
        <v/>
      </c>
      <c r="O8" s="1" t="s">
        <v>94</v>
      </c>
      <c r="P8" t="s">
        <v>95</v>
      </c>
      <c r="Q8">
        <v>0</v>
      </c>
      <c r="R8">
        <v>0</v>
      </c>
      <c r="S8">
        <v>1</v>
      </c>
      <c r="T8">
        <f t="shared" si="0"/>
        <v>1</v>
      </c>
    </row>
    <row r="9" spans="1:23" ht="15" customHeight="1" x14ac:dyDescent="0.3">
      <c r="A9" t="s">
        <v>96</v>
      </c>
      <c r="B9" t="s">
        <v>97</v>
      </c>
      <c r="C9" t="str">
        <f>VLOOKUP(B9,[1]country_codes!A:C,3,FALSE)</f>
        <v>BHR</v>
      </c>
      <c r="D9">
        <v>2006</v>
      </c>
      <c r="F9" s="2">
        <v>626900000</v>
      </c>
      <c r="G9" t="s">
        <v>98</v>
      </c>
      <c r="H9">
        <v>1</v>
      </c>
      <c r="I9" t="s">
        <v>99</v>
      </c>
      <c r="J9">
        <v>1</v>
      </c>
      <c r="K9">
        <f>IFERROR(VLOOKUP($I9,[1]ifsfw!$A:$N,11,FALSE),"")</f>
        <v>0</v>
      </c>
      <c r="L9">
        <f>IFERROR(VLOOKUP($I9,[1]ifsfw!$A:$N,12,FALSE),"")</f>
        <v>1</v>
      </c>
      <c r="M9">
        <f>IFERROR(VLOOKUP($I9,[1]ifsfw!$A:$N,13,FALSE),"")</f>
        <v>0</v>
      </c>
      <c r="N9">
        <f>IFERROR(VLOOKUP($I9,[1]ifsfw!$A:$N,14,FALSE),"")</f>
        <v>0</v>
      </c>
      <c r="O9" s="1" t="s">
        <v>100</v>
      </c>
      <c r="P9" t="s">
        <v>101</v>
      </c>
      <c r="Q9">
        <v>0</v>
      </c>
      <c r="R9">
        <v>1</v>
      </c>
      <c r="S9">
        <v>0</v>
      </c>
      <c r="T9">
        <f t="shared" si="0"/>
        <v>1</v>
      </c>
    </row>
    <row r="10" spans="1:23" ht="15" customHeight="1" x14ac:dyDescent="0.3">
      <c r="A10" t="s">
        <v>102</v>
      </c>
      <c r="B10" t="s">
        <v>97</v>
      </c>
      <c r="C10" t="str">
        <f>VLOOKUP(B10,[1]country_codes!A:C,3,FALSE)</f>
        <v>BHR</v>
      </c>
      <c r="D10">
        <v>2006</v>
      </c>
      <c r="F10" s="2">
        <v>18268845719</v>
      </c>
      <c r="G10" t="s">
        <v>98</v>
      </c>
      <c r="H10">
        <v>1</v>
      </c>
      <c r="I10" t="s">
        <v>103</v>
      </c>
      <c r="J10">
        <v>1</v>
      </c>
      <c r="K10">
        <f>IFERROR(VLOOKUP($I10,[1]ifsfw!$A:$N,11,FALSE),"")</f>
        <v>0</v>
      </c>
      <c r="L10">
        <f>IFERROR(VLOOKUP($I10,[1]ifsfw!$A:$N,12,FALSE),"")</f>
        <v>0</v>
      </c>
      <c r="M10">
        <f>IFERROR(VLOOKUP($I10,[1]ifsfw!$A:$N,13,FALSE),"")</f>
        <v>1</v>
      </c>
      <c r="N10">
        <f>IFERROR(VLOOKUP($I10,[1]ifsfw!$A:$N,14,FALSE),"")</f>
        <v>0</v>
      </c>
      <c r="O10" s="1" t="s">
        <v>104</v>
      </c>
      <c r="P10" t="s">
        <v>105</v>
      </c>
      <c r="Q10">
        <v>0</v>
      </c>
      <c r="R10">
        <v>0</v>
      </c>
      <c r="S10">
        <v>1</v>
      </c>
      <c r="T10">
        <f t="shared" si="0"/>
        <v>1</v>
      </c>
    </row>
    <row r="11" spans="1:23" ht="15" customHeight="1" x14ac:dyDescent="0.3">
      <c r="A11" t="s">
        <v>106</v>
      </c>
      <c r="B11" t="s">
        <v>107</v>
      </c>
      <c r="C11" t="str">
        <f>VLOOKUP(B11,[1]country_codes!A:C,3,FALSE)</f>
        <v>BEL</v>
      </c>
      <c r="D11">
        <v>2006</v>
      </c>
      <c r="F11" s="2">
        <v>2696950000</v>
      </c>
      <c r="G11" t="s">
        <v>83</v>
      </c>
      <c r="H11">
        <v>1</v>
      </c>
      <c r="I11" t="s">
        <v>108</v>
      </c>
      <c r="J11">
        <v>1</v>
      </c>
      <c r="K11">
        <f>IFERROR(VLOOKUP($I11,[1]ifsfw!$A:$N,11,FALSE),"")</f>
        <v>0</v>
      </c>
      <c r="L11">
        <f>IFERROR(VLOOKUP($I11,[1]ifsfw!$A:$N,12,FALSE),"")</f>
        <v>0</v>
      </c>
      <c r="M11">
        <f>IFERROR(VLOOKUP($I11,[1]ifsfw!$A:$N,13,FALSE),"")</f>
        <v>1</v>
      </c>
      <c r="N11">
        <f>IFERROR(VLOOKUP($I11,[1]ifsfw!$A:$N,14,FALSE),"")</f>
        <v>0</v>
      </c>
      <c r="O11" s="1" t="s">
        <v>109</v>
      </c>
      <c r="P11" t="s">
        <v>110</v>
      </c>
      <c r="Q11">
        <v>0</v>
      </c>
      <c r="R11">
        <v>0</v>
      </c>
      <c r="S11">
        <v>1</v>
      </c>
      <c r="T11">
        <f t="shared" si="0"/>
        <v>1</v>
      </c>
    </row>
    <row r="12" spans="1:23" ht="15" customHeight="1" x14ac:dyDescent="0.3">
      <c r="A12" t="s">
        <v>111</v>
      </c>
      <c r="B12" t="s">
        <v>112</v>
      </c>
      <c r="C12" t="str">
        <f>VLOOKUP(B12,[1]country_codes!A:C,3,FALSE)</f>
        <v>BTN</v>
      </c>
      <c r="D12">
        <v>2018</v>
      </c>
      <c r="F12" s="2">
        <v>7967586</v>
      </c>
      <c r="G12" t="s">
        <v>71</v>
      </c>
      <c r="H12">
        <v>1</v>
      </c>
      <c r="I12" t="s">
        <v>113</v>
      </c>
      <c r="J12">
        <v>1</v>
      </c>
      <c r="K12">
        <f>IFERROR(VLOOKUP($I12,[1]ifsfw!$A:$N,11,FALSE),"")</f>
        <v>1</v>
      </c>
      <c r="L12">
        <f>IFERROR(VLOOKUP($I12,[1]ifsfw!$A:$N,12,FALSE),"")</f>
        <v>0</v>
      </c>
      <c r="M12">
        <f>IFERROR(VLOOKUP($I12,[1]ifsfw!$A:$N,13,FALSE),"")</f>
        <v>0</v>
      </c>
      <c r="N12">
        <f>IFERROR(VLOOKUP($I12,[1]ifsfw!$A:$N,14,FALSE),"")</f>
        <v>0</v>
      </c>
      <c r="O12" s="1" t="s">
        <v>114</v>
      </c>
      <c r="P12" t="s">
        <v>115</v>
      </c>
      <c r="Q12">
        <v>1</v>
      </c>
      <c r="R12">
        <v>0</v>
      </c>
      <c r="S12">
        <v>0</v>
      </c>
      <c r="T12">
        <f t="shared" si="0"/>
        <v>0</v>
      </c>
      <c r="W12" s="3" t="s">
        <v>116</v>
      </c>
    </row>
    <row r="13" spans="1:23" ht="15" customHeight="1" x14ac:dyDescent="0.3">
      <c r="A13" t="s">
        <v>117</v>
      </c>
      <c r="B13" t="s">
        <v>118</v>
      </c>
      <c r="C13" t="str">
        <f>VLOOKUP(B13,[1]country_codes!A:C,3,FALSE)</f>
        <v>BOL</v>
      </c>
      <c r="D13">
        <v>2013</v>
      </c>
      <c r="F13" s="2">
        <v>413800000</v>
      </c>
      <c r="G13" t="s">
        <v>119</v>
      </c>
      <c r="H13">
        <v>1</v>
      </c>
      <c r="I13" t="s">
        <v>120</v>
      </c>
      <c r="J13">
        <v>1</v>
      </c>
      <c r="K13">
        <f>IFERROR(VLOOKUP($I13,[1]ifsfw!$A:$N,11,FALSE),"")</f>
        <v>0</v>
      </c>
      <c r="L13">
        <f>IFERROR(VLOOKUP($I13,[1]ifsfw!$A:$N,12,FALSE),"")</f>
        <v>0</v>
      </c>
      <c r="M13">
        <f>IFERROR(VLOOKUP($I13,[1]ifsfw!$A:$N,13,FALSE),"")</f>
        <v>1</v>
      </c>
      <c r="N13">
        <f>IFERROR(VLOOKUP($I13,[1]ifsfw!$A:$N,14,FALSE),"")</f>
        <v>0</v>
      </c>
      <c r="O13" s="1" t="s">
        <v>121</v>
      </c>
      <c r="P13" t="s">
        <v>122</v>
      </c>
      <c r="Q13">
        <v>0</v>
      </c>
      <c r="R13">
        <v>0</v>
      </c>
      <c r="S13">
        <v>1</v>
      </c>
      <c r="T13">
        <f t="shared" si="0"/>
        <v>1</v>
      </c>
      <c r="W13" s="4" t="s">
        <v>123</v>
      </c>
    </row>
    <row r="14" spans="1:23" ht="15" customHeight="1" x14ac:dyDescent="0.3">
      <c r="A14" t="s">
        <v>124</v>
      </c>
      <c r="B14" t="s">
        <v>125</v>
      </c>
      <c r="C14" t="str">
        <f>VLOOKUP(B14,[1]country_codes!A:C,3,FALSE)</f>
        <v>BWA</v>
      </c>
      <c r="D14">
        <v>1994</v>
      </c>
      <c r="F14" s="2">
        <v>4125360000</v>
      </c>
      <c r="G14" t="s">
        <v>61</v>
      </c>
      <c r="H14">
        <v>1</v>
      </c>
      <c r="I14" t="s">
        <v>124</v>
      </c>
      <c r="J14">
        <v>1</v>
      </c>
      <c r="K14">
        <f>IFERROR(VLOOKUP($I14,[1]ifsfw!$A:$N,11,FALSE),"")</f>
        <v>0</v>
      </c>
      <c r="L14">
        <f>IFERROR(VLOOKUP($I14,[1]ifsfw!$A:$N,12,FALSE),"")</f>
        <v>0</v>
      </c>
      <c r="M14">
        <f>IFERROR(VLOOKUP($I14,[1]ifsfw!$A:$N,13,FALSE),"")</f>
        <v>0</v>
      </c>
      <c r="N14">
        <f>IFERROR(VLOOKUP($I14,[1]ifsfw!$A:$N,14,FALSE),"")</f>
        <v>1</v>
      </c>
      <c r="O14" s="1" t="s">
        <v>126</v>
      </c>
      <c r="P14" t="s">
        <v>127</v>
      </c>
      <c r="Q14">
        <v>1</v>
      </c>
      <c r="R14">
        <v>0</v>
      </c>
      <c r="S14">
        <v>0</v>
      </c>
      <c r="T14">
        <f t="shared" si="0"/>
        <v>0</v>
      </c>
      <c r="U14" s="1" t="s">
        <v>128</v>
      </c>
      <c r="V14" t="s">
        <v>129</v>
      </c>
      <c r="W14" s="3" t="s">
        <v>130</v>
      </c>
    </row>
    <row r="15" spans="1:23" ht="15" customHeight="1" x14ac:dyDescent="0.3">
      <c r="A15" t="s">
        <v>131</v>
      </c>
      <c r="B15" t="s">
        <v>132</v>
      </c>
      <c r="C15" t="str">
        <f>VLOOKUP(B15,[1]country_codes!A:C,3,FALSE)</f>
        <v>BRA</v>
      </c>
      <c r="D15">
        <v>2008</v>
      </c>
      <c r="E15" s="50">
        <v>2018</v>
      </c>
      <c r="G15" t="s">
        <v>119</v>
      </c>
      <c r="J15">
        <v>1</v>
      </c>
      <c r="K15" t="str">
        <f>IFERROR(VLOOKUP($I15,[1]ifsfw!$A:$N,11,FALSE),"")</f>
        <v/>
      </c>
      <c r="L15" t="str">
        <f>IFERROR(VLOOKUP($I15,[1]ifsfw!$A:$N,12,FALSE),"")</f>
        <v/>
      </c>
      <c r="M15" t="str">
        <f>IFERROR(VLOOKUP($I15,[1]ifsfw!$A:$N,13,FALSE),"")</f>
        <v/>
      </c>
      <c r="N15" t="str">
        <f>IFERROR(VLOOKUP($I15,[1]ifsfw!$A:$N,14,FALSE),"")</f>
        <v/>
      </c>
      <c r="O15" s="1" t="s">
        <v>133</v>
      </c>
      <c r="P15" t="s">
        <v>134</v>
      </c>
      <c r="Q15">
        <v>1</v>
      </c>
      <c r="R15">
        <v>0</v>
      </c>
      <c r="S15">
        <v>0</v>
      </c>
      <c r="T15">
        <f t="shared" si="0"/>
        <v>0</v>
      </c>
      <c r="U15" s="1" t="s">
        <v>135</v>
      </c>
      <c r="V15" t="s">
        <v>136</v>
      </c>
    </row>
    <row r="16" spans="1:23" ht="15" customHeight="1" x14ac:dyDescent="0.3">
      <c r="A16" t="s">
        <v>137</v>
      </c>
      <c r="B16" t="s">
        <v>138</v>
      </c>
      <c r="C16" t="str">
        <f>VLOOKUP(B16,[1]country_codes!A:C,3,FALSE)</f>
        <v>CPV</v>
      </c>
      <c r="D16">
        <v>2021</v>
      </c>
      <c r="F16" s="2">
        <v>122824000</v>
      </c>
      <c r="G16" t="s">
        <v>61</v>
      </c>
      <c r="H16">
        <v>2</v>
      </c>
      <c r="I16" t="s">
        <v>139</v>
      </c>
      <c r="J16">
        <v>1</v>
      </c>
      <c r="K16">
        <f>IFERROR(VLOOKUP($I16,[1]ifsfw!$A:$N,11,FALSE),"")</f>
        <v>0</v>
      </c>
      <c r="L16">
        <f>IFERROR(VLOOKUP($I16,[1]ifsfw!$A:$N,12,FALSE),"")</f>
        <v>0</v>
      </c>
      <c r="M16">
        <f>IFERROR(VLOOKUP($I16,[1]ifsfw!$A:$N,13,FALSE),"")</f>
        <v>1</v>
      </c>
      <c r="N16">
        <f>IFERROR(VLOOKUP($I16,[1]ifsfw!$A:$N,14,FALSE),"")</f>
        <v>0</v>
      </c>
      <c r="O16" s="1" t="s">
        <v>140</v>
      </c>
      <c r="P16" t="s">
        <v>141</v>
      </c>
      <c r="Q16">
        <v>0</v>
      </c>
      <c r="R16">
        <v>0</v>
      </c>
      <c r="S16">
        <v>1</v>
      </c>
      <c r="T16">
        <f t="shared" si="0"/>
        <v>1</v>
      </c>
      <c r="U16" s="1" t="s">
        <v>142</v>
      </c>
    </row>
    <row r="17" spans="1:23" ht="15" customHeight="1" x14ac:dyDescent="0.3">
      <c r="A17" t="s">
        <v>143</v>
      </c>
      <c r="B17" t="s">
        <v>144</v>
      </c>
      <c r="C17" t="str">
        <f>VLOOKUP(B17,[1]country_codes!A:C,3,FALSE)</f>
        <v>CHL</v>
      </c>
      <c r="D17">
        <v>2006</v>
      </c>
      <c r="F17" s="2">
        <v>6450928341.54</v>
      </c>
      <c r="G17" t="s">
        <v>119</v>
      </c>
      <c r="H17">
        <v>1</v>
      </c>
      <c r="I17" t="s">
        <v>145</v>
      </c>
      <c r="J17">
        <v>1</v>
      </c>
      <c r="K17">
        <f>IFERROR(VLOOKUP($I17,[1]ifsfw!$A:$N,11,FALSE),"")</f>
        <v>0</v>
      </c>
      <c r="L17">
        <f>IFERROR(VLOOKUP($I17,[1]ifsfw!$A:$N,12,FALSE),"")</f>
        <v>1</v>
      </c>
      <c r="M17">
        <f>IFERROR(VLOOKUP($I17,[1]ifsfw!$A:$N,13,FALSE),"")</f>
        <v>0</v>
      </c>
      <c r="N17">
        <f>IFERROR(VLOOKUP($I17,[1]ifsfw!$A:$N,14,FALSE),"")</f>
        <v>0</v>
      </c>
      <c r="O17" s="1" t="s">
        <v>146</v>
      </c>
      <c r="P17" t="s">
        <v>147</v>
      </c>
      <c r="Q17">
        <v>0</v>
      </c>
      <c r="R17">
        <v>1</v>
      </c>
      <c r="S17">
        <v>0</v>
      </c>
      <c r="T17">
        <f t="shared" si="0"/>
        <v>1</v>
      </c>
    </row>
    <row r="18" spans="1:23" ht="15" customHeight="1" x14ac:dyDescent="0.3">
      <c r="A18" t="s">
        <v>148</v>
      </c>
      <c r="B18" t="s">
        <v>144</v>
      </c>
      <c r="C18" t="str">
        <f>VLOOKUP(B18,[1]country_codes!A:C,3,FALSE)</f>
        <v>CHL</v>
      </c>
      <c r="D18">
        <v>2007</v>
      </c>
      <c r="F18" s="2">
        <v>6940838304.25</v>
      </c>
      <c r="G18" t="s">
        <v>119</v>
      </c>
      <c r="H18">
        <v>1</v>
      </c>
      <c r="I18" t="s">
        <v>149</v>
      </c>
      <c r="J18">
        <v>1</v>
      </c>
      <c r="K18">
        <f>IFERROR(VLOOKUP($I18,[1]ifsfw!$A:$N,11,FALSE),"")</f>
        <v>1</v>
      </c>
      <c r="L18">
        <f>IFERROR(VLOOKUP($I18,[1]ifsfw!$A:$N,12,FALSE),"")</f>
        <v>0</v>
      </c>
      <c r="M18">
        <f>IFERROR(VLOOKUP($I18,[1]ifsfw!$A:$N,13,FALSE),"")</f>
        <v>0</v>
      </c>
      <c r="N18">
        <f>IFERROR(VLOOKUP($I18,[1]ifsfw!$A:$N,14,FALSE),"")</f>
        <v>0</v>
      </c>
      <c r="O18" s="1" t="s">
        <v>150</v>
      </c>
      <c r="P18" t="s">
        <v>151</v>
      </c>
      <c r="Q18">
        <v>1</v>
      </c>
      <c r="R18" s="5">
        <v>0</v>
      </c>
      <c r="S18" s="5">
        <v>0</v>
      </c>
      <c r="T18">
        <f t="shared" si="0"/>
        <v>0</v>
      </c>
    </row>
    <row r="19" spans="1:23" ht="15" customHeight="1" x14ac:dyDescent="0.3">
      <c r="A19" t="s">
        <v>152</v>
      </c>
      <c r="B19" t="s">
        <v>153</v>
      </c>
      <c r="C19" t="str">
        <f>VLOOKUP(B19,[1]country_codes!A:C,3,FALSE)</f>
        <v>CHN</v>
      </c>
      <c r="D19">
        <v>2000</v>
      </c>
      <c r="F19" s="2">
        <v>473799060897</v>
      </c>
      <c r="G19" t="s">
        <v>71</v>
      </c>
      <c r="J19">
        <v>1</v>
      </c>
      <c r="K19" t="str">
        <f>IFERROR(VLOOKUP($I19,[1]ifsfw!$A:$N,11,FALSE),"")</f>
        <v/>
      </c>
      <c r="L19" t="str">
        <f>IFERROR(VLOOKUP($I19,[1]ifsfw!$A:$N,12,FALSE),"")</f>
        <v/>
      </c>
      <c r="M19" t="str">
        <f>IFERROR(VLOOKUP($I19,[1]ifsfw!$A:$N,13,FALSE),"")</f>
        <v/>
      </c>
      <c r="N19" t="str">
        <f>IFERROR(VLOOKUP($I19,[1]ifsfw!$A:$N,14,FALSE),"")</f>
        <v/>
      </c>
      <c r="O19" s="1" t="s">
        <v>154</v>
      </c>
      <c r="P19" t="s">
        <v>155</v>
      </c>
      <c r="Q19">
        <v>0</v>
      </c>
      <c r="R19">
        <v>1</v>
      </c>
      <c r="S19">
        <v>0</v>
      </c>
      <c r="T19">
        <f t="shared" si="0"/>
        <v>1</v>
      </c>
      <c r="U19" s="1" t="s">
        <v>156</v>
      </c>
      <c r="V19" s="1" t="s">
        <v>157</v>
      </c>
    </row>
    <row r="20" spans="1:23" ht="15" customHeight="1" x14ac:dyDescent="0.3">
      <c r="A20" t="s">
        <v>158</v>
      </c>
      <c r="B20" t="s">
        <v>153</v>
      </c>
      <c r="C20" t="str">
        <f>VLOOKUP(B20,[1]country_codes!A:C,3,FALSE)</f>
        <v>CHN</v>
      </c>
      <c r="D20">
        <v>2007</v>
      </c>
      <c r="F20" s="2">
        <v>1350863000000</v>
      </c>
      <c r="G20" t="s">
        <v>71</v>
      </c>
      <c r="H20">
        <v>1</v>
      </c>
      <c r="I20" t="s">
        <v>158</v>
      </c>
      <c r="J20">
        <v>1</v>
      </c>
      <c r="K20">
        <f>IFERROR(VLOOKUP($I20,[1]ifsfw!$A:$N,11,FALSE),"")</f>
        <v>0</v>
      </c>
      <c r="L20">
        <f>IFERROR(VLOOKUP($I20,[1]ifsfw!$A:$N,12,FALSE),"")</f>
        <v>1</v>
      </c>
      <c r="M20">
        <f>IFERROR(VLOOKUP($I20,[1]ifsfw!$A:$N,13,FALSE),"")</f>
        <v>0</v>
      </c>
      <c r="N20">
        <f>IFERROR(VLOOKUP($I20,[1]ifsfw!$A:$N,14,FALSE),"")</f>
        <v>0</v>
      </c>
      <c r="O20" s="1" t="s">
        <v>159</v>
      </c>
      <c r="P20" t="s">
        <v>160</v>
      </c>
      <c r="Q20">
        <v>0</v>
      </c>
      <c r="R20">
        <v>1</v>
      </c>
      <c r="S20">
        <v>0</v>
      </c>
      <c r="T20">
        <f t="shared" si="0"/>
        <v>1</v>
      </c>
    </row>
    <row r="21" spans="1:23" ht="15" customHeight="1" x14ac:dyDescent="0.3">
      <c r="A21" t="s">
        <v>161</v>
      </c>
      <c r="B21" t="s">
        <v>162</v>
      </c>
      <c r="C21" t="str">
        <f>VLOOKUP(B21,[1]country_codes!A:C,3,FALSE)</f>
        <v>COL</v>
      </c>
      <c r="D21">
        <v>1995</v>
      </c>
      <c r="E21">
        <v>2019</v>
      </c>
      <c r="G21" t="s">
        <v>163</v>
      </c>
      <c r="H21">
        <v>1</v>
      </c>
      <c r="I21" t="s">
        <v>161</v>
      </c>
      <c r="J21">
        <v>1</v>
      </c>
      <c r="K21">
        <f>IFERROR(VLOOKUP($I21,[1]ifsfw!$A:$N,11,FALSE),"")</f>
        <v>1</v>
      </c>
      <c r="L21">
        <f>IFERROR(VLOOKUP($I21,[1]ifsfw!$A:$N,12,FALSE),"")</f>
        <v>0</v>
      </c>
      <c r="M21">
        <f>IFERROR(VLOOKUP($I21,[1]ifsfw!$A:$N,13,FALSE),"")</f>
        <v>0</v>
      </c>
      <c r="N21">
        <f>IFERROR(VLOOKUP($I21,[1]ifsfw!$A:$N,14,FALSE),"")</f>
        <v>0</v>
      </c>
      <c r="O21" s="1" t="s">
        <v>164</v>
      </c>
      <c r="P21" t="s">
        <v>165</v>
      </c>
      <c r="Q21">
        <v>1</v>
      </c>
      <c r="R21">
        <v>0</v>
      </c>
      <c r="S21">
        <v>0</v>
      </c>
      <c r="T21">
        <f t="shared" si="0"/>
        <v>0</v>
      </c>
      <c r="W21" s="3" t="s">
        <v>166</v>
      </c>
    </row>
    <row r="22" spans="1:23" ht="15" customHeight="1" x14ac:dyDescent="0.3">
      <c r="A22" t="s">
        <v>167</v>
      </c>
      <c r="B22" t="s">
        <v>162</v>
      </c>
      <c r="C22" t="str">
        <f>VLOOKUP(B22,[1]country_codes!A:C,3,FALSE)</f>
        <v>COL</v>
      </c>
      <c r="D22">
        <v>2012</v>
      </c>
      <c r="F22" s="2">
        <v>3644800000</v>
      </c>
      <c r="G22" t="s">
        <v>119</v>
      </c>
      <c r="H22">
        <v>1</v>
      </c>
      <c r="I22" t="s">
        <v>168</v>
      </c>
      <c r="J22">
        <v>1</v>
      </c>
      <c r="K22">
        <f>IFERROR(VLOOKUP($I22,[1]ifsfw!$A:$N,11,FALSE),"")</f>
        <v>1</v>
      </c>
      <c r="L22">
        <f>IFERROR(VLOOKUP($I22,[1]ifsfw!$A:$N,12,FALSE),"")</f>
        <v>0</v>
      </c>
      <c r="M22">
        <f>IFERROR(VLOOKUP($I22,[1]ifsfw!$A:$N,13,FALSE),"")</f>
        <v>0</v>
      </c>
      <c r="N22">
        <f>IFERROR(VLOOKUP($I22,[1]ifsfw!$A:$N,14,FALSE),"")</f>
        <v>0</v>
      </c>
      <c r="O22" s="1" t="s">
        <v>169</v>
      </c>
      <c r="P22" t="s">
        <v>170</v>
      </c>
      <c r="Q22">
        <v>1</v>
      </c>
      <c r="R22">
        <v>0</v>
      </c>
      <c r="S22">
        <v>0</v>
      </c>
      <c r="T22">
        <f t="shared" si="0"/>
        <v>0</v>
      </c>
    </row>
    <row r="23" spans="1:23" ht="15" customHeight="1" x14ac:dyDescent="0.3">
      <c r="A23" t="s">
        <v>171</v>
      </c>
      <c r="B23" t="s">
        <v>172</v>
      </c>
      <c r="C23" t="str">
        <f>VLOOKUP(B23,[1]country_codes!A:C,3,FALSE)</f>
        <v>CYP</v>
      </c>
      <c r="D23">
        <v>2023</v>
      </c>
      <c r="G23" t="s">
        <v>98</v>
      </c>
      <c r="H23">
        <v>1</v>
      </c>
      <c r="I23" t="s">
        <v>173</v>
      </c>
      <c r="J23">
        <v>1</v>
      </c>
      <c r="K23">
        <f>IFERROR(VLOOKUP($I23,[1]ifsfw!$A:$N,11,FALSE),"")</f>
        <v>0</v>
      </c>
      <c r="L23">
        <f>IFERROR(VLOOKUP($I23,[1]ifsfw!$A:$N,12,FALSE),"")</f>
        <v>1</v>
      </c>
      <c r="M23">
        <f>IFERROR(VLOOKUP($I23,[1]ifsfw!$A:$N,13,FALSE),"")</f>
        <v>0</v>
      </c>
      <c r="N23">
        <f>IFERROR(VLOOKUP($I23,[1]ifsfw!$A:$N,14,FALSE),"")</f>
        <v>0</v>
      </c>
      <c r="O23" s="1" t="s">
        <v>174</v>
      </c>
      <c r="P23" t="s">
        <v>175</v>
      </c>
      <c r="Q23">
        <v>0</v>
      </c>
      <c r="R23">
        <v>1</v>
      </c>
      <c r="S23">
        <v>0</v>
      </c>
      <c r="T23">
        <f t="shared" si="0"/>
        <v>1</v>
      </c>
    </row>
    <row r="24" spans="1:23" ht="15" customHeight="1" x14ac:dyDescent="0.3">
      <c r="A24" t="s">
        <v>176</v>
      </c>
      <c r="B24" t="s">
        <v>177</v>
      </c>
      <c r="C24" t="str">
        <f>VLOOKUP(B24,[1]country_codes!A:C,3,FALSE)</f>
        <v>DNK</v>
      </c>
      <c r="D24">
        <v>1992</v>
      </c>
      <c r="F24" s="2">
        <v>4024636176</v>
      </c>
      <c r="G24" t="s">
        <v>83</v>
      </c>
      <c r="J24">
        <v>1</v>
      </c>
      <c r="K24" t="str">
        <f>IFERROR(VLOOKUP($I24,[1]ifsfw!$A:$N,11,FALSE),"")</f>
        <v/>
      </c>
      <c r="L24" t="str">
        <f>IFERROR(VLOOKUP($I24,[1]ifsfw!$A:$N,12,FALSE),"")</f>
        <v/>
      </c>
      <c r="M24" t="str">
        <f>IFERROR(VLOOKUP($I24,[1]ifsfw!$A:$N,13,FALSE),"")</f>
        <v/>
      </c>
      <c r="N24" t="str">
        <f>IFERROR(VLOOKUP($I24,[1]ifsfw!$A:$N,14,FALSE),"")</f>
        <v/>
      </c>
      <c r="O24" s="1" t="s">
        <v>178</v>
      </c>
      <c r="P24" t="s">
        <v>179</v>
      </c>
      <c r="Q24">
        <v>0</v>
      </c>
      <c r="R24">
        <v>0</v>
      </c>
      <c r="S24">
        <v>1</v>
      </c>
      <c r="T24">
        <f t="shared" si="0"/>
        <v>1</v>
      </c>
    </row>
    <row r="25" spans="1:23" ht="15" customHeight="1" x14ac:dyDescent="0.3">
      <c r="A25" t="s">
        <v>180</v>
      </c>
      <c r="B25" t="s">
        <v>181</v>
      </c>
      <c r="C25" t="str">
        <f>VLOOKUP(B25,[1]country_codes!A:C,3,FALSE)</f>
        <v>DJI</v>
      </c>
      <c r="D25">
        <v>2020</v>
      </c>
      <c r="E25" s="50">
        <v>2025</v>
      </c>
      <c r="F25" s="2">
        <v>120000000</v>
      </c>
      <c r="G25" t="s">
        <v>61</v>
      </c>
      <c r="H25">
        <v>1</v>
      </c>
      <c r="I25" t="s">
        <v>182</v>
      </c>
      <c r="J25">
        <v>1</v>
      </c>
      <c r="K25">
        <f>IFERROR(VLOOKUP($I25,[1]ifsfw!$A:$N,11,FALSE),"")</f>
        <v>0</v>
      </c>
      <c r="L25">
        <f>IFERROR(VLOOKUP($I25,[1]ifsfw!$A:$N,12,FALSE),"")</f>
        <v>0</v>
      </c>
      <c r="M25">
        <f>IFERROR(VLOOKUP($I25,[1]ifsfw!$A:$N,13,FALSE),"")</f>
        <v>1</v>
      </c>
      <c r="N25">
        <f>IFERROR(VLOOKUP($I25,[1]ifsfw!$A:$N,14,FALSE),"")</f>
        <v>0</v>
      </c>
      <c r="O25" s="1" t="s">
        <v>183</v>
      </c>
      <c r="P25" t="s">
        <v>184</v>
      </c>
      <c r="Q25">
        <v>0</v>
      </c>
      <c r="R25">
        <v>0</v>
      </c>
      <c r="S25">
        <v>1</v>
      </c>
      <c r="T25">
        <f t="shared" si="0"/>
        <v>1</v>
      </c>
    </row>
    <row r="26" spans="1:23" ht="15" customHeight="1" x14ac:dyDescent="0.3">
      <c r="A26" t="s">
        <v>185</v>
      </c>
      <c r="B26" t="s">
        <v>186</v>
      </c>
      <c r="C26" t="str">
        <f>VLOOKUP(B26,[1]country_codes!A:C,3,FALSE)</f>
        <v>EGY</v>
      </c>
      <c r="D26">
        <v>2019</v>
      </c>
      <c r="F26" s="2">
        <v>11959200000</v>
      </c>
      <c r="G26" t="s">
        <v>98</v>
      </c>
      <c r="H26">
        <v>1</v>
      </c>
      <c r="I26" t="s">
        <v>187</v>
      </c>
      <c r="J26">
        <v>1</v>
      </c>
      <c r="K26">
        <f>IFERROR(VLOOKUP($I26,[1]ifsfw!$A:$N,11,FALSE),"")</f>
        <v>0</v>
      </c>
      <c r="L26">
        <f>IFERROR(VLOOKUP($I26,[1]ifsfw!$A:$N,12,FALSE),"")</f>
        <v>0</v>
      </c>
      <c r="M26">
        <f>IFERROR(VLOOKUP($I26,[1]ifsfw!$A:$N,13,FALSE),"")</f>
        <v>1</v>
      </c>
      <c r="N26">
        <f>IFERROR(VLOOKUP($I26,[1]ifsfw!$A:$N,14,FALSE),"")</f>
        <v>0</v>
      </c>
      <c r="O26" s="1" t="s">
        <v>188</v>
      </c>
      <c r="P26" t="s">
        <v>189</v>
      </c>
      <c r="Q26">
        <v>0</v>
      </c>
      <c r="R26">
        <v>0</v>
      </c>
      <c r="S26">
        <v>1</v>
      </c>
      <c r="T26">
        <f t="shared" si="0"/>
        <v>1</v>
      </c>
    </row>
    <row r="27" spans="1:23" ht="15" customHeight="1" x14ac:dyDescent="0.3">
      <c r="A27" t="s">
        <v>190</v>
      </c>
      <c r="B27" t="s">
        <v>191</v>
      </c>
      <c r="C27" t="str">
        <f>VLOOKUP(B27,[1]country_codes!A:C,3,FALSE)</f>
        <v>ETH</v>
      </c>
      <c r="D27">
        <v>2021</v>
      </c>
      <c r="F27" s="2">
        <v>38500000000</v>
      </c>
      <c r="G27" t="s">
        <v>61</v>
      </c>
      <c r="H27">
        <v>1</v>
      </c>
      <c r="I27" t="s">
        <v>190</v>
      </c>
      <c r="J27">
        <v>1</v>
      </c>
      <c r="K27">
        <f>IFERROR(VLOOKUP($I27,[1]ifsfw!$A:$N,11,FALSE),"")</f>
        <v>0</v>
      </c>
      <c r="L27">
        <f>IFERROR(VLOOKUP($I27,[1]ifsfw!$A:$N,12,FALSE),"")</f>
        <v>0</v>
      </c>
      <c r="M27">
        <f>IFERROR(VLOOKUP($I27,[1]ifsfw!$A:$N,13,FALSE),"")</f>
        <v>1</v>
      </c>
      <c r="N27">
        <f>IFERROR(VLOOKUP($I27,[1]ifsfw!$A:$N,14,FALSE),"")</f>
        <v>0</v>
      </c>
      <c r="O27" s="1" t="s">
        <v>192</v>
      </c>
      <c r="P27" t="s">
        <v>193</v>
      </c>
      <c r="Q27">
        <v>0</v>
      </c>
      <c r="R27">
        <v>0</v>
      </c>
      <c r="S27">
        <v>1</v>
      </c>
      <c r="T27">
        <f t="shared" si="0"/>
        <v>1</v>
      </c>
    </row>
    <row r="28" spans="1:23" ht="15" customHeight="1" x14ac:dyDescent="0.3">
      <c r="A28" t="s">
        <v>194</v>
      </c>
      <c r="B28" t="s">
        <v>195</v>
      </c>
      <c r="C28" t="str">
        <f>VLOOKUP(B28,[1]country_codes!A:C,3,FALSE)</f>
        <v>FIN</v>
      </c>
      <c r="D28">
        <v>2008</v>
      </c>
      <c r="F28" s="2">
        <v>8189034603</v>
      </c>
      <c r="G28" t="s">
        <v>83</v>
      </c>
      <c r="J28">
        <v>1</v>
      </c>
      <c r="K28" t="str">
        <f>IFERROR(VLOOKUP($I28,[1]ifsfw!$A:$N,11,FALSE),"")</f>
        <v/>
      </c>
      <c r="L28" t="str">
        <f>IFERROR(VLOOKUP($I28,[1]ifsfw!$A:$N,12,FALSE),"")</f>
        <v/>
      </c>
      <c r="M28" t="str">
        <f>IFERROR(VLOOKUP($I28,[1]ifsfw!$A:$N,13,FALSE),"")</f>
        <v/>
      </c>
      <c r="N28" t="str">
        <f>IFERROR(VLOOKUP($I28,[1]ifsfw!$A:$N,14,FALSE),"")</f>
        <v/>
      </c>
      <c r="O28" s="1" t="s">
        <v>196</v>
      </c>
      <c r="P28" t="s">
        <v>197</v>
      </c>
      <c r="Q28">
        <v>0</v>
      </c>
      <c r="R28">
        <v>0</v>
      </c>
      <c r="S28">
        <v>1</v>
      </c>
      <c r="T28">
        <f t="shared" si="0"/>
        <v>1</v>
      </c>
      <c r="U28" s="1" t="s">
        <v>198</v>
      </c>
    </row>
    <row r="29" spans="1:23" ht="15" customHeight="1" x14ac:dyDescent="0.3">
      <c r="A29" t="s">
        <v>199</v>
      </c>
      <c r="B29" t="s">
        <v>195</v>
      </c>
      <c r="C29" t="str">
        <f>VLOOKUP(B29,[1]country_codes!A:C,3,FALSE)</f>
        <v>FIN</v>
      </c>
      <c r="D29">
        <v>1996</v>
      </c>
      <c r="G29" t="s">
        <v>83</v>
      </c>
      <c r="J29">
        <v>1</v>
      </c>
      <c r="K29" t="str">
        <f>IFERROR(VLOOKUP($I29,[1]ifsfw!$A:$N,11,FALSE),"")</f>
        <v/>
      </c>
      <c r="L29" t="str">
        <f>IFERROR(VLOOKUP($I29,[1]ifsfw!$A:$N,12,FALSE),"")</f>
        <v/>
      </c>
      <c r="M29" t="str">
        <f>IFERROR(VLOOKUP($I29,[1]ifsfw!$A:$N,13,FALSE),"")</f>
        <v/>
      </c>
      <c r="N29" t="str">
        <f>IFERROR(VLOOKUP($I29,[1]ifsfw!$A:$N,14,FALSE),"")</f>
        <v/>
      </c>
      <c r="O29" s="1" t="s">
        <v>200</v>
      </c>
      <c r="P29" t="s">
        <v>201</v>
      </c>
      <c r="Q29">
        <v>0</v>
      </c>
      <c r="R29">
        <v>0</v>
      </c>
      <c r="S29">
        <v>1</v>
      </c>
      <c r="T29">
        <f t="shared" si="0"/>
        <v>1</v>
      </c>
    </row>
    <row r="30" spans="1:23" ht="15" customHeight="1" x14ac:dyDescent="0.3">
      <c r="A30" t="s">
        <v>202</v>
      </c>
      <c r="B30" t="s">
        <v>203</v>
      </c>
      <c r="C30" t="str">
        <f>VLOOKUP(B30,[1]country_codes!A:C,3,FALSE)</f>
        <v>FRA</v>
      </c>
      <c r="D30">
        <v>2008</v>
      </c>
      <c r="E30">
        <v>2013</v>
      </c>
      <c r="G30" t="s">
        <v>83</v>
      </c>
      <c r="J30">
        <v>1</v>
      </c>
      <c r="K30" t="str">
        <f>IFERROR(VLOOKUP($I30,[1]ifsfw!$A:$N,11,FALSE),"")</f>
        <v/>
      </c>
      <c r="L30" t="str">
        <f>IFERROR(VLOOKUP($I30,[1]ifsfw!$A:$N,12,FALSE),"")</f>
        <v/>
      </c>
      <c r="M30" t="str">
        <f>IFERROR(VLOOKUP($I30,[1]ifsfw!$A:$N,13,FALSE),"")</f>
        <v/>
      </c>
      <c r="N30" t="str">
        <f>IFERROR(VLOOKUP($I30,[1]ifsfw!$A:$N,14,FALSE),"")</f>
        <v/>
      </c>
      <c r="O30" s="1" t="s">
        <v>204</v>
      </c>
      <c r="P30" t="s">
        <v>205</v>
      </c>
      <c r="Q30">
        <v>0</v>
      </c>
      <c r="R30">
        <v>0</v>
      </c>
      <c r="S30">
        <v>1</v>
      </c>
      <c r="T30">
        <f t="shared" si="0"/>
        <v>1</v>
      </c>
      <c r="U30" s="1" t="s">
        <v>206</v>
      </c>
      <c r="V30" t="s">
        <v>207</v>
      </c>
    </row>
    <row r="31" spans="1:23" ht="15" customHeight="1" x14ac:dyDescent="0.3">
      <c r="A31" t="s">
        <v>208</v>
      </c>
      <c r="B31" t="s">
        <v>203</v>
      </c>
      <c r="C31" t="str">
        <f>VLOOKUP(B31,[1]country_codes!A:C,3,FALSE)</f>
        <v>FRA</v>
      </c>
      <c r="D31">
        <v>2014</v>
      </c>
      <c r="G31" t="s">
        <v>83</v>
      </c>
      <c r="H31">
        <v>1</v>
      </c>
      <c r="I31" t="s">
        <v>208</v>
      </c>
      <c r="J31">
        <v>1</v>
      </c>
      <c r="K31">
        <v>0</v>
      </c>
      <c r="L31">
        <v>0</v>
      </c>
      <c r="M31">
        <v>1</v>
      </c>
      <c r="N31">
        <v>0</v>
      </c>
      <c r="O31" s="1" t="s">
        <v>209</v>
      </c>
      <c r="P31" t="s">
        <v>210</v>
      </c>
      <c r="Q31">
        <v>0</v>
      </c>
      <c r="R31">
        <v>0</v>
      </c>
      <c r="S31">
        <v>1</v>
      </c>
      <c r="T31">
        <f t="shared" si="0"/>
        <v>1</v>
      </c>
    </row>
    <row r="32" spans="1:23" ht="15" customHeight="1" x14ac:dyDescent="0.3">
      <c r="A32" t="s">
        <v>211</v>
      </c>
      <c r="B32" t="s">
        <v>212</v>
      </c>
      <c r="C32" t="str">
        <f>VLOOKUP(B32,[1]country_codes!A:C,3,FALSE)</f>
        <v>GAB</v>
      </c>
      <c r="D32">
        <v>2012</v>
      </c>
      <c r="F32" s="2">
        <v>142905000</v>
      </c>
      <c r="G32" t="s">
        <v>61</v>
      </c>
      <c r="H32">
        <v>2</v>
      </c>
      <c r="I32" t="s">
        <v>213</v>
      </c>
      <c r="J32">
        <v>1</v>
      </c>
      <c r="K32">
        <f>IFERROR(VLOOKUP($I32,[1]ifsfw!$A:$N,11,FALSE),"")</f>
        <v>0</v>
      </c>
      <c r="L32">
        <f>IFERROR(VLOOKUP($I32,[1]ifsfw!$A:$N,12,FALSE),"")</f>
        <v>0</v>
      </c>
      <c r="M32">
        <f>IFERROR(VLOOKUP($I32,[1]ifsfw!$A:$N,13,FALSE),"")</f>
        <v>1</v>
      </c>
      <c r="N32">
        <f>IFERROR(VLOOKUP($I32,[1]ifsfw!$A:$N,14,FALSE),"")</f>
        <v>0</v>
      </c>
      <c r="O32" s="1" t="s">
        <v>214</v>
      </c>
      <c r="P32" t="s">
        <v>215</v>
      </c>
      <c r="Q32">
        <v>0</v>
      </c>
      <c r="R32">
        <v>0</v>
      </c>
      <c r="S32">
        <v>1</v>
      </c>
      <c r="T32">
        <f t="shared" si="0"/>
        <v>1</v>
      </c>
    </row>
    <row r="33" spans="1:21" ht="15" customHeight="1" x14ac:dyDescent="0.3">
      <c r="A33" t="s">
        <v>216</v>
      </c>
      <c r="B33" t="s">
        <v>212</v>
      </c>
      <c r="C33" t="str">
        <f>VLOOKUP(B33,[1]country_codes!A:C,3,FALSE)</f>
        <v>GAB</v>
      </c>
      <c r="D33">
        <v>1971</v>
      </c>
      <c r="G33" t="s">
        <v>61</v>
      </c>
      <c r="J33">
        <v>1</v>
      </c>
      <c r="K33">
        <v>0</v>
      </c>
      <c r="L33">
        <v>0</v>
      </c>
      <c r="M33">
        <v>1</v>
      </c>
      <c r="N33">
        <v>0</v>
      </c>
      <c r="O33" s="1" t="s">
        <v>217</v>
      </c>
      <c r="P33" t="s">
        <v>218</v>
      </c>
      <c r="Q33">
        <v>0</v>
      </c>
      <c r="R33">
        <v>0</v>
      </c>
      <c r="S33">
        <v>1</v>
      </c>
      <c r="T33">
        <f t="shared" si="0"/>
        <v>1</v>
      </c>
    </row>
    <row r="34" spans="1:21" ht="15" customHeight="1" x14ac:dyDescent="0.3">
      <c r="A34" t="s">
        <v>219</v>
      </c>
      <c r="B34" t="s">
        <v>220</v>
      </c>
      <c r="C34" t="str">
        <f>VLOOKUP(B34,[1]country_codes!A:C,3,FALSE)</f>
        <v>GEO</v>
      </c>
      <c r="D34">
        <v>2011</v>
      </c>
      <c r="G34" t="s">
        <v>71</v>
      </c>
      <c r="H34">
        <v>1</v>
      </c>
      <c r="I34" t="s">
        <v>219</v>
      </c>
      <c r="J34">
        <v>1</v>
      </c>
      <c r="K34">
        <v>0</v>
      </c>
      <c r="L34">
        <v>0</v>
      </c>
      <c r="M34">
        <v>1</v>
      </c>
      <c r="N34">
        <v>0</v>
      </c>
      <c r="O34" s="1" t="s">
        <v>221</v>
      </c>
      <c r="P34" t="s">
        <v>222</v>
      </c>
      <c r="Q34">
        <v>0</v>
      </c>
      <c r="R34">
        <v>0</v>
      </c>
      <c r="S34">
        <v>1</v>
      </c>
      <c r="T34">
        <f t="shared" ref="T34:T65" si="1">SUM(R34:S34)</f>
        <v>1</v>
      </c>
    </row>
    <row r="35" spans="1:21" ht="15" customHeight="1" x14ac:dyDescent="0.3">
      <c r="A35" t="s">
        <v>223</v>
      </c>
      <c r="B35" t="s">
        <v>224</v>
      </c>
      <c r="C35" t="str">
        <f>VLOOKUP(B35,[1]country_codes!A:C,3,FALSE)</f>
        <v>DEU</v>
      </c>
      <c r="D35">
        <v>2017</v>
      </c>
      <c r="F35" s="2">
        <v>24956473271</v>
      </c>
      <c r="G35" t="s">
        <v>83</v>
      </c>
      <c r="J35">
        <v>1</v>
      </c>
      <c r="K35" t="str">
        <f>IFERROR(VLOOKUP($I35,[1]ifsfw!$A:$N,11,FALSE),"")</f>
        <v/>
      </c>
      <c r="L35" t="str">
        <f>IFERROR(VLOOKUP($I35,[1]ifsfw!$A:$N,12,FALSE),"")</f>
        <v/>
      </c>
      <c r="M35" t="str">
        <f>IFERROR(VLOOKUP($I35,[1]ifsfw!$A:$N,13,FALSE),"")</f>
        <v/>
      </c>
      <c r="N35" t="str">
        <f>IFERROR(VLOOKUP($I35,[1]ifsfw!$A:$N,14,FALSE),"")</f>
        <v/>
      </c>
      <c r="O35" s="1" t="s">
        <v>225</v>
      </c>
      <c r="P35" t="s">
        <v>226</v>
      </c>
      <c r="Q35">
        <v>0</v>
      </c>
      <c r="R35">
        <v>0</v>
      </c>
      <c r="S35">
        <v>1</v>
      </c>
      <c r="T35">
        <f t="shared" si="1"/>
        <v>1</v>
      </c>
    </row>
    <row r="36" spans="1:21" ht="15" customHeight="1" x14ac:dyDescent="0.3">
      <c r="A36" t="s">
        <v>227</v>
      </c>
      <c r="B36" t="s">
        <v>228</v>
      </c>
      <c r="C36" t="str">
        <f>VLOOKUP(B36,[1]country_codes!A:C,3,FALSE)</f>
        <v>GHA</v>
      </c>
      <c r="D36">
        <v>2011</v>
      </c>
      <c r="F36" s="2">
        <v>644787189.85000002</v>
      </c>
      <c r="G36" t="s">
        <v>61</v>
      </c>
      <c r="J36">
        <v>1</v>
      </c>
      <c r="K36" t="str">
        <f>IFERROR(VLOOKUP($I36,[1]ifsfw!$A:$N,11,FALSE),"")</f>
        <v/>
      </c>
      <c r="L36" t="str">
        <f>IFERROR(VLOOKUP($I36,[1]ifsfw!$A:$N,12,FALSE),"")</f>
        <v/>
      </c>
      <c r="M36" t="str">
        <f>IFERROR(VLOOKUP($I36,[1]ifsfw!$A:$N,13,FALSE),"")</f>
        <v/>
      </c>
      <c r="N36" t="str">
        <f>IFERROR(VLOOKUP($I36,[1]ifsfw!$A:$N,14,FALSE),"")</f>
        <v/>
      </c>
      <c r="O36" s="1" t="s">
        <v>229</v>
      </c>
      <c r="P36" t="s">
        <v>230</v>
      </c>
      <c r="Q36">
        <v>0</v>
      </c>
      <c r="R36">
        <v>0</v>
      </c>
      <c r="S36">
        <v>1</v>
      </c>
      <c r="T36">
        <f t="shared" si="1"/>
        <v>1</v>
      </c>
    </row>
    <row r="37" spans="1:21" ht="15" customHeight="1" x14ac:dyDescent="0.3">
      <c r="A37" t="s">
        <v>231</v>
      </c>
      <c r="B37" t="s">
        <v>228</v>
      </c>
      <c r="C37" t="str">
        <f>VLOOKUP(B37,[1]country_codes!A:C,3,FALSE)</f>
        <v>GHA</v>
      </c>
      <c r="D37">
        <v>2011</v>
      </c>
      <c r="F37" s="2">
        <v>199989122.91999999</v>
      </c>
      <c r="G37" t="s">
        <v>61</v>
      </c>
      <c r="J37">
        <v>1</v>
      </c>
      <c r="K37" t="str">
        <f>IFERROR(VLOOKUP($I37,[1]ifsfw!$A:$N,11,FALSE),"")</f>
        <v/>
      </c>
      <c r="L37" t="str">
        <f>IFERROR(VLOOKUP($I37,[1]ifsfw!$A:$N,12,FALSE),"")</f>
        <v/>
      </c>
      <c r="M37" t="str">
        <f>IFERROR(VLOOKUP($I37,[1]ifsfw!$A:$N,13,FALSE),"")</f>
        <v/>
      </c>
      <c r="N37" t="str">
        <f>IFERROR(VLOOKUP($I37,[1]ifsfw!$A:$N,14,FALSE),"")</f>
        <v/>
      </c>
      <c r="O37" s="1" t="s">
        <v>229</v>
      </c>
      <c r="P37" t="s">
        <v>232</v>
      </c>
      <c r="Q37">
        <v>1</v>
      </c>
      <c r="R37">
        <v>0</v>
      </c>
      <c r="S37">
        <v>0</v>
      </c>
      <c r="T37">
        <f t="shared" si="1"/>
        <v>0</v>
      </c>
    </row>
    <row r="38" spans="1:21" ht="15" customHeight="1" x14ac:dyDescent="0.3">
      <c r="A38" t="s">
        <v>233</v>
      </c>
      <c r="B38" t="s">
        <v>228</v>
      </c>
      <c r="C38" t="str">
        <f>VLOOKUP(B38,[1]country_codes!A:C,3,FALSE)</f>
        <v>GHA</v>
      </c>
      <c r="D38">
        <v>2015</v>
      </c>
      <c r="F38" s="2">
        <v>330000000</v>
      </c>
      <c r="G38" t="s">
        <v>61</v>
      </c>
      <c r="H38">
        <v>1</v>
      </c>
      <c r="I38" t="s">
        <v>233</v>
      </c>
      <c r="J38">
        <v>1</v>
      </c>
      <c r="K38">
        <f>IFERROR(VLOOKUP($I38,[1]ifsfw!$A:$N,11,FALSE),"")</f>
        <v>0</v>
      </c>
      <c r="L38">
        <f>IFERROR(VLOOKUP($I38,[1]ifsfw!$A:$N,12,FALSE),"")</f>
        <v>0</v>
      </c>
      <c r="M38">
        <f>IFERROR(VLOOKUP($I38,[1]ifsfw!$A:$N,13,FALSE),"")</f>
        <v>1</v>
      </c>
      <c r="N38">
        <f>IFERROR(VLOOKUP($I38,[1]ifsfw!$A:$N,14,FALSE),"")</f>
        <v>0</v>
      </c>
      <c r="O38" s="1" t="s">
        <v>234</v>
      </c>
      <c r="P38" t="s">
        <v>235</v>
      </c>
      <c r="Q38">
        <v>0</v>
      </c>
      <c r="R38">
        <v>0</v>
      </c>
      <c r="S38">
        <v>1</v>
      </c>
      <c r="T38">
        <f t="shared" si="1"/>
        <v>1</v>
      </c>
    </row>
    <row r="39" spans="1:21" ht="15" customHeight="1" x14ac:dyDescent="0.3">
      <c r="A39" t="s">
        <v>236</v>
      </c>
      <c r="B39" t="s">
        <v>228</v>
      </c>
      <c r="C39" t="str">
        <f>VLOOKUP(B39,[1]country_codes!A:C,3,FALSE)</f>
        <v>GHA</v>
      </c>
      <c r="D39">
        <v>2019</v>
      </c>
      <c r="F39" s="2">
        <v>310297600</v>
      </c>
      <c r="G39" t="s">
        <v>61</v>
      </c>
      <c r="H39">
        <v>2</v>
      </c>
      <c r="I39" t="s">
        <v>237</v>
      </c>
      <c r="J39">
        <v>1</v>
      </c>
      <c r="K39">
        <f>IFERROR(VLOOKUP($I39,[1]ifsfw!$A:$N,11,FALSE),"")</f>
        <v>0</v>
      </c>
      <c r="L39">
        <f>IFERROR(VLOOKUP($I39,[1]ifsfw!$A:$N,12,FALSE),"")</f>
        <v>0</v>
      </c>
      <c r="M39">
        <f>IFERROR(VLOOKUP($I39,[1]ifsfw!$A:$N,13,FALSE),"")</f>
        <v>0</v>
      </c>
      <c r="N39">
        <f>IFERROR(VLOOKUP($I39,[1]ifsfw!$A:$N,14,FALSE),"")</f>
        <v>1</v>
      </c>
      <c r="O39" s="1" t="s">
        <v>238</v>
      </c>
      <c r="P39" t="s">
        <v>239</v>
      </c>
      <c r="Q39">
        <v>0</v>
      </c>
      <c r="R39">
        <v>0</v>
      </c>
      <c r="S39">
        <v>1</v>
      </c>
      <c r="T39">
        <f t="shared" si="1"/>
        <v>1</v>
      </c>
    </row>
    <row r="40" spans="1:21" ht="15" customHeight="1" x14ac:dyDescent="0.3">
      <c r="A40" t="s">
        <v>240</v>
      </c>
      <c r="B40" t="s">
        <v>241</v>
      </c>
      <c r="C40" t="str">
        <f>VLOOKUP(B40,[1]country_codes!A:C,3,FALSE)</f>
        <v>GRC</v>
      </c>
      <c r="D40">
        <v>2016</v>
      </c>
      <c r="F40" s="2">
        <v>7416948095</v>
      </c>
      <c r="G40" t="s">
        <v>83</v>
      </c>
      <c r="H40">
        <v>1</v>
      </c>
      <c r="I40" t="s">
        <v>242</v>
      </c>
      <c r="J40">
        <v>1</v>
      </c>
      <c r="K40">
        <f>IFERROR(VLOOKUP($I40,[1]ifsfw!$A:$N,11,FALSE),"")</f>
        <v>0</v>
      </c>
      <c r="L40">
        <f>IFERROR(VLOOKUP($I40,[1]ifsfw!$A:$N,12,FALSE),"")</f>
        <v>0</v>
      </c>
      <c r="M40">
        <f>IFERROR(VLOOKUP($I40,[1]ifsfw!$A:$N,13,FALSE),"")</f>
        <v>1</v>
      </c>
      <c r="N40">
        <f>IFERROR(VLOOKUP($I40,[1]ifsfw!$A:$N,14,FALSE),"")</f>
        <v>0</v>
      </c>
      <c r="O40" s="1" t="s">
        <v>243</v>
      </c>
      <c r="P40" t="s">
        <v>244</v>
      </c>
      <c r="Q40">
        <v>1</v>
      </c>
      <c r="R40">
        <v>0</v>
      </c>
      <c r="S40">
        <v>0</v>
      </c>
      <c r="T40">
        <f t="shared" si="1"/>
        <v>0</v>
      </c>
    </row>
    <row r="41" spans="1:21" ht="15" customHeight="1" x14ac:dyDescent="0.3">
      <c r="A41" t="s">
        <v>245</v>
      </c>
      <c r="B41" t="s">
        <v>246</v>
      </c>
      <c r="C41" t="str">
        <f>VLOOKUP(B41,[1]country_codes!A:C,3,FALSE)</f>
        <v>GUY</v>
      </c>
      <c r="D41">
        <v>2020</v>
      </c>
      <c r="F41" s="2">
        <v>1412722502</v>
      </c>
      <c r="G41" t="s">
        <v>119</v>
      </c>
      <c r="H41">
        <v>1</v>
      </c>
      <c r="I41" t="s">
        <v>247</v>
      </c>
      <c r="J41">
        <v>1</v>
      </c>
      <c r="K41">
        <f>IFERROR(VLOOKUP($I41,[1]ifsfw!$A:$N,11,FALSE),"")</f>
        <v>0</v>
      </c>
      <c r="L41">
        <f>IFERROR(VLOOKUP($I41,[1]ifsfw!$A:$N,12,FALSE),"")</f>
        <v>0</v>
      </c>
      <c r="M41">
        <f>IFERROR(VLOOKUP($I41,[1]ifsfw!$A:$N,13,FALSE),"")</f>
        <v>0</v>
      </c>
      <c r="N41">
        <f>IFERROR(VLOOKUP($I41,[1]ifsfw!$A:$N,14,FALSE),"")</f>
        <v>1</v>
      </c>
      <c r="O41" s="1" t="s">
        <v>248</v>
      </c>
      <c r="P41" t="s">
        <v>249</v>
      </c>
      <c r="Q41">
        <v>1</v>
      </c>
      <c r="R41">
        <v>0</v>
      </c>
      <c r="S41">
        <v>0</v>
      </c>
      <c r="T41">
        <f t="shared" si="1"/>
        <v>0</v>
      </c>
    </row>
    <row r="42" spans="1:21" ht="15" customHeight="1" x14ac:dyDescent="0.3">
      <c r="A42" t="s">
        <v>250</v>
      </c>
      <c r="B42" t="s">
        <v>251</v>
      </c>
      <c r="C42" t="str">
        <f>VLOOKUP(B42,[1]country_codes!A:C,3,FALSE)</f>
        <v>HKG</v>
      </c>
      <c r="D42">
        <v>2012</v>
      </c>
      <c r="F42" s="2">
        <v>33300000000</v>
      </c>
      <c r="G42" t="s">
        <v>71</v>
      </c>
      <c r="J42">
        <v>1</v>
      </c>
      <c r="K42" t="str">
        <f>IFERROR(VLOOKUP($I42,[1]ifsfw!$A:$N,11,FALSE),"")</f>
        <v/>
      </c>
      <c r="L42" t="str">
        <f>IFERROR(VLOOKUP($I42,[1]ifsfw!$A:$N,12,FALSE),"")</f>
        <v/>
      </c>
      <c r="M42" t="str">
        <f>IFERROR(VLOOKUP($I42,[1]ifsfw!$A:$N,13,FALSE),"")</f>
        <v/>
      </c>
      <c r="N42" t="str">
        <f>IFERROR(VLOOKUP($I42,[1]ifsfw!$A:$N,14,FALSE),"")</f>
        <v/>
      </c>
      <c r="O42" s="1" t="s">
        <v>252</v>
      </c>
      <c r="P42" t="s">
        <v>253</v>
      </c>
      <c r="Q42">
        <v>0</v>
      </c>
      <c r="R42">
        <v>0</v>
      </c>
      <c r="S42">
        <v>1</v>
      </c>
      <c r="T42">
        <f t="shared" si="1"/>
        <v>1</v>
      </c>
    </row>
    <row r="43" spans="1:21" ht="15" customHeight="1" x14ac:dyDescent="0.3">
      <c r="A43" t="s">
        <v>254</v>
      </c>
      <c r="B43" t="s">
        <v>251</v>
      </c>
      <c r="C43" t="str">
        <f>VLOOKUP(B43,[1]country_codes!A:C,3,FALSE)</f>
        <v>HKG</v>
      </c>
      <c r="D43">
        <v>2022</v>
      </c>
      <c r="F43" s="2">
        <v>3800000000</v>
      </c>
      <c r="G43" t="s">
        <v>71</v>
      </c>
      <c r="J43">
        <v>1</v>
      </c>
      <c r="K43" t="str">
        <f>IFERROR(VLOOKUP($I43,[1]ifsfw!$A:$N,11,FALSE),"")</f>
        <v/>
      </c>
      <c r="L43" t="str">
        <f>IFERROR(VLOOKUP($I43,[1]ifsfw!$A:$N,12,FALSE),"")</f>
        <v/>
      </c>
      <c r="M43" t="str">
        <f>IFERROR(VLOOKUP($I43,[1]ifsfw!$A:$N,13,FALSE),"")</f>
        <v/>
      </c>
      <c r="N43" t="str">
        <f>IFERROR(VLOOKUP($I43,[1]ifsfw!$A:$N,14,FALSE),"")</f>
        <v/>
      </c>
      <c r="O43" s="1" t="s">
        <v>255</v>
      </c>
      <c r="P43" t="s">
        <v>256</v>
      </c>
      <c r="Q43">
        <v>0</v>
      </c>
      <c r="R43">
        <v>0</v>
      </c>
      <c r="S43">
        <v>1</v>
      </c>
      <c r="T43">
        <f t="shared" si="1"/>
        <v>1</v>
      </c>
    </row>
    <row r="44" spans="1:21" ht="15" customHeight="1" x14ac:dyDescent="0.3">
      <c r="A44" t="s">
        <v>257</v>
      </c>
      <c r="B44" t="s">
        <v>258</v>
      </c>
      <c r="C44" t="str">
        <f>VLOOKUP(B44,[1]country_codes!A:C,3,FALSE)</f>
        <v>IND</v>
      </c>
      <c r="D44">
        <v>2017</v>
      </c>
      <c r="G44" t="s">
        <v>71</v>
      </c>
      <c r="H44">
        <v>1</v>
      </c>
      <c r="I44" t="s">
        <v>257</v>
      </c>
      <c r="J44">
        <v>1</v>
      </c>
      <c r="K44">
        <v>0</v>
      </c>
      <c r="L44">
        <v>0</v>
      </c>
      <c r="M44">
        <v>1</v>
      </c>
      <c r="N44">
        <v>0</v>
      </c>
      <c r="O44" s="1" t="s">
        <v>259</v>
      </c>
      <c r="P44" t="s">
        <v>260</v>
      </c>
      <c r="Q44">
        <v>0</v>
      </c>
      <c r="R44">
        <v>0</v>
      </c>
      <c r="S44">
        <v>1</v>
      </c>
      <c r="T44">
        <f t="shared" si="1"/>
        <v>1</v>
      </c>
    </row>
    <row r="45" spans="1:21" ht="15" customHeight="1" x14ac:dyDescent="0.3">
      <c r="A45" t="s">
        <v>261</v>
      </c>
      <c r="B45" t="s">
        <v>262</v>
      </c>
      <c r="C45" t="str">
        <f>VLOOKUP(B45,[1]country_codes!A:C,3,FALSE)</f>
        <v>IDN</v>
      </c>
      <c r="D45">
        <v>2021</v>
      </c>
      <c r="F45">
        <v>5554123948</v>
      </c>
      <c r="G45" t="s">
        <v>71</v>
      </c>
      <c r="H45">
        <v>1</v>
      </c>
      <c r="I45" t="s">
        <v>263</v>
      </c>
      <c r="J45">
        <v>1</v>
      </c>
      <c r="K45">
        <f>IFERROR(VLOOKUP($I45,[1]ifsfw!$A:$N,11,FALSE),"")</f>
        <v>0</v>
      </c>
      <c r="L45">
        <f>IFERROR(VLOOKUP($I45,[1]ifsfw!$A:$N,12,FALSE),"")</f>
        <v>0</v>
      </c>
      <c r="M45">
        <f>IFERROR(VLOOKUP($I45,[1]ifsfw!$A:$N,13,FALSE),"")</f>
        <v>1</v>
      </c>
      <c r="N45">
        <f>IFERROR(VLOOKUP($I45,[1]ifsfw!$A:$N,14,FALSE),"")</f>
        <v>0</v>
      </c>
      <c r="O45" s="1" t="s">
        <v>264</v>
      </c>
      <c r="P45" t="s">
        <v>265</v>
      </c>
      <c r="Q45">
        <v>0</v>
      </c>
      <c r="R45">
        <v>0</v>
      </c>
      <c r="S45">
        <v>1</v>
      </c>
      <c r="T45">
        <f t="shared" si="1"/>
        <v>1</v>
      </c>
    </row>
    <row r="46" spans="1:21" ht="15" customHeight="1" x14ac:dyDescent="0.3">
      <c r="A46" t="s">
        <v>266</v>
      </c>
      <c r="B46" t="s">
        <v>267</v>
      </c>
      <c r="C46" t="str">
        <f>VLOOKUP(B46,[1]country_codes!A:C,3,FALSE)</f>
        <v>IRN</v>
      </c>
      <c r="D46">
        <v>2011</v>
      </c>
      <c r="F46" s="2">
        <v>10000000000</v>
      </c>
      <c r="G46" t="s">
        <v>98</v>
      </c>
      <c r="H46">
        <v>1</v>
      </c>
      <c r="I46" t="s">
        <v>266</v>
      </c>
      <c r="J46">
        <v>1</v>
      </c>
      <c r="K46">
        <f>IFERROR(VLOOKUP($I46,[1]ifsfw!$A:$N,11,FALSE),"")</f>
        <v>0</v>
      </c>
      <c r="L46">
        <f>IFERROR(VLOOKUP($I46,[1]ifsfw!$A:$N,12,FALSE),"")</f>
        <v>0</v>
      </c>
      <c r="M46">
        <f>IFERROR(VLOOKUP($I46,[1]ifsfw!$A:$N,13,FALSE),"")</f>
        <v>1</v>
      </c>
      <c r="N46">
        <f>IFERROR(VLOOKUP($I46,[1]ifsfw!$A:$N,14,FALSE),"")</f>
        <v>0</v>
      </c>
      <c r="O46" s="1" t="s">
        <v>268</v>
      </c>
      <c r="P46" t="s">
        <v>269</v>
      </c>
      <c r="Q46">
        <v>0</v>
      </c>
      <c r="R46">
        <v>0</v>
      </c>
      <c r="S46">
        <v>1</v>
      </c>
      <c r="T46">
        <f t="shared" si="1"/>
        <v>1</v>
      </c>
    </row>
    <row r="47" spans="1:21" ht="15" customHeight="1" x14ac:dyDescent="0.3">
      <c r="A47" t="s">
        <v>270</v>
      </c>
      <c r="B47" t="s">
        <v>267</v>
      </c>
      <c r="C47" t="str">
        <f>VLOOKUP(B47,[1]country_codes!A:C,3,FALSE)</f>
        <v>IRN</v>
      </c>
      <c r="D47">
        <v>2000</v>
      </c>
      <c r="F47" s="2">
        <v>24000000</v>
      </c>
      <c r="G47" t="s">
        <v>98</v>
      </c>
      <c r="J47">
        <v>1</v>
      </c>
      <c r="K47" t="str">
        <f>IFERROR(VLOOKUP($I47,[1]ifsfw!$A:$N,11,FALSE),"")</f>
        <v/>
      </c>
      <c r="L47" t="str">
        <f>IFERROR(VLOOKUP($I47,[1]ifsfw!$A:$N,12,FALSE),"")</f>
        <v/>
      </c>
      <c r="M47" t="str">
        <f>IFERROR(VLOOKUP($I47,[1]ifsfw!$A:$N,13,FALSE),"")</f>
        <v/>
      </c>
      <c r="N47" t="str">
        <f>IFERROR(VLOOKUP($I47,[1]ifsfw!$A:$N,14,FALSE),"")</f>
        <v/>
      </c>
      <c r="O47" s="1" t="s">
        <v>271</v>
      </c>
      <c r="P47" t="s">
        <v>272</v>
      </c>
      <c r="Q47">
        <v>1</v>
      </c>
      <c r="R47">
        <v>0</v>
      </c>
      <c r="S47">
        <v>0</v>
      </c>
      <c r="T47">
        <f t="shared" si="1"/>
        <v>0</v>
      </c>
    </row>
    <row r="48" spans="1:21" ht="15" customHeight="1" x14ac:dyDescent="0.3">
      <c r="A48" t="s">
        <v>273</v>
      </c>
      <c r="B48" t="s">
        <v>274</v>
      </c>
      <c r="C48" t="str">
        <f>VLOOKUP(B48,[1]country_codes!A:C,3,FALSE)</f>
        <v>IRL</v>
      </c>
      <c r="D48">
        <v>2001</v>
      </c>
      <c r="E48">
        <v>2014</v>
      </c>
      <c r="F48" s="2">
        <v>22108.400000000001</v>
      </c>
      <c r="G48" t="s">
        <v>83</v>
      </c>
      <c r="J48">
        <v>1</v>
      </c>
      <c r="K48" t="str">
        <f>IFERROR(VLOOKUP($I48,[1]ifsfw!$A:$N,11,FALSE),"")</f>
        <v/>
      </c>
      <c r="L48" t="str">
        <f>IFERROR(VLOOKUP($I48,[1]ifsfw!$A:$N,12,FALSE),"")</f>
        <v/>
      </c>
      <c r="M48" t="str">
        <f>IFERROR(VLOOKUP($I48,[1]ifsfw!$A:$N,13,FALSE),"")</f>
        <v/>
      </c>
      <c r="N48" t="str">
        <f>IFERROR(VLOOKUP($I48,[1]ifsfw!$A:$N,14,FALSE),"")</f>
        <v/>
      </c>
      <c r="O48" s="1" t="s">
        <v>275</v>
      </c>
      <c r="P48" t="s">
        <v>276</v>
      </c>
      <c r="Q48">
        <v>0</v>
      </c>
      <c r="R48">
        <v>1</v>
      </c>
      <c r="S48">
        <v>0</v>
      </c>
      <c r="T48">
        <f t="shared" si="1"/>
        <v>1</v>
      </c>
      <c r="U48" s="1" t="s">
        <v>277</v>
      </c>
    </row>
    <row r="49" spans="1:23" ht="15" customHeight="1" x14ac:dyDescent="0.3">
      <c r="A49" t="s">
        <v>278</v>
      </c>
      <c r="B49" t="s">
        <v>274</v>
      </c>
      <c r="C49" t="str">
        <f>VLOOKUP(B49,[1]country_codes!A:C,3,FALSE)</f>
        <v>IRL</v>
      </c>
      <c r="D49">
        <v>2014</v>
      </c>
      <c r="F49" s="2">
        <v>15695700000</v>
      </c>
      <c r="G49" t="s">
        <v>83</v>
      </c>
      <c r="H49">
        <v>1</v>
      </c>
      <c r="I49" t="s">
        <v>278</v>
      </c>
      <c r="J49">
        <v>1</v>
      </c>
      <c r="K49">
        <f>IFERROR(VLOOKUP($I49,[1]ifsfw!$A:$N,11,FALSE),"")</f>
        <v>0</v>
      </c>
      <c r="L49">
        <f>IFERROR(VLOOKUP($I49,[1]ifsfw!$A:$N,12,FALSE),"")</f>
        <v>0</v>
      </c>
      <c r="M49">
        <f>IFERROR(VLOOKUP($I49,[1]ifsfw!$A:$N,13,FALSE),"")</f>
        <v>1</v>
      </c>
      <c r="N49">
        <f>IFERROR(VLOOKUP($I49,[1]ifsfw!$A:$N,14,FALSE),"")</f>
        <v>0</v>
      </c>
      <c r="O49" s="1" t="s">
        <v>279</v>
      </c>
      <c r="P49" t="s">
        <v>280</v>
      </c>
      <c r="Q49">
        <v>0</v>
      </c>
      <c r="R49">
        <v>0</v>
      </c>
      <c r="S49">
        <v>1</v>
      </c>
      <c r="T49">
        <f t="shared" si="1"/>
        <v>1</v>
      </c>
    </row>
    <row r="50" spans="1:23" ht="15" customHeight="1" x14ac:dyDescent="0.3">
      <c r="A50" t="s">
        <v>281</v>
      </c>
      <c r="B50" t="s">
        <v>282</v>
      </c>
      <c r="C50" t="str">
        <f>VLOOKUP(B50,[1]country_codes!A:C,3,FALSE)</f>
        <v>ISR</v>
      </c>
      <c r="D50">
        <v>2022</v>
      </c>
      <c r="F50" s="2">
        <v>565304720</v>
      </c>
      <c r="G50" t="s">
        <v>98</v>
      </c>
      <c r="J50">
        <v>1</v>
      </c>
      <c r="K50" t="str">
        <f>IFERROR(VLOOKUP($I50,[1]ifsfw!$A:$N,11,FALSE),"")</f>
        <v/>
      </c>
      <c r="L50" t="str">
        <f>IFERROR(VLOOKUP($I50,[1]ifsfw!$A:$N,12,FALSE),"")</f>
        <v/>
      </c>
      <c r="M50" t="str">
        <f>IFERROR(VLOOKUP($I50,[1]ifsfw!$A:$N,13,FALSE),"")</f>
        <v/>
      </c>
      <c r="N50" t="str">
        <f>IFERROR(VLOOKUP($I50,[1]ifsfw!$A:$N,14,FALSE),"")</f>
        <v/>
      </c>
      <c r="O50" s="1" t="s">
        <v>283</v>
      </c>
      <c r="P50" t="s">
        <v>284</v>
      </c>
      <c r="Q50">
        <v>0</v>
      </c>
      <c r="R50">
        <v>0</v>
      </c>
      <c r="S50">
        <v>1</v>
      </c>
      <c r="T50">
        <f t="shared" si="1"/>
        <v>1</v>
      </c>
    </row>
    <row r="51" spans="1:23" ht="15" customHeight="1" x14ac:dyDescent="0.3">
      <c r="A51" t="s">
        <v>285</v>
      </c>
      <c r="B51" t="s">
        <v>286</v>
      </c>
      <c r="C51" t="str">
        <f>VLOOKUP(B51,[1]country_codes!A:C,3,FALSE)</f>
        <v>ITA</v>
      </c>
      <c r="D51">
        <v>2011</v>
      </c>
      <c r="G51" t="s">
        <v>83</v>
      </c>
      <c r="H51">
        <v>1</v>
      </c>
      <c r="I51" t="s">
        <v>285</v>
      </c>
      <c r="J51">
        <v>1</v>
      </c>
      <c r="K51">
        <v>0</v>
      </c>
      <c r="L51">
        <v>0</v>
      </c>
      <c r="M51">
        <v>1</v>
      </c>
      <c r="N51">
        <v>0</v>
      </c>
      <c r="O51" s="1" t="s">
        <v>285</v>
      </c>
      <c r="P51" t="s">
        <v>287</v>
      </c>
      <c r="Q51">
        <v>0</v>
      </c>
      <c r="R51">
        <v>0</v>
      </c>
      <c r="S51">
        <v>1</v>
      </c>
      <c r="T51">
        <f t="shared" si="1"/>
        <v>1</v>
      </c>
    </row>
    <row r="52" spans="1:23" ht="15" customHeight="1" x14ac:dyDescent="0.3">
      <c r="A52" t="s">
        <v>288</v>
      </c>
      <c r="B52" t="s">
        <v>289</v>
      </c>
      <c r="C52" t="str">
        <f>VLOOKUP(B52,[1]country_codes!A:C,3,FALSE)</f>
        <v>JPN</v>
      </c>
      <c r="D52">
        <v>2018</v>
      </c>
      <c r="F52" s="2">
        <v>3632350000</v>
      </c>
      <c r="G52" t="s">
        <v>71</v>
      </c>
      <c r="J52">
        <v>1</v>
      </c>
      <c r="K52" t="str">
        <f>IFERROR(VLOOKUP($I52,[1]ifsfw!$A:$N,11,FALSE),"")</f>
        <v/>
      </c>
      <c r="L52" t="str">
        <f>IFERROR(VLOOKUP($I52,[1]ifsfw!$A:$N,12,FALSE),"")</f>
        <v/>
      </c>
      <c r="M52" t="str">
        <f>IFERROR(VLOOKUP($I52,[1]ifsfw!$A:$N,13,FALSE),"")</f>
        <v/>
      </c>
      <c r="N52" t="str">
        <f>IFERROR(VLOOKUP($I52,[1]ifsfw!$A:$N,14,FALSE),"")</f>
        <v/>
      </c>
      <c r="O52" s="1" t="s">
        <v>290</v>
      </c>
      <c r="P52" t="s">
        <v>291</v>
      </c>
      <c r="Q52">
        <v>0</v>
      </c>
      <c r="R52">
        <v>0</v>
      </c>
      <c r="S52">
        <v>1</v>
      </c>
      <c r="T52">
        <f t="shared" si="1"/>
        <v>1</v>
      </c>
    </row>
    <row r="53" spans="1:23" ht="15" customHeight="1" x14ac:dyDescent="0.3">
      <c r="A53" t="s">
        <v>292</v>
      </c>
      <c r="B53" t="s">
        <v>293</v>
      </c>
      <c r="C53" t="str">
        <f>VLOOKUP(B53,[1]country_codes!A:C,3,FALSE)</f>
        <v>KAZ</v>
      </c>
      <c r="D53">
        <v>2001</v>
      </c>
      <c r="F53" s="2">
        <v>55727000000</v>
      </c>
      <c r="G53" t="s">
        <v>71</v>
      </c>
      <c r="H53">
        <v>2</v>
      </c>
      <c r="I53" t="s">
        <v>294</v>
      </c>
      <c r="J53">
        <v>1</v>
      </c>
      <c r="K53">
        <f>IFERROR(VLOOKUP($I53,[1]ifsfw!$A:$N,11,FALSE),"")</f>
        <v>0</v>
      </c>
      <c r="L53">
        <f>IFERROR(VLOOKUP($I53,[1]ifsfw!$A:$N,12,FALSE),"")</f>
        <v>1</v>
      </c>
      <c r="M53">
        <f>IFERROR(VLOOKUP($I53,[1]ifsfw!$A:$N,13,FALSE),"")</f>
        <v>0</v>
      </c>
      <c r="N53">
        <f>IFERROR(VLOOKUP($I53,[1]ifsfw!$A:$N,14,FALSE),"")</f>
        <v>0</v>
      </c>
      <c r="O53" s="1" t="s">
        <v>295</v>
      </c>
      <c r="P53" t="s">
        <v>296</v>
      </c>
      <c r="Q53">
        <v>1</v>
      </c>
      <c r="R53">
        <v>0</v>
      </c>
      <c r="S53">
        <v>0</v>
      </c>
      <c r="T53">
        <f t="shared" si="1"/>
        <v>0</v>
      </c>
      <c r="U53" s="1" t="s">
        <v>297</v>
      </c>
    </row>
    <row r="54" spans="1:23" ht="15" customHeight="1" x14ac:dyDescent="0.3">
      <c r="A54" t="s">
        <v>298</v>
      </c>
      <c r="B54" t="s">
        <v>293</v>
      </c>
      <c r="C54" t="str">
        <f>VLOOKUP(B54,[1]country_codes!A:C,3,FALSE)</f>
        <v>KAZ</v>
      </c>
      <c r="D54">
        <v>2008</v>
      </c>
      <c r="F54" s="2">
        <v>77365819805</v>
      </c>
      <c r="G54" t="s">
        <v>71</v>
      </c>
      <c r="H54">
        <v>1</v>
      </c>
      <c r="I54" t="s">
        <v>298</v>
      </c>
      <c r="J54">
        <v>1</v>
      </c>
      <c r="K54">
        <f>IFERROR(VLOOKUP($I54,[1]ifsfw!$A:$N,11,FALSE),"")</f>
        <v>0</v>
      </c>
      <c r="L54">
        <f>IFERROR(VLOOKUP($I54,[1]ifsfw!$A:$N,12,FALSE),"")</f>
        <v>0</v>
      </c>
      <c r="M54">
        <f>IFERROR(VLOOKUP($I54,[1]ifsfw!$A:$N,13,FALSE),"")</f>
        <v>1</v>
      </c>
      <c r="N54">
        <f>IFERROR(VLOOKUP($I54,[1]ifsfw!$A:$N,14,FALSE),"")</f>
        <v>0</v>
      </c>
      <c r="O54" s="1" t="s">
        <v>299</v>
      </c>
      <c r="P54" t="s">
        <v>300</v>
      </c>
      <c r="Q54">
        <v>0</v>
      </c>
      <c r="R54">
        <v>0</v>
      </c>
      <c r="S54">
        <v>1</v>
      </c>
      <c r="T54">
        <f t="shared" si="1"/>
        <v>1</v>
      </c>
    </row>
    <row r="55" spans="1:23" ht="15" customHeight="1" x14ac:dyDescent="0.3">
      <c r="A55" t="s">
        <v>301</v>
      </c>
      <c r="B55" t="s">
        <v>293</v>
      </c>
      <c r="C55" t="str">
        <f>VLOOKUP(B55,[1]country_codes!A:C,3,FALSE)</f>
        <v>KAZ</v>
      </c>
      <c r="D55">
        <v>2012</v>
      </c>
      <c r="F55" s="2">
        <v>99399644</v>
      </c>
      <c r="G55" t="s">
        <v>71</v>
      </c>
      <c r="J55">
        <v>1</v>
      </c>
      <c r="K55" t="str">
        <f>IFERROR(VLOOKUP($I55,[1]ifsfw!$A:$N,11,FALSE),"")</f>
        <v/>
      </c>
      <c r="L55" t="str">
        <f>IFERROR(VLOOKUP($I55,[1]ifsfw!$A:$N,12,FALSE),"")</f>
        <v/>
      </c>
      <c r="M55" t="str">
        <f>IFERROR(VLOOKUP($I55,[1]ifsfw!$A:$N,13,FALSE),"")</f>
        <v/>
      </c>
      <c r="N55" t="str">
        <f>IFERROR(VLOOKUP($I55,[1]ifsfw!$A:$N,14,FALSE),"")</f>
        <v/>
      </c>
      <c r="O55" s="1" t="s">
        <v>302</v>
      </c>
      <c r="P55" t="s">
        <v>303</v>
      </c>
      <c r="Q55">
        <v>0</v>
      </c>
      <c r="R55">
        <v>0</v>
      </c>
      <c r="S55">
        <v>1</v>
      </c>
      <c r="T55">
        <f t="shared" si="1"/>
        <v>1</v>
      </c>
    </row>
    <row r="56" spans="1:23" ht="15" customHeight="1" x14ac:dyDescent="0.3">
      <c r="A56" t="s">
        <v>304</v>
      </c>
      <c r="B56" t="s">
        <v>305</v>
      </c>
      <c r="C56" t="str">
        <f>VLOOKUP(B56,[1]country_codes!A:C,3,FALSE)</f>
        <v>KIR</v>
      </c>
      <c r="D56">
        <v>1956</v>
      </c>
      <c r="F56" s="2">
        <v>608521000</v>
      </c>
      <c r="G56" t="s">
        <v>77</v>
      </c>
      <c r="H56">
        <v>1</v>
      </c>
      <c r="I56" t="s">
        <v>306</v>
      </c>
      <c r="J56">
        <v>1</v>
      </c>
      <c r="K56">
        <f>IFERROR(VLOOKUP($I56,[1]ifsfw!$A:$N,11,FALSE),"")</f>
        <v>1</v>
      </c>
      <c r="L56">
        <f>IFERROR(VLOOKUP($I56,[1]ifsfw!$A:$N,12,FALSE),"")</f>
        <v>0</v>
      </c>
      <c r="M56">
        <f>IFERROR(VLOOKUP($I56,[1]ifsfw!$A:$N,13,FALSE),"")</f>
        <v>0</v>
      </c>
      <c r="N56">
        <f>IFERROR(VLOOKUP($I56,[1]ifsfw!$A:$N,14,FALSE),"")</f>
        <v>0</v>
      </c>
      <c r="O56" s="1" t="s">
        <v>307</v>
      </c>
      <c r="P56" t="s">
        <v>308</v>
      </c>
      <c r="Q56">
        <v>1</v>
      </c>
      <c r="R56">
        <v>0</v>
      </c>
      <c r="S56">
        <v>0</v>
      </c>
      <c r="T56">
        <f t="shared" si="1"/>
        <v>0</v>
      </c>
      <c r="U56" s="1" t="s">
        <v>309</v>
      </c>
      <c r="V56" t="s">
        <v>310</v>
      </c>
    </row>
    <row r="57" spans="1:23" ht="15" customHeight="1" x14ac:dyDescent="0.3">
      <c r="A57" t="s">
        <v>311</v>
      </c>
      <c r="B57" t="s">
        <v>312</v>
      </c>
      <c r="C57" t="s">
        <v>313</v>
      </c>
      <c r="D57">
        <v>2022</v>
      </c>
      <c r="F57" s="2">
        <v>330789000</v>
      </c>
      <c r="G57" t="s">
        <v>83</v>
      </c>
      <c r="J57">
        <v>1</v>
      </c>
      <c r="K57" t="str">
        <f>IFERROR(VLOOKUP($I57,[1]ifsfw!$A:$N,11,FALSE),"")</f>
        <v/>
      </c>
      <c r="L57" t="str">
        <f>IFERROR(VLOOKUP($I57,[1]ifsfw!$A:$N,12,FALSE),"")</f>
        <v/>
      </c>
      <c r="M57" t="str">
        <f>IFERROR(VLOOKUP($I57,[1]ifsfw!$A:$N,13,FALSE),"")</f>
        <v/>
      </c>
      <c r="N57" t="str">
        <f>IFERROR(VLOOKUP($I57,[1]ifsfw!$A:$N,14,FALSE),"")</f>
        <v/>
      </c>
      <c r="O57" s="1" t="s">
        <v>314</v>
      </c>
      <c r="P57" t="s">
        <v>315</v>
      </c>
      <c r="Q57">
        <v>0</v>
      </c>
      <c r="R57">
        <v>0</v>
      </c>
      <c r="S57">
        <v>1</v>
      </c>
      <c r="T57">
        <f t="shared" si="1"/>
        <v>1</v>
      </c>
    </row>
    <row r="58" spans="1:23" ht="15" customHeight="1" x14ac:dyDescent="0.3">
      <c r="A58" t="s">
        <v>316</v>
      </c>
      <c r="B58" t="s">
        <v>317</v>
      </c>
      <c r="C58" t="str">
        <f>VLOOKUP(B58,[1]country_codes!A:C,3,FALSE)</f>
        <v>KWT</v>
      </c>
      <c r="D58">
        <v>1953</v>
      </c>
      <c r="F58" s="2">
        <v>750000000000</v>
      </c>
      <c r="G58" t="s">
        <v>98</v>
      </c>
      <c r="H58">
        <v>1</v>
      </c>
      <c r="I58" t="s">
        <v>316</v>
      </c>
      <c r="J58">
        <v>1</v>
      </c>
      <c r="K58">
        <f>IFERROR(VLOOKUP($I58,[1]ifsfw!$A:$N,11,FALSE),"")</f>
        <v>0</v>
      </c>
      <c r="L58">
        <f>IFERROR(VLOOKUP($I58,[1]ifsfw!$A:$N,12,FALSE),"")</f>
        <v>0</v>
      </c>
      <c r="M58">
        <f>IFERROR(VLOOKUP($I58,[1]ifsfw!$A:$N,13,FALSE),"")</f>
        <v>0</v>
      </c>
      <c r="N58">
        <f>IFERROR(VLOOKUP($I58,[1]ifsfw!$A:$N,14,FALSE),"")</f>
        <v>1</v>
      </c>
      <c r="O58" s="1" t="s">
        <v>318</v>
      </c>
      <c r="P58" t="s">
        <v>319</v>
      </c>
      <c r="Q58">
        <v>0</v>
      </c>
      <c r="R58">
        <v>0</v>
      </c>
      <c r="S58">
        <v>1</v>
      </c>
      <c r="T58">
        <f t="shared" si="1"/>
        <v>1</v>
      </c>
    </row>
    <row r="59" spans="1:23" ht="15" customHeight="1" x14ac:dyDescent="0.3">
      <c r="A59" t="s">
        <v>320</v>
      </c>
      <c r="B59" t="s">
        <v>321</v>
      </c>
      <c r="C59" t="str">
        <f>VLOOKUP(B59,[1]country_codes!A:C,3,FALSE)</f>
        <v>LBY</v>
      </c>
      <c r="D59">
        <v>2006</v>
      </c>
      <c r="F59" s="2">
        <v>67000000000</v>
      </c>
      <c r="G59" t="s">
        <v>61</v>
      </c>
      <c r="H59">
        <v>1</v>
      </c>
      <c r="I59" t="s">
        <v>320</v>
      </c>
      <c r="J59">
        <v>1</v>
      </c>
      <c r="K59">
        <f>IFERROR(VLOOKUP($I59,[1]ifsfw!$A:$N,11,FALSE),"")</f>
        <v>0</v>
      </c>
      <c r="L59">
        <f>IFERROR(VLOOKUP($I59,[1]ifsfw!$A:$N,12,FALSE),"")</f>
        <v>1</v>
      </c>
      <c r="M59">
        <f>IFERROR(VLOOKUP($I59,[1]ifsfw!$A:$N,13,FALSE),"")</f>
        <v>0</v>
      </c>
      <c r="N59">
        <f>IFERROR(VLOOKUP($I59,[1]ifsfw!$A:$N,14,FALSE),"")</f>
        <v>0</v>
      </c>
      <c r="O59" s="1" t="s">
        <v>322</v>
      </c>
      <c r="P59" t="s">
        <v>323</v>
      </c>
      <c r="Q59">
        <v>1</v>
      </c>
      <c r="R59">
        <v>0</v>
      </c>
      <c r="S59">
        <v>0</v>
      </c>
      <c r="T59">
        <f t="shared" si="1"/>
        <v>0</v>
      </c>
      <c r="W59" t="s">
        <v>324</v>
      </c>
    </row>
    <row r="60" spans="1:23" ht="15" customHeight="1" x14ac:dyDescent="0.3">
      <c r="A60" t="s">
        <v>325</v>
      </c>
      <c r="B60" t="s">
        <v>326</v>
      </c>
      <c r="C60" t="str">
        <f>VLOOKUP(B60,[1]country_codes!A:C,3,FALSE)</f>
        <v>LUX</v>
      </c>
      <c r="D60">
        <v>2015</v>
      </c>
      <c r="F60" s="2">
        <v>488911000</v>
      </c>
      <c r="G60" t="s">
        <v>83</v>
      </c>
      <c r="J60">
        <v>1</v>
      </c>
      <c r="K60" t="str">
        <f>IFERROR(VLOOKUP($I60,[1]ifsfw!$A:$N,11,FALSE),"")</f>
        <v/>
      </c>
      <c r="L60" t="str">
        <f>IFERROR(VLOOKUP($I60,[1]ifsfw!$A:$N,12,FALSE),"")</f>
        <v/>
      </c>
      <c r="M60" t="str">
        <f>IFERROR(VLOOKUP($I60,[1]ifsfw!$A:$N,13,FALSE),"")</f>
        <v/>
      </c>
      <c r="N60" t="str">
        <f>IFERROR(VLOOKUP($I60,[1]ifsfw!$A:$N,14,FALSE),"")</f>
        <v/>
      </c>
      <c r="O60" s="1" t="s">
        <v>327</v>
      </c>
      <c r="P60" t="s">
        <v>328</v>
      </c>
      <c r="Q60">
        <v>0</v>
      </c>
      <c r="R60">
        <v>1</v>
      </c>
      <c r="S60">
        <v>0</v>
      </c>
      <c r="T60">
        <f t="shared" si="1"/>
        <v>1</v>
      </c>
    </row>
    <row r="61" spans="1:23" ht="15" customHeight="1" x14ac:dyDescent="0.3">
      <c r="A61" t="s">
        <v>329</v>
      </c>
      <c r="B61" t="s">
        <v>330</v>
      </c>
      <c r="C61" t="str">
        <f>VLOOKUP(B61,[1]country_codes!A:C,3,FALSE)</f>
        <v>MYS</v>
      </c>
      <c r="D61">
        <v>1994</v>
      </c>
      <c r="F61" s="2">
        <v>35848587667</v>
      </c>
      <c r="G61" t="s">
        <v>71</v>
      </c>
      <c r="H61">
        <v>1</v>
      </c>
      <c r="I61" t="s">
        <v>331</v>
      </c>
      <c r="J61">
        <v>1</v>
      </c>
      <c r="K61">
        <f>IFERROR(VLOOKUP($I61,[1]ifsfw!$A:$N,11,FALSE),"")</f>
        <v>0</v>
      </c>
      <c r="L61">
        <f>IFERROR(VLOOKUP($I61,[1]ifsfw!$A:$N,12,FALSE),"")</f>
        <v>0</v>
      </c>
      <c r="M61">
        <f>IFERROR(VLOOKUP($I61,[1]ifsfw!$A:$N,13,FALSE),"")</f>
        <v>1</v>
      </c>
      <c r="N61">
        <f>IFERROR(VLOOKUP($I61,[1]ifsfw!$A:$N,14,FALSE),"")</f>
        <v>0</v>
      </c>
      <c r="O61" s="1" t="s">
        <v>332</v>
      </c>
      <c r="P61" t="s">
        <v>333</v>
      </c>
      <c r="Q61">
        <v>0</v>
      </c>
      <c r="R61">
        <v>0</v>
      </c>
      <c r="S61">
        <v>1</v>
      </c>
      <c r="T61">
        <f t="shared" si="1"/>
        <v>1</v>
      </c>
    </row>
    <row r="62" spans="1:23" ht="15" customHeight="1" x14ac:dyDescent="0.3">
      <c r="A62" t="s">
        <v>334</v>
      </c>
      <c r="B62" t="s">
        <v>335</v>
      </c>
      <c r="C62" t="str">
        <f>VLOOKUP(B62,[1]country_codes!A:C,3,FALSE)</f>
        <v>MLT</v>
      </c>
      <c r="D62">
        <v>2015</v>
      </c>
      <c r="F62" s="2">
        <v>17353860046</v>
      </c>
      <c r="G62" t="s">
        <v>83</v>
      </c>
      <c r="H62">
        <v>1</v>
      </c>
      <c r="I62" t="s">
        <v>334</v>
      </c>
      <c r="J62">
        <v>1</v>
      </c>
      <c r="K62">
        <f>IFERROR(VLOOKUP($I62,[1]ifsfw!$A:$N,11,FALSE),"")</f>
        <v>0</v>
      </c>
      <c r="L62">
        <f>IFERROR(VLOOKUP($I62,[1]ifsfw!$A:$N,12,FALSE),"")</f>
        <v>0</v>
      </c>
      <c r="M62">
        <f>IFERROR(VLOOKUP($I62,[1]ifsfw!$A:$N,13,FALSE),"")</f>
        <v>1</v>
      </c>
      <c r="N62">
        <f>IFERROR(VLOOKUP($I62,[1]ifsfw!$A:$N,14,FALSE),"")</f>
        <v>0</v>
      </c>
      <c r="O62" s="1" t="s">
        <v>336</v>
      </c>
      <c r="P62" t="s">
        <v>337</v>
      </c>
      <c r="Q62">
        <v>0</v>
      </c>
      <c r="R62">
        <v>0</v>
      </c>
      <c r="S62">
        <v>1</v>
      </c>
      <c r="T62">
        <f t="shared" si="1"/>
        <v>1</v>
      </c>
    </row>
    <row r="63" spans="1:23" ht="15" customHeight="1" x14ac:dyDescent="0.3">
      <c r="A63" t="s">
        <v>338</v>
      </c>
      <c r="B63" t="s">
        <v>335</v>
      </c>
      <c r="C63" t="str">
        <f>VLOOKUP(B63,[1]country_codes!A:C,3,FALSE)</f>
        <v>MLT</v>
      </c>
      <c r="D63">
        <v>2016</v>
      </c>
      <c r="F63" s="2">
        <v>730646459</v>
      </c>
      <c r="G63" t="s">
        <v>83</v>
      </c>
      <c r="H63">
        <v>1</v>
      </c>
      <c r="I63" t="s">
        <v>339</v>
      </c>
      <c r="J63">
        <v>1</v>
      </c>
      <c r="K63">
        <f>IFERROR(VLOOKUP($I63,[1]ifsfw!$A:$N,11,FALSE),"")</f>
        <v>0</v>
      </c>
      <c r="L63">
        <f>IFERROR(VLOOKUP($I63,[1]ifsfw!$A:$N,12,FALSE),"")</f>
        <v>0</v>
      </c>
      <c r="M63">
        <f>IFERROR(VLOOKUP($I63,[1]ifsfw!$A:$N,13,FALSE),"")</f>
        <v>1</v>
      </c>
      <c r="N63">
        <f>IFERROR(VLOOKUP($I63,[1]ifsfw!$A:$N,14,FALSE),"")</f>
        <v>0</v>
      </c>
      <c r="O63" s="1" t="s">
        <v>340</v>
      </c>
      <c r="P63" t="s">
        <v>341</v>
      </c>
      <c r="Q63">
        <v>0</v>
      </c>
      <c r="R63">
        <v>0</v>
      </c>
      <c r="S63">
        <v>1</v>
      </c>
      <c r="T63">
        <f t="shared" si="1"/>
        <v>1</v>
      </c>
    </row>
    <row r="64" spans="1:23" ht="15" customHeight="1" x14ac:dyDescent="0.3">
      <c r="A64" t="s">
        <v>342</v>
      </c>
      <c r="B64" t="s">
        <v>343</v>
      </c>
      <c r="C64" t="str">
        <f>VLOOKUP(B64,[1]country_codes!A:C,3,FALSE)</f>
        <v>MHL</v>
      </c>
      <c r="D64">
        <v>2004</v>
      </c>
      <c r="G64" t="s">
        <v>344</v>
      </c>
      <c r="H64">
        <v>1</v>
      </c>
      <c r="I64" t="s">
        <v>345</v>
      </c>
      <c r="J64">
        <v>1</v>
      </c>
      <c r="K64">
        <v>0</v>
      </c>
      <c r="L64">
        <v>0</v>
      </c>
      <c r="M64">
        <v>1</v>
      </c>
      <c r="N64">
        <v>0</v>
      </c>
      <c r="O64" s="1" t="s">
        <v>346</v>
      </c>
      <c r="P64" t="s">
        <v>347</v>
      </c>
      <c r="Q64">
        <v>0</v>
      </c>
      <c r="R64">
        <v>0</v>
      </c>
      <c r="S64">
        <v>1</v>
      </c>
      <c r="T64">
        <f t="shared" si="1"/>
        <v>1</v>
      </c>
      <c r="U64" t="s">
        <v>348</v>
      </c>
    </row>
    <row r="65" spans="1:21" ht="15" customHeight="1" x14ac:dyDescent="0.3">
      <c r="A65" t="s">
        <v>349</v>
      </c>
      <c r="B65" t="s">
        <v>350</v>
      </c>
      <c r="C65" t="str">
        <f>VLOOKUP(B65,[1]country_codes!A:C,3,FALSE)</f>
        <v>MRT</v>
      </c>
      <c r="D65">
        <v>2006</v>
      </c>
      <c r="F65" s="2">
        <v>159000000</v>
      </c>
      <c r="G65" t="s">
        <v>61</v>
      </c>
      <c r="H65">
        <v>1</v>
      </c>
      <c r="I65" t="s">
        <v>351</v>
      </c>
      <c r="J65">
        <v>1</v>
      </c>
      <c r="K65">
        <f>IFERROR(VLOOKUP($I65,[1]ifsfw!$A:$N,11,FALSE),"")</f>
        <v>1</v>
      </c>
      <c r="L65">
        <f>IFERROR(VLOOKUP($I65,[1]ifsfw!$A:$N,12,FALSE),"")</f>
        <v>0</v>
      </c>
      <c r="M65">
        <f>IFERROR(VLOOKUP($I65,[1]ifsfw!$A:$N,13,FALSE),"")</f>
        <v>0</v>
      </c>
      <c r="N65">
        <f>IFERROR(VLOOKUP($I65,[1]ifsfw!$A:$N,14,FALSE),"")</f>
        <v>0</v>
      </c>
      <c r="O65" s="1" t="s">
        <v>352</v>
      </c>
      <c r="P65" t="s">
        <v>353</v>
      </c>
      <c r="Q65">
        <v>1</v>
      </c>
      <c r="R65">
        <v>0</v>
      </c>
      <c r="S65">
        <v>0</v>
      </c>
      <c r="T65">
        <f t="shared" si="1"/>
        <v>0</v>
      </c>
    </row>
    <row r="66" spans="1:21" ht="15" customHeight="1" x14ac:dyDescent="0.3">
      <c r="A66" t="s">
        <v>354</v>
      </c>
      <c r="B66" t="s">
        <v>355</v>
      </c>
      <c r="C66" t="str">
        <f>VLOOKUP(B66,[1]country_codes!A:C,3,FALSE)</f>
        <v>MUS</v>
      </c>
      <c r="D66">
        <v>2020</v>
      </c>
      <c r="F66" s="2">
        <v>1976981887</v>
      </c>
      <c r="G66" t="s">
        <v>61</v>
      </c>
      <c r="H66">
        <v>1</v>
      </c>
      <c r="I66" t="s">
        <v>354</v>
      </c>
      <c r="J66">
        <v>1</v>
      </c>
      <c r="K66">
        <f>IFERROR(VLOOKUP($I66,[1]ifsfw!$A:$N,11,FALSE),"")</f>
        <v>0</v>
      </c>
      <c r="L66">
        <f>IFERROR(VLOOKUP($I66,[1]ifsfw!$A:$N,12,FALSE),"")</f>
        <v>0</v>
      </c>
      <c r="M66">
        <f>IFERROR(VLOOKUP($I66,[1]ifsfw!$A:$N,13,FALSE),"")</f>
        <v>1</v>
      </c>
      <c r="N66">
        <f>IFERROR(VLOOKUP($I66,[1]ifsfw!$A:$N,14,FALSE),"")</f>
        <v>0</v>
      </c>
      <c r="O66" s="1" t="s">
        <v>356</v>
      </c>
      <c r="P66" t="s">
        <v>357</v>
      </c>
      <c r="Q66">
        <v>0</v>
      </c>
      <c r="R66">
        <v>0</v>
      </c>
      <c r="S66">
        <v>1</v>
      </c>
      <c r="T66">
        <f t="shared" ref="T66:T97" si="2">SUM(R66:S66)</f>
        <v>1</v>
      </c>
    </row>
    <row r="67" spans="1:21" ht="15" customHeight="1" x14ac:dyDescent="0.3">
      <c r="A67" t="s">
        <v>358</v>
      </c>
      <c r="B67" t="s">
        <v>359</v>
      </c>
      <c r="C67" t="str">
        <f>VLOOKUP(B67,[1]country_codes!A:C,3,FALSE)</f>
        <v>MEX</v>
      </c>
      <c r="D67">
        <v>2000</v>
      </c>
      <c r="F67" s="2">
        <v>1264723858</v>
      </c>
      <c r="G67" t="s">
        <v>119</v>
      </c>
      <c r="H67">
        <v>2</v>
      </c>
      <c r="I67" t="s">
        <v>358</v>
      </c>
      <c r="J67">
        <v>1</v>
      </c>
      <c r="K67" t="str">
        <f>IFERROR(VLOOKUP($I67,[1]ifsfw!$A:$N,11,FALSE),"")</f>
        <v/>
      </c>
      <c r="L67" t="str">
        <f>IFERROR(VLOOKUP($I67,[1]ifsfw!$A:$N,12,FALSE),"")</f>
        <v/>
      </c>
      <c r="M67" t="str">
        <f>IFERROR(VLOOKUP($I67,[1]ifsfw!$A:$N,13,FALSE),"")</f>
        <v/>
      </c>
      <c r="N67" t="str">
        <f>IFERROR(VLOOKUP($I67,[1]ifsfw!$A:$N,14,FALSE),"")</f>
        <v/>
      </c>
      <c r="O67" s="1" t="s">
        <v>360</v>
      </c>
      <c r="P67" t="s">
        <v>361</v>
      </c>
      <c r="Q67">
        <v>1</v>
      </c>
      <c r="R67">
        <v>0</v>
      </c>
      <c r="S67">
        <v>0</v>
      </c>
      <c r="T67">
        <f t="shared" si="2"/>
        <v>0</v>
      </c>
    </row>
    <row r="68" spans="1:21" ht="15" customHeight="1" x14ac:dyDescent="0.3">
      <c r="A68" t="s">
        <v>362</v>
      </c>
      <c r="B68" t="s">
        <v>359</v>
      </c>
      <c r="C68" t="str">
        <f>VLOOKUP(B68,[1]country_codes!A:C,3,FALSE)</f>
        <v>MEX</v>
      </c>
      <c r="D68">
        <v>2014</v>
      </c>
      <c r="F68" s="2">
        <v>1371170000</v>
      </c>
      <c r="G68" t="s">
        <v>119</v>
      </c>
      <c r="H68">
        <v>2</v>
      </c>
      <c r="I68" t="s">
        <v>362</v>
      </c>
      <c r="J68">
        <v>1</v>
      </c>
      <c r="K68" t="str">
        <f>IFERROR(VLOOKUP($I68,[1]ifsfw!$A:$N,11,FALSE),"")</f>
        <v/>
      </c>
      <c r="L68" t="str">
        <f>IFERROR(VLOOKUP($I68,[1]ifsfw!$A:$N,12,FALSE),"")</f>
        <v/>
      </c>
      <c r="M68" t="str">
        <f>IFERROR(VLOOKUP($I68,[1]ifsfw!$A:$N,13,FALSE),"")</f>
        <v/>
      </c>
      <c r="N68" t="str">
        <f>IFERROR(VLOOKUP($I68,[1]ifsfw!$A:$N,14,FALSE),"")</f>
        <v/>
      </c>
      <c r="O68" s="1" t="s">
        <v>363</v>
      </c>
      <c r="P68" t="s">
        <v>364</v>
      </c>
      <c r="Q68">
        <v>1</v>
      </c>
      <c r="R68">
        <v>0</v>
      </c>
      <c r="S68">
        <v>0</v>
      </c>
      <c r="T68">
        <f t="shared" si="2"/>
        <v>0</v>
      </c>
    </row>
    <row r="69" spans="1:21" ht="15" customHeight="1" x14ac:dyDescent="0.3">
      <c r="A69" t="s">
        <v>365</v>
      </c>
      <c r="B69" t="s">
        <v>366</v>
      </c>
      <c r="C69" t="str">
        <f>VLOOKUP(B69,[1]country_codes!A:C,3,FALSE)</f>
        <v>FSM</v>
      </c>
      <c r="D69">
        <v>2005</v>
      </c>
      <c r="G69" t="s">
        <v>344</v>
      </c>
      <c r="H69">
        <v>1</v>
      </c>
      <c r="I69" t="s">
        <v>345</v>
      </c>
      <c r="J69">
        <v>1</v>
      </c>
      <c r="K69">
        <v>0</v>
      </c>
      <c r="L69">
        <v>0</v>
      </c>
      <c r="M69">
        <v>1</v>
      </c>
      <c r="N69">
        <v>0</v>
      </c>
      <c r="O69" s="1" t="s">
        <v>367</v>
      </c>
      <c r="P69" t="s">
        <v>347</v>
      </c>
      <c r="Q69">
        <v>0</v>
      </c>
      <c r="R69">
        <v>0</v>
      </c>
      <c r="S69">
        <v>1</v>
      </c>
      <c r="T69">
        <f t="shared" si="2"/>
        <v>1</v>
      </c>
      <c r="U69" t="s">
        <v>348</v>
      </c>
    </row>
    <row r="70" spans="1:21" ht="15" customHeight="1" x14ac:dyDescent="0.3">
      <c r="A70" t="s">
        <v>368</v>
      </c>
      <c r="B70" t="s">
        <v>369</v>
      </c>
      <c r="C70" t="str">
        <f>VLOOKUP(B70,[1]country_codes!A:C,3,FALSE)</f>
        <v>MCO</v>
      </c>
      <c r="D70">
        <v>1962</v>
      </c>
      <c r="F70" s="2">
        <v>7480857000</v>
      </c>
      <c r="G70" t="s">
        <v>83</v>
      </c>
      <c r="H70">
        <v>1</v>
      </c>
      <c r="I70" t="s">
        <v>370</v>
      </c>
      <c r="J70">
        <v>1</v>
      </c>
      <c r="K70">
        <f>IFERROR(VLOOKUP($I70,[1]ifsfw!$A:$N,11,FALSE),"")</f>
        <v>0</v>
      </c>
      <c r="L70">
        <f>IFERROR(VLOOKUP($I70,[1]ifsfw!$A:$N,12,FALSE),"")</f>
        <v>0</v>
      </c>
      <c r="M70">
        <f>IFERROR(VLOOKUP($I70,[1]ifsfw!$A:$N,13,FALSE),"")</f>
        <v>0</v>
      </c>
      <c r="N70">
        <f>IFERROR(VLOOKUP($I70,[1]ifsfw!$A:$N,14,FALSE),"")</f>
        <v>1</v>
      </c>
      <c r="P70" t="s">
        <v>371</v>
      </c>
      <c r="Q70">
        <v>1</v>
      </c>
      <c r="R70">
        <v>0</v>
      </c>
      <c r="S70">
        <v>0</v>
      </c>
      <c r="T70">
        <f t="shared" si="2"/>
        <v>0</v>
      </c>
      <c r="U70" s="1" t="s">
        <v>372</v>
      </c>
    </row>
    <row r="71" spans="1:21" ht="15" customHeight="1" x14ac:dyDescent="0.3">
      <c r="A71" t="s">
        <v>373</v>
      </c>
      <c r="B71" t="s">
        <v>374</v>
      </c>
      <c r="C71" t="str">
        <f>VLOOKUP(B71,[1]country_codes!A:C,3,FALSE)</f>
        <v>MNG</v>
      </c>
      <c r="D71">
        <v>2011</v>
      </c>
      <c r="F71" s="2">
        <v>46725200</v>
      </c>
      <c r="G71" t="s">
        <v>71</v>
      </c>
      <c r="H71">
        <v>1</v>
      </c>
      <c r="I71" t="s">
        <v>375</v>
      </c>
      <c r="J71">
        <v>1</v>
      </c>
      <c r="K71">
        <f>IFERROR(VLOOKUP($I71,[1]ifsfw!$A:$N,11,FALSE),"")</f>
        <v>1</v>
      </c>
      <c r="L71">
        <f>IFERROR(VLOOKUP($I71,[1]ifsfw!$A:$N,12,FALSE),"")</f>
        <v>0</v>
      </c>
      <c r="M71">
        <f>IFERROR(VLOOKUP($I71,[1]ifsfw!$A:$N,13,FALSE),"")</f>
        <v>0</v>
      </c>
      <c r="N71">
        <f>IFERROR(VLOOKUP($I71,[1]ifsfw!$A:$N,14,FALSE),"")</f>
        <v>0</v>
      </c>
      <c r="P71" t="s">
        <v>376</v>
      </c>
      <c r="Q71">
        <v>1</v>
      </c>
      <c r="R71">
        <v>0</v>
      </c>
      <c r="S71">
        <v>0</v>
      </c>
      <c r="T71">
        <f t="shared" si="2"/>
        <v>0</v>
      </c>
      <c r="U71" s="1" t="s">
        <v>377</v>
      </c>
    </row>
    <row r="72" spans="1:21" ht="15" customHeight="1" x14ac:dyDescent="0.3">
      <c r="A72" t="s">
        <v>378</v>
      </c>
      <c r="B72" t="s">
        <v>374</v>
      </c>
      <c r="C72" t="str">
        <f>VLOOKUP(B72,[1]country_codes!A:C,3,FALSE)</f>
        <v>MNG</v>
      </c>
      <c r="D72">
        <v>2017</v>
      </c>
      <c r="F72" s="2">
        <v>268925000</v>
      </c>
      <c r="G72" t="s">
        <v>71</v>
      </c>
      <c r="H72">
        <v>1</v>
      </c>
      <c r="I72" t="s">
        <v>379</v>
      </c>
      <c r="J72">
        <v>1</v>
      </c>
      <c r="K72">
        <f>IFERROR(VLOOKUP($I72,[1]ifsfw!$A:$N,11,FALSE),"")</f>
        <v>0</v>
      </c>
      <c r="L72">
        <f>IFERROR(VLOOKUP($I72,[1]ifsfw!$A:$N,12,FALSE),"")</f>
        <v>1</v>
      </c>
      <c r="M72">
        <f>IFERROR(VLOOKUP($I72,[1]ifsfw!$A:$N,13,FALSE),"")</f>
        <v>0</v>
      </c>
      <c r="N72">
        <f>IFERROR(VLOOKUP($I72,[1]ifsfw!$A:$N,14,FALSE),"")</f>
        <v>0</v>
      </c>
      <c r="P72" t="s">
        <v>380</v>
      </c>
      <c r="Q72">
        <v>0</v>
      </c>
      <c r="R72">
        <v>1</v>
      </c>
      <c r="S72">
        <v>0</v>
      </c>
      <c r="T72">
        <f t="shared" si="2"/>
        <v>1</v>
      </c>
      <c r="U72" s="1" t="s">
        <v>377</v>
      </c>
    </row>
    <row r="73" spans="1:21" ht="15" customHeight="1" x14ac:dyDescent="0.3">
      <c r="A73" t="s">
        <v>381</v>
      </c>
      <c r="B73" t="s">
        <v>382</v>
      </c>
      <c r="C73" t="str">
        <f>VLOOKUP(B73,[1]country_codes!A:C,3,FALSE)</f>
        <v>MAR</v>
      </c>
      <c r="D73">
        <v>2021</v>
      </c>
      <c r="F73" s="2">
        <v>1600000000</v>
      </c>
      <c r="G73" t="s">
        <v>61</v>
      </c>
      <c r="H73">
        <v>2</v>
      </c>
      <c r="I73" t="s">
        <v>383</v>
      </c>
      <c r="J73">
        <v>1</v>
      </c>
      <c r="K73">
        <f>IFERROR(VLOOKUP($I73,[1]ifsfw!$A:$N,11,FALSE),"")</f>
        <v>0</v>
      </c>
      <c r="L73">
        <f>IFERROR(VLOOKUP($I73,[1]ifsfw!$A:$N,12,FALSE),"")</f>
        <v>0</v>
      </c>
      <c r="M73">
        <f>IFERROR(VLOOKUP($I73,[1]ifsfw!$A:$N,13,FALSE),"")</f>
        <v>1</v>
      </c>
      <c r="N73">
        <f>IFERROR(VLOOKUP($I73,[1]ifsfw!$A:$N,14,FALSE),"")</f>
        <v>0</v>
      </c>
      <c r="O73" s="1" t="s">
        <v>384</v>
      </c>
      <c r="P73" t="s">
        <v>385</v>
      </c>
      <c r="Q73">
        <v>0</v>
      </c>
      <c r="R73">
        <v>0</v>
      </c>
      <c r="S73">
        <v>1</v>
      </c>
      <c r="T73">
        <f t="shared" si="2"/>
        <v>1</v>
      </c>
      <c r="U73" s="1" t="s">
        <v>386</v>
      </c>
    </row>
    <row r="74" spans="1:21" ht="15" customHeight="1" x14ac:dyDescent="0.3">
      <c r="A74" t="s">
        <v>387</v>
      </c>
      <c r="B74" t="s">
        <v>388</v>
      </c>
      <c r="C74" t="str">
        <f>VLOOKUP(B74,[1]country_codes!A:C,3,FALSE)</f>
        <v>NAM</v>
      </c>
      <c r="D74">
        <v>1996</v>
      </c>
      <c r="G74" t="s">
        <v>61</v>
      </c>
      <c r="J74">
        <v>1</v>
      </c>
      <c r="K74" t="str">
        <f>IFERROR(VLOOKUP($I74,[1]ifsfw!$A:$N,11,FALSE),"")</f>
        <v/>
      </c>
      <c r="L74" t="str">
        <f>IFERROR(VLOOKUP($I74,[1]ifsfw!$A:$N,12,FALSE),"")</f>
        <v/>
      </c>
      <c r="M74" t="str">
        <f>IFERROR(VLOOKUP($I74,[1]ifsfw!$A:$N,13,FALSE),"")</f>
        <v/>
      </c>
      <c r="N74" t="str">
        <f>IFERROR(VLOOKUP($I74,[1]ifsfw!$A:$N,14,FALSE),"")</f>
        <v/>
      </c>
      <c r="O74" s="1" t="s">
        <v>389</v>
      </c>
      <c r="P74" t="s">
        <v>390</v>
      </c>
      <c r="Q74">
        <v>0</v>
      </c>
      <c r="R74">
        <v>0</v>
      </c>
      <c r="S74">
        <v>1</v>
      </c>
      <c r="T74">
        <f t="shared" si="2"/>
        <v>1</v>
      </c>
      <c r="U74" s="1" t="s">
        <v>391</v>
      </c>
    </row>
    <row r="75" spans="1:21" ht="15" customHeight="1" x14ac:dyDescent="0.3">
      <c r="A75" t="s">
        <v>392</v>
      </c>
      <c r="B75" t="s">
        <v>388</v>
      </c>
      <c r="C75" t="str">
        <f>VLOOKUP(B75,[1]country_codes!A:C,3,FALSE)</f>
        <v>NAM</v>
      </c>
      <c r="D75">
        <v>2022</v>
      </c>
      <c r="F75" s="2">
        <v>16150000</v>
      </c>
      <c r="G75" t="s">
        <v>61</v>
      </c>
      <c r="H75">
        <v>1</v>
      </c>
      <c r="I75" t="s">
        <v>392</v>
      </c>
      <c r="J75">
        <v>1</v>
      </c>
      <c r="K75">
        <f>IFERROR(VLOOKUP($I75,[1]ifsfw!$A:$N,11,FALSE),"")</f>
        <v>0</v>
      </c>
      <c r="L75">
        <f>IFERROR(VLOOKUP($I75,[1]ifsfw!$A:$N,12,FALSE),"")</f>
        <v>0</v>
      </c>
      <c r="M75">
        <f>IFERROR(VLOOKUP($I75,[1]ifsfw!$A:$N,13,FALSE),"")</f>
        <v>0</v>
      </c>
      <c r="N75">
        <f>IFERROR(VLOOKUP($I75,[1]ifsfw!$A:$N,14,FALSE),"")</f>
        <v>1</v>
      </c>
      <c r="O75" s="1" t="s">
        <v>393</v>
      </c>
      <c r="P75" t="s">
        <v>394</v>
      </c>
      <c r="Q75">
        <v>1</v>
      </c>
      <c r="R75">
        <v>0</v>
      </c>
      <c r="S75">
        <v>0</v>
      </c>
      <c r="T75">
        <f t="shared" si="2"/>
        <v>0</v>
      </c>
    </row>
    <row r="76" spans="1:21" ht="15" customHeight="1" x14ac:dyDescent="0.3">
      <c r="A76" t="s">
        <v>395</v>
      </c>
      <c r="B76" t="s">
        <v>396</v>
      </c>
      <c r="C76" t="str">
        <f>VLOOKUP(B76,[1]country_codes!A:C,3,FALSE)</f>
        <v>NRU</v>
      </c>
      <c r="D76">
        <v>2016</v>
      </c>
      <c r="F76" s="2">
        <v>86252100</v>
      </c>
      <c r="G76" t="s">
        <v>77</v>
      </c>
      <c r="H76">
        <v>1</v>
      </c>
      <c r="I76" t="s">
        <v>395</v>
      </c>
      <c r="J76">
        <v>1</v>
      </c>
      <c r="K76">
        <f>IFERROR(VLOOKUP($I76,[1]ifsfw!$A:$N,11,FALSE),"")</f>
        <v>0</v>
      </c>
      <c r="L76">
        <f>IFERROR(VLOOKUP($I76,[1]ifsfw!$A:$N,12,FALSE),"")</f>
        <v>1</v>
      </c>
      <c r="M76">
        <f>IFERROR(VLOOKUP($I76,[1]ifsfw!$A:$N,13,FALSE),"")</f>
        <v>0</v>
      </c>
      <c r="N76">
        <f>IFERROR(VLOOKUP($I76,[1]ifsfw!$A:$N,14,FALSE),"")</f>
        <v>0</v>
      </c>
      <c r="O76" s="1" t="s">
        <v>397</v>
      </c>
      <c r="P76" t="s">
        <v>398</v>
      </c>
      <c r="Q76">
        <v>0</v>
      </c>
      <c r="R76">
        <v>1</v>
      </c>
      <c r="S76">
        <v>0</v>
      </c>
      <c r="T76">
        <f t="shared" si="2"/>
        <v>1</v>
      </c>
      <c r="U76" s="1" t="s">
        <v>399</v>
      </c>
    </row>
    <row r="77" spans="1:21" ht="15" customHeight="1" x14ac:dyDescent="0.3">
      <c r="A77" t="s">
        <v>400</v>
      </c>
      <c r="B77" t="s">
        <v>401</v>
      </c>
      <c r="C77" t="str">
        <f>VLOOKUP(B77,[1]country_codes!A:C,3,FALSE)</f>
        <v>NZL</v>
      </c>
      <c r="D77">
        <v>2002</v>
      </c>
      <c r="F77" s="2">
        <v>35124729794</v>
      </c>
      <c r="G77" t="s">
        <v>77</v>
      </c>
      <c r="H77">
        <v>1</v>
      </c>
      <c r="I77" t="s">
        <v>400</v>
      </c>
      <c r="J77">
        <v>1</v>
      </c>
      <c r="K77">
        <f>IFERROR(VLOOKUP($I77,[1]ifsfw!$A:$N,11,FALSE),"")</f>
        <v>0</v>
      </c>
      <c r="L77">
        <f>IFERROR(VLOOKUP($I77,[1]ifsfw!$A:$N,12,FALSE),"")</f>
        <v>1</v>
      </c>
      <c r="M77">
        <f>IFERROR(VLOOKUP($I77,[1]ifsfw!$A:$N,13,FALSE),"")</f>
        <v>0</v>
      </c>
      <c r="N77">
        <f>IFERROR(VLOOKUP($I77,[1]ifsfw!$A:$N,14,FALSE),"")</f>
        <v>0</v>
      </c>
      <c r="O77" s="1" t="s">
        <v>402</v>
      </c>
      <c r="P77" t="s">
        <v>403</v>
      </c>
      <c r="Q77">
        <v>0</v>
      </c>
      <c r="R77">
        <v>1</v>
      </c>
      <c r="S77">
        <v>0</v>
      </c>
      <c r="T77">
        <f t="shared" si="2"/>
        <v>1</v>
      </c>
    </row>
    <row r="78" spans="1:21" ht="15" customHeight="1" x14ac:dyDescent="0.3">
      <c r="A78" t="s">
        <v>404</v>
      </c>
      <c r="B78" t="s">
        <v>405</v>
      </c>
      <c r="C78" t="str">
        <f>VLOOKUP(B78,[1]country_codes!A:C,3,FALSE)</f>
        <v>NGA</v>
      </c>
      <c r="D78">
        <v>2012</v>
      </c>
      <c r="F78" s="2">
        <v>2303735103</v>
      </c>
      <c r="G78" t="s">
        <v>61</v>
      </c>
      <c r="H78">
        <v>1</v>
      </c>
      <c r="I78" t="s">
        <v>404</v>
      </c>
      <c r="J78">
        <v>1</v>
      </c>
      <c r="K78">
        <f>IFERROR(VLOOKUP($I78,[1]ifsfw!$A:$N,11,FALSE),"")</f>
        <v>0</v>
      </c>
      <c r="L78">
        <f>IFERROR(VLOOKUP($I78,[1]ifsfw!$A:$N,12,FALSE),"")</f>
        <v>0</v>
      </c>
      <c r="M78">
        <f>IFERROR(VLOOKUP($I78,[1]ifsfw!$A:$N,13,FALSE),"")</f>
        <v>0</v>
      </c>
      <c r="N78">
        <f>IFERROR(VLOOKUP($I78,[1]ifsfw!$A:$N,14,FALSE),"")</f>
        <v>1</v>
      </c>
      <c r="O78" s="1" t="s">
        <v>406</v>
      </c>
      <c r="P78" t="s">
        <v>407</v>
      </c>
      <c r="Q78">
        <v>1</v>
      </c>
      <c r="R78">
        <v>0</v>
      </c>
      <c r="S78">
        <v>0</v>
      </c>
      <c r="T78">
        <f t="shared" si="2"/>
        <v>0</v>
      </c>
    </row>
    <row r="79" spans="1:21" ht="15" customHeight="1" x14ac:dyDescent="0.3">
      <c r="A79" t="s">
        <v>408</v>
      </c>
      <c r="B79" t="s">
        <v>409</v>
      </c>
      <c r="C79" t="str">
        <f>VLOOKUP(B79,[1]country_codes!A:C,3,FALSE)</f>
        <v>NOR</v>
      </c>
      <c r="D79">
        <v>1996</v>
      </c>
      <c r="F79" s="11">
        <v>1371813762200</v>
      </c>
      <c r="G79" t="s">
        <v>83</v>
      </c>
      <c r="H79">
        <v>1</v>
      </c>
      <c r="I79" t="s">
        <v>410</v>
      </c>
      <c r="J79">
        <v>1</v>
      </c>
      <c r="K79">
        <f>IFERROR(VLOOKUP($I79,[1]ifsfw!$A:$N,11,FALSE),"")</f>
        <v>0</v>
      </c>
      <c r="L79">
        <f>IFERROR(VLOOKUP($I79,[1]ifsfw!$A:$N,12,FALSE),"")</f>
        <v>1</v>
      </c>
      <c r="M79">
        <f>IFERROR(VLOOKUP($I79,[1]ifsfw!$A:$N,13,FALSE),"")</f>
        <v>0</v>
      </c>
      <c r="N79">
        <f>IFERROR(VLOOKUP($I79,[1]ifsfw!$A:$N,14,FALSE),"")</f>
        <v>0</v>
      </c>
      <c r="O79" s="8" t="s">
        <v>411</v>
      </c>
      <c r="P79" t="s">
        <v>412</v>
      </c>
      <c r="Q79">
        <v>0</v>
      </c>
      <c r="R79">
        <v>1</v>
      </c>
      <c r="S79">
        <v>0</v>
      </c>
      <c r="T79">
        <f t="shared" si="2"/>
        <v>1</v>
      </c>
    </row>
    <row r="80" spans="1:21" ht="15" customHeight="1" x14ac:dyDescent="0.3">
      <c r="A80" t="s">
        <v>413</v>
      </c>
      <c r="B80" t="s">
        <v>414</v>
      </c>
      <c r="C80" t="str">
        <f>VLOOKUP(B80,[1]country_codes!A:C,3,FALSE)</f>
        <v>OMN</v>
      </c>
      <c r="D80">
        <v>1980</v>
      </c>
      <c r="F80" s="2">
        <v>17000000000</v>
      </c>
      <c r="G80" t="s">
        <v>98</v>
      </c>
      <c r="H80">
        <v>1</v>
      </c>
      <c r="I80" t="s">
        <v>413</v>
      </c>
      <c r="J80">
        <v>1</v>
      </c>
      <c r="K80">
        <f>IFERROR(VLOOKUP($I80,[1]ifsfw!$A:$N,11,FALSE),"")</f>
        <v>0</v>
      </c>
      <c r="L80">
        <f>IFERROR(VLOOKUP($I80,[1]ifsfw!$A:$N,12,FALSE),"")</f>
        <v>0</v>
      </c>
      <c r="M80">
        <f>IFERROR(VLOOKUP($I80,[1]ifsfw!$A:$N,13,FALSE),"")</f>
        <v>0</v>
      </c>
      <c r="N80">
        <f>IFERROR(VLOOKUP($I80,[1]ifsfw!$A:$N,14,FALSE),"")</f>
        <v>1</v>
      </c>
      <c r="O80" s="1" t="s">
        <v>415</v>
      </c>
      <c r="P80" t="s">
        <v>416</v>
      </c>
      <c r="Q80">
        <v>1</v>
      </c>
      <c r="R80">
        <v>0</v>
      </c>
      <c r="S80">
        <v>0</v>
      </c>
      <c r="T80">
        <f t="shared" si="2"/>
        <v>0</v>
      </c>
    </row>
    <row r="81" spans="1:21" ht="15" customHeight="1" x14ac:dyDescent="0.3">
      <c r="A81" t="s">
        <v>417</v>
      </c>
      <c r="B81" t="s">
        <v>414</v>
      </c>
      <c r="C81" t="str">
        <f>VLOOKUP(B81,[1]country_codes!A:C,3,FALSE)</f>
        <v>OMN</v>
      </c>
      <c r="D81">
        <v>2024</v>
      </c>
      <c r="G81" t="s">
        <v>98</v>
      </c>
      <c r="J81">
        <v>1</v>
      </c>
      <c r="K81" t="str">
        <f>IFERROR(VLOOKUP($I81,[1]ifsfw!$A:$N,11,FALSE),"")</f>
        <v/>
      </c>
      <c r="L81" t="str">
        <f>IFERROR(VLOOKUP($I81,[1]ifsfw!$A:$N,12,FALSE),"")</f>
        <v/>
      </c>
      <c r="M81" t="str">
        <f>IFERROR(VLOOKUP($I81,[1]ifsfw!$A:$N,13,FALSE),"")</f>
        <v/>
      </c>
      <c r="N81" t="str">
        <f>IFERROR(VLOOKUP($I81,[1]ifsfw!$A:$N,14,FALSE),"")</f>
        <v/>
      </c>
      <c r="O81" s="1" t="s">
        <v>418</v>
      </c>
      <c r="P81" t="s">
        <v>419</v>
      </c>
      <c r="Q81">
        <v>0</v>
      </c>
      <c r="R81">
        <v>0</v>
      </c>
      <c r="S81">
        <v>1</v>
      </c>
      <c r="T81">
        <f t="shared" si="2"/>
        <v>1</v>
      </c>
      <c r="U81" s="1" t="s">
        <v>420</v>
      </c>
    </row>
    <row r="82" spans="1:21" ht="15" customHeight="1" x14ac:dyDescent="0.3">
      <c r="A82" t="s">
        <v>421</v>
      </c>
      <c r="B82" t="s">
        <v>422</v>
      </c>
      <c r="C82" t="str">
        <f>VLOOKUP(B82,[1]country_codes!A:C,3,FALSE)</f>
        <v>PSE</v>
      </c>
      <c r="D82">
        <v>2003</v>
      </c>
      <c r="F82" s="2">
        <v>957083000</v>
      </c>
      <c r="G82" t="s">
        <v>98</v>
      </c>
      <c r="H82">
        <v>1</v>
      </c>
      <c r="I82" t="s">
        <v>421</v>
      </c>
      <c r="J82">
        <v>1</v>
      </c>
      <c r="K82">
        <f>IFERROR(VLOOKUP($I82,[1]ifsfw!$A:$N,11,FALSE),"")</f>
        <v>0</v>
      </c>
      <c r="L82">
        <f>IFERROR(VLOOKUP($I82,[1]ifsfw!$A:$N,12,FALSE),"")</f>
        <v>0</v>
      </c>
      <c r="M82">
        <f>IFERROR(VLOOKUP($I82,[1]ifsfw!$A:$N,13,FALSE),"")</f>
        <v>1</v>
      </c>
      <c r="N82">
        <f>IFERROR(VLOOKUP($I82,[1]ifsfw!$A:$N,14,FALSE),"")</f>
        <v>0</v>
      </c>
      <c r="O82" s="1" t="s">
        <v>423</v>
      </c>
      <c r="P82" t="s">
        <v>424</v>
      </c>
      <c r="Q82">
        <v>0</v>
      </c>
      <c r="R82">
        <v>0</v>
      </c>
      <c r="S82">
        <v>1</v>
      </c>
      <c r="T82">
        <f t="shared" si="2"/>
        <v>1</v>
      </c>
    </row>
    <row r="83" spans="1:21" ht="15" customHeight="1" x14ac:dyDescent="0.3">
      <c r="A83" t="s">
        <v>425</v>
      </c>
      <c r="B83" t="s">
        <v>426</v>
      </c>
      <c r="C83" t="str">
        <f>VLOOKUP(B83,[1]country_codes!A:C,3,FALSE)</f>
        <v>PAN</v>
      </c>
      <c r="D83">
        <v>2012</v>
      </c>
      <c r="F83" s="2">
        <v>1433889000</v>
      </c>
      <c r="G83" t="s">
        <v>119</v>
      </c>
      <c r="H83">
        <v>1</v>
      </c>
      <c r="I83" t="s">
        <v>427</v>
      </c>
      <c r="J83">
        <v>1</v>
      </c>
      <c r="K83">
        <f>IFERROR(VLOOKUP($I83,[1]ifsfw!$A:$N,11,FALSE),"")</f>
        <v>0</v>
      </c>
      <c r="L83">
        <f>IFERROR(VLOOKUP($I83,[1]ifsfw!$A:$N,12,FALSE),"")</f>
        <v>1</v>
      </c>
      <c r="M83">
        <f>IFERROR(VLOOKUP($I83,[1]ifsfw!$A:$N,13,FALSE),"")</f>
        <v>0</v>
      </c>
      <c r="N83">
        <f>IFERROR(VLOOKUP($I83,[1]ifsfw!$A:$N,14,FALSE),"")</f>
        <v>0</v>
      </c>
      <c r="O83" s="1" t="s">
        <v>428</v>
      </c>
      <c r="P83" t="s">
        <v>429</v>
      </c>
      <c r="Q83">
        <v>1</v>
      </c>
      <c r="R83">
        <v>0</v>
      </c>
      <c r="S83">
        <v>0</v>
      </c>
      <c r="T83">
        <f t="shared" si="2"/>
        <v>0</v>
      </c>
    </row>
    <row r="84" spans="1:21" ht="15" customHeight="1" x14ac:dyDescent="0.3">
      <c r="A84" t="s">
        <v>430</v>
      </c>
      <c r="B84" t="s">
        <v>431</v>
      </c>
      <c r="C84" t="str">
        <f>VLOOKUP(B84,[1]country_codes!A:C,3,FALSE)</f>
        <v>PER</v>
      </c>
      <c r="D84">
        <v>1999</v>
      </c>
      <c r="F84" s="2">
        <v>4311728.21</v>
      </c>
      <c r="G84" t="s">
        <v>119</v>
      </c>
      <c r="H84">
        <v>1</v>
      </c>
      <c r="I84" t="s">
        <v>432</v>
      </c>
      <c r="J84">
        <v>1</v>
      </c>
      <c r="K84">
        <f>IFERROR(VLOOKUP($I84,[1]ifsfw!$A:$N,11,FALSE),"")</f>
        <v>1</v>
      </c>
      <c r="L84">
        <f>IFERROR(VLOOKUP($I84,[1]ifsfw!$A:$N,12,FALSE),"")</f>
        <v>0</v>
      </c>
      <c r="M84">
        <f>IFERROR(VLOOKUP($I84,[1]ifsfw!$A:$N,13,FALSE),"")</f>
        <v>0</v>
      </c>
      <c r="N84">
        <f>IFERROR(VLOOKUP($I84,[1]ifsfw!$A:$N,14,FALSE),"")</f>
        <v>0</v>
      </c>
      <c r="O84" s="1" t="s">
        <v>433</v>
      </c>
      <c r="P84" t="s">
        <v>434</v>
      </c>
      <c r="Q84">
        <v>1</v>
      </c>
      <c r="R84">
        <v>0</v>
      </c>
      <c r="S84">
        <v>0</v>
      </c>
      <c r="T84">
        <f t="shared" si="2"/>
        <v>0</v>
      </c>
      <c r="U84" s="1" t="s">
        <v>435</v>
      </c>
    </row>
    <row r="85" spans="1:21" ht="15" customHeight="1" x14ac:dyDescent="0.3">
      <c r="A85" t="s">
        <v>436</v>
      </c>
      <c r="B85" t="s">
        <v>437</v>
      </c>
      <c r="C85" t="str">
        <f>VLOOKUP(B85,[1]country_codes!A:C,3,FALSE)</f>
        <v>POL</v>
      </c>
      <c r="D85">
        <v>2016</v>
      </c>
      <c r="G85" t="s">
        <v>83</v>
      </c>
      <c r="J85">
        <v>1</v>
      </c>
      <c r="K85" t="str">
        <f>IFERROR(VLOOKUP($I85,[1]ifsfw!$A:$N,11,FALSE),"")</f>
        <v/>
      </c>
      <c r="L85" t="str">
        <f>IFERROR(VLOOKUP($I85,[1]ifsfw!$A:$N,12,FALSE),"")</f>
        <v/>
      </c>
      <c r="M85" t="str">
        <f>IFERROR(VLOOKUP($I85,[1]ifsfw!$A:$N,13,FALSE),"")</f>
        <v/>
      </c>
      <c r="N85" t="str">
        <f>IFERROR(VLOOKUP($I85,[1]ifsfw!$A:$N,14,FALSE),"")</f>
        <v/>
      </c>
      <c r="O85" s="1" t="s">
        <v>438</v>
      </c>
      <c r="P85" t="s">
        <v>439</v>
      </c>
      <c r="Q85">
        <v>0</v>
      </c>
      <c r="R85">
        <v>0</v>
      </c>
      <c r="S85">
        <v>1</v>
      </c>
      <c r="T85">
        <f t="shared" si="2"/>
        <v>1</v>
      </c>
    </row>
    <row r="86" spans="1:21" ht="15" customHeight="1" x14ac:dyDescent="0.3">
      <c r="A86" t="s">
        <v>440</v>
      </c>
      <c r="B86" t="s">
        <v>441</v>
      </c>
      <c r="C86" t="str">
        <f>VLOOKUP(B86,[1]country_codes!A:C,3,FALSE)</f>
        <v>QAT</v>
      </c>
      <c r="D86">
        <v>2005</v>
      </c>
      <c r="F86" s="2">
        <v>475000000000</v>
      </c>
      <c r="G86" t="s">
        <v>98</v>
      </c>
      <c r="H86">
        <v>1</v>
      </c>
      <c r="I86" t="s">
        <v>440</v>
      </c>
      <c r="J86">
        <v>1</v>
      </c>
      <c r="K86">
        <f>IFERROR(VLOOKUP($I86,[1]ifsfw!$A:$N,11,FALSE),"")</f>
        <v>0</v>
      </c>
      <c r="L86">
        <f>IFERROR(VLOOKUP($I86,[1]ifsfw!$A:$N,12,FALSE),"")</f>
        <v>0</v>
      </c>
      <c r="M86">
        <f>IFERROR(VLOOKUP($I86,[1]ifsfw!$A:$N,13,FALSE),"")</f>
        <v>0</v>
      </c>
      <c r="N86">
        <f>IFERROR(VLOOKUP($I86,[1]ifsfw!$A:$N,14,FALSE),"")</f>
        <v>1</v>
      </c>
      <c r="O86" s="1" t="s">
        <v>442</v>
      </c>
      <c r="P86" t="s">
        <v>443</v>
      </c>
      <c r="Q86">
        <v>1</v>
      </c>
      <c r="R86">
        <v>0</v>
      </c>
      <c r="S86">
        <v>0</v>
      </c>
      <c r="T86">
        <f t="shared" si="2"/>
        <v>0</v>
      </c>
    </row>
    <row r="87" spans="1:21" ht="15" customHeight="1" x14ac:dyDescent="0.3">
      <c r="A87" t="s">
        <v>444</v>
      </c>
      <c r="B87" t="s">
        <v>445</v>
      </c>
      <c r="C87" t="str">
        <f>VLOOKUP(B87,[1]country_codes!A:C,3,FALSE)</f>
        <v>RUS</v>
      </c>
      <c r="D87">
        <v>2008</v>
      </c>
      <c r="F87" s="2">
        <v>148350000000</v>
      </c>
      <c r="G87" t="s">
        <v>83</v>
      </c>
      <c r="H87">
        <v>2</v>
      </c>
      <c r="I87" t="s">
        <v>446</v>
      </c>
      <c r="J87">
        <v>1</v>
      </c>
      <c r="K87">
        <f>IFERROR(VLOOKUP($I87,[1]ifsfw!$A:$N,11,FALSE),"")</f>
        <v>0</v>
      </c>
      <c r="L87">
        <f>IFERROR(VLOOKUP($I87,[1]ifsfw!$A:$N,12,FALSE),"")</f>
        <v>1</v>
      </c>
      <c r="M87">
        <f>IFERROR(VLOOKUP($I87,[1]ifsfw!$A:$N,13,FALSE),"")</f>
        <v>0</v>
      </c>
      <c r="N87">
        <f>IFERROR(VLOOKUP($I87,[1]ifsfw!$A:$N,14,FALSE),"")</f>
        <v>0</v>
      </c>
      <c r="O87" s="1" t="s">
        <v>447</v>
      </c>
      <c r="P87" t="s">
        <v>448</v>
      </c>
      <c r="Q87">
        <v>1</v>
      </c>
      <c r="R87">
        <v>0</v>
      </c>
      <c r="S87">
        <v>0</v>
      </c>
      <c r="T87">
        <f t="shared" si="2"/>
        <v>0</v>
      </c>
    </row>
    <row r="88" spans="1:21" ht="15" customHeight="1" x14ac:dyDescent="0.3">
      <c r="A88" t="s">
        <v>449</v>
      </c>
      <c r="B88" t="s">
        <v>445</v>
      </c>
      <c r="C88" t="str">
        <f>VLOOKUP(B88,[1]country_codes!A:C,3,FALSE)</f>
        <v>RUS</v>
      </c>
      <c r="D88">
        <v>2011</v>
      </c>
      <c r="F88" s="2">
        <v>25000000000</v>
      </c>
      <c r="G88" t="s">
        <v>83</v>
      </c>
      <c r="H88">
        <v>1</v>
      </c>
      <c r="I88" t="s">
        <v>449</v>
      </c>
      <c r="J88">
        <v>1</v>
      </c>
      <c r="K88">
        <f>IFERROR(VLOOKUP($I88,[1]ifsfw!$A:$N,11,FALSE),"")</f>
        <v>0</v>
      </c>
      <c r="L88">
        <f>IFERROR(VLOOKUP($I88,[1]ifsfw!$A:$N,12,FALSE),"")</f>
        <v>0</v>
      </c>
      <c r="M88">
        <f>IFERROR(VLOOKUP($I88,[1]ifsfw!$A:$N,13,FALSE),"")</f>
        <v>1</v>
      </c>
      <c r="N88">
        <f>IFERROR(VLOOKUP($I88,[1]ifsfw!$A:$N,14,FALSE),"")</f>
        <v>0</v>
      </c>
      <c r="O88" s="1" t="s">
        <v>450</v>
      </c>
      <c r="P88" t="s">
        <v>451</v>
      </c>
      <c r="Q88">
        <v>0</v>
      </c>
      <c r="R88">
        <v>0</v>
      </c>
      <c r="S88">
        <v>1</v>
      </c>
      <c r="T88">
        <f t="shared" si="2"/>
        <v>1</v>
      </c>
    </row>
    <row r="89" spans="1:21" ht="15" customHeight="1" x14ac:dyDescent="0.3">
      <c r="A89" t="s">
        <v>452</v>
      </c>
      <c r="B89" t="s">
        <v>453</v>
      </c>
      <c r="C89" t="str">
        <f>VLOOKUP(B89,[1]country_codes!A:C,3,FALSE)</f>
        <v>RWA</v>
      </c>
      <c r="D89">
        <v>2013</v>
      </c>
      <c r="F89" s="2">
        <v>239716818</v>
      </c>
      <c r="G89" t="s">
        <v>61</v>
      </c>
      <c r="H89">
        <v>1</v>
      </c>
      <c r="I89" t="s">
        <v>454</v>
      </c>
      <c r="J89">
        <v>1</v>
      </c>
      <c r="K89">
        <f>IFERROR(VLOOKUP($I89,[1]ifsfw!$A:$N,11,FALSE),"")</f>
        <v>0</v>
      </c>
      <c r="L89">
        <f>IFERROR(VLOOKUP($I89,[1]ifsfw!$A:$N,12,FALSE),"")</f>
        <v>0</v>
      </c>
      <c r="M89">
        <f>IFERROR(VLOOKUP($I89,[1]ifsfw!$A:$N,13,FALSE),"")</f>
        <v>1</v>
      </c>
      <c r="N89">
        <f>IFERROR(VLOOKUP($I89,[1]ifsfw!$A:$N,14,FALSE),"")</f>
        <v>0</v>
      </c>
      <c r="O89" s="1" t="s">
        <v>455</v>
      </c>
      <c r="P89" t="s">
        <v>456</v>
      </c>
      <c r="Q89">
        <v>1</v>
      </c>
      <c r="R89">
        <v>0</v>
      </c>
      <c r="S89">
        <v>0</v>
      </c>
      <c r="T89">
        <f t="shared" si="2"/>
        <v>0</v>
      </c>
    </row>
    <row r="90" spans="1:21" ht="15" customHeight="1" x14ac:dyDescent="0.3">
      <c r="A90" t="s">
        <v>457</v>
      </c>
      <c r="B90" t="s">
        <v>458</v>
      </c>
      <c r="C90" t="str">
        <f>VLOOKUP(B90,[1]country_codes!A:C,3,FALSE)</f>
        <v>SAU</v>
      </c>
      <c r="D90">
        <v>1971</v>
      </c>
      <c r="F90" s="2">
        <v>650000000000</v>
      </c>
      <c r="G90" t="s">
        <v>98</v>
      </c>
      <c r="H90">
        <v>1</v>
      </c>
      <c r="I90" t="s">
        <v>457</v>
      </c>
      <c r="J90">
        <v>1</v>
      </c>
      <c r="K90">
        <f>IFERROR(VLOOKUP($I90,[1]ifsfw!$A:$N,11,FALSE),"")</f>
        <v>0</v>
      </c>
      <c r="L90">
        <f>IFERROR(VLOOKUP($I90,[1]ifsfw!$A:$N,12,FALSE),"")</f>
        <v>0</v>
      </c>
      <c r="M90">
        <f>IFERROR(VLOOKUP($I90,[1]ifsfw!$A:$N,13,FALSE),"")</f>
        <v>0</v>
      </c>
      <c r="N90">
        <f>IFERROR(VLOOKUP($I90,[1]ifsfw!$A:$N,14,FALSE),"")</f>
        <v>1</v>
      </c>
      <c r="O90" s="1" t="s">
        <v>459</v>
      </c>
      <c r="P90" t="s">
        <v>460</v>
      </c>
      <c r="Q90">
        <v>0</v>
      </c>
      <c r="R90">
        <v>0</v>
      </c>
      <c r="S90">
        <v>1</v>
      </c>
      <c r="T90">
        <f t="shared" si="2"/>
        <v>1</v>
      </c>
    </row>
    <row r="91" spans="1:21" ht="15" customHeight="1" x14ac:dyDescent="0.3">
      <c r="A91" t="s">
        <v>461</v>
      </c>
      <c r="B91" t="s">
        <v>462</v>
      </c>
      <c r="C91" t="str">
        <f>VLOOKUP(B91,[1]country_codes!A:C,3,FALSE)</f>
        <v>SEN</v>
      </c>
      <c r="D91">
        <v>2014</v>
      </c>
      <c r="F91" s="2">
        <v>846000000</v>
      </c>
      <c r="G91" t="s">
        <v>61</v>
      </c>
      <c r="H91">
        <v>1</v>
      </c>
      <c r="I91" t="s">
        <v>463</v>
      </c>
      <c r="J91">
        <v>1</v>
      </c>
      <c r="K91">
        <f>IFERROR(VLOOKUP($I91,[1]ifsfw!$A:$N,11,FALSE),"")</f>
        <v>0</v>
      </c>
      <c r="L91">
        <f>IFERROR(VLOOKUP($I91,[1]ifsfw!$A:$N,12,FALSE),"")</f>
        <v>0</v>
      </c>
      <c r="M91">
        <f>IFERROR(VLOOKUP($I91,[1]ifsfw!$A:$N,13,FALSE),"")</f>
        <v>1</v>
      </c>
      <c r="N91">
        <f>IFERROR(VLOOKUP($I91,[1]ifsfw!$A:$N,14,FALSE),"")</f>
        <v>0</v>
      </c>
      <c r="O91" s="1" t="s">
        <v>464</v>
      </c>
      <c r="P91" t="s">
        <v>465</v>
      </c>
      <c r="Q91">
        <v>0</v>
      </c>
      <c r="R91">
        <v>0</v>
      </c>
      <c r="S91">
        <v>1</v>
      </c>
      <c r="T91">
        <f t="shared" si="2"/>
        <v>1</v>
      </c>
    </row>
    <row r="92" spans="1:21" ht="15" customHeight="1" x14ac:dyDescent="0.3">
      <c r="A92" t="s">
        <v>466</v>
      </c>
      <c r="B92" t="s">
        <v>467</v>
      </c>
      <c r="C92" t="str">
        <f>VLOOKUP(B92,[1]country_codes!A:C,3,FALSE)</f>
        <v>SGP</v>
      </c>
      <c r="D92">
        <v>1974</v>
      </c>
      <c r="F92" s="2">
        <v>496593722700</v>
      </c>
      <c r="G92" t="s">
        <v>71</v>
      </c>
      <c r="H92">
        <v>1</v>
      </c>
      <c r="I92" t="s">
        <v>466</v>
      </c>
      <c r="J92">
        <v>1</v>
      </c>
      <c r="K92">
        <f>IFERROR(VLOOKUP($I92,[1]ifsfw!$A:$N,11,FALSE),"")</f>
        <v>0</v>
      </c>
      <c r="L92">
        <f>IFERROR(VLOOKUP($I92,[1]ifsfw!$A:$N,12,FALSE),"")</f>
        <v>0</v>
      </c>
      <c r="M92">
        <f>IFERROR(VLOOKUP($I92,[1]ifsfw!$A:$N,13,FALSE),"")</f>
        <v>1</v>
      </c>
      <c r="N92">
        <f>IFERROR(VLOOKUP($I92,[1]ifsfw!$A:$N,14,FALSE),"")</f>
        <v>0</v>
      </c>
      <c r="O92" s="1" t="s">
        <v>468</v>
      </c>
      <c r="P92" t="s">
        <v>469</v>
      </c>
      <c r="Q92">
        <v>0</v>
      </c>
      <c r="R92">
        <v>0</v>
      </c>
      <c r="S92">
        <v>1</v>
      </c>
      <c r="T92">
        <f t="shared" si="2"/>
        <v>1</v>
      </c>
    </row>
    <row r="93" spans="1:21" ht="15" customHeight="1" x14ac:dyDescent="0.3">
      <c r="A93" t="s">
        <v>470</v>
      </c>
      <c r="B93" t="s">
        <v>467</v>
      </c>
      <c r="C93" t="str">
        <f>VLOOKUP(B93,[1]country_codes!A:C,3,FALSE)</f>
        <v>SGP</v>
      </c>
      <c r="D93">
        <v>1981</v>
      </c>
      <c r="F93" s="2">
        <v>690000000000</v>
      </c>
      <c r="G93" t="s">
        <v>71</v>
      </c>
      <c r="H93">
        <v>1</v>
      </c>
      <c r="I93" t="s">
        <v>471</v>
      </c>
      <c r="J93">
        <v>1</v>
      </c>
      <c r="K93">
        <f>IFERROR(VLOOKUP($I93,[1]ifsfw!$A:$N,11,FALSE),"")</f>
        <v>0</v>
      </c>
      <c r="L93">
        <f>IFERROR(VLOOKUP($I93,[1]ifsfw!$A:$N,12,FALSE),"")</f>
        <v>1</v>
      </c>
      <c r="M93">
        <f>IFERROR(VLOOKUP($I93,[1]ifsfw!$A:$N,13,FALSE),"")</f>
        <v>0</v>
      </c>
      <c r="N93">
        <f>IFERROR(VLOOKUP($I93,[1]ifsfw!$A:$N,14,FALSE),"")</f>
        <v>0</v>
      </c>
      <c r="O93" s="1" t="s">
        <v>472</v>
      </c>
      <c r="P93" t="s">
        <v>473</v>
      </c>
      <c r="Q93">
        <v>0</v>
      </c>
      <c r="R93">
        <v>1</v>
      </c>
      <c r="S93">
        <v>0</v>
      </c>
      <c r="T93">
        <f t="shared" si="2"/>
        <v>1</v>
      </c>
    </row>
    <row r="94" spans="1:21" ht="15" customHeight="1" x14ac:dyDescent="0.3">
      <c r="A94" t="s">
        <v>474</v>
      </c>
      <c r="B94" t="s">
        <v>475</v>
      </c>
      <c r="C94" t="str">
        <f>VLOOKUP(B94,[1]country_codes!A:C,3,FALSE)</f>
        <v>SVN</v>
      </c>
      <c r="D94">
        <v>1993</v>
      </c>
      <c r="F94" s="2">
        <v>1085947208</v>
      </c>
      <c r="G94" t="s">
        <v>83</v>
      </c>
      <c r="J94">
        <v>1</v>
      </c>
      <c r="K94" t="str">
        <f>IFERROR(VLOOKUP($I94,[1]ifsfw!$A:$N,11,FALSE),"")</f>
        <v/>
      </c>
      <c r="L94" t="str">
        <f>IFERROR(VLOOKUP($I94,[1]ifsfw!$A:$N,12,FALSE),"")</f>
        <v/>
      </c>
      <c r="M94" t="str">
        <f>IFERROR(VLOOKUP($I94,[1]ifsfw!$A:$N,13,FALSE),"")</f>
        <v/>
      </c>
      <c r="N94" t="str">
        <f>IFERROR(VLOOKUP($I94,[1]ifsfw!$A:$N,14,FALSE),"")</f>
        <v/>
      </c>
      <c r="O94" s="1" t="s">
        <v>476</v>
      </c>
      <c r="P94" t="s">
        <v>477</v>
      </c>
      <c r="Q94">
        <v>0</v>
      </c>
      <c r="R94">
        <v>0</v>
      </c>
      <c r="S94">
        <v>1</v>
      </c>
      <c r="T94">
        <f t="shared" si="2"/>
        <v>1</v>
      </c>
    </row>
    <row r="95" spans="1:21" ht="15" customHeight="1" x14ac:dyDescent="0.3">
      <c r="A95" t="s">
        <v>478</v>
      </c>
      <c r="B95" t="s">
        <v>479</v>
      </c>
      <c r="C95" t="str">
        <f>VLOOKUP(B95,[1]country_codes!A:C,3,FALSE)</f>
        <v>KOR</v>
      </c>
      <c r="D95">
        <v>2005</v>
      </c>
      <c r="F95" s="2">
        <v>169300000000</v>
      </c>
      <c r="G95" t="s">
        <v>71</v>
      </c>
      <c r="H95">
        <v>1</v>
      </c>
      <c r="I95" t="s">
        <v>478</v>
      </c>
      <c r="J95">
        <v>1</v>
      </c>
      <c r="K95">
        <f>IFERROR(VLOOKUP($I95,[1]ifsfw!$A:$N,11,FALSE),"")</f>
        <v>0</v>
      </c>
      <c r="L95">
        <f>IFERROR(VLOOKUP($I95,[1]ifsfw!$A:$N,12,FALSE),"")</f>
        <v>1</v>
      </c>
      <c r="M95">
        <f>IFERROR(VLOOKUP($I95,[1]ifsfw!$A:$N,13,FALSE),"")</f>
        <v>0</v>
      </c>
      <c r="N95">
        <f>IFERROR(VLOOKUP($I95,[1]ifsfw!$A:$N,14,FALSE),"")</f>
        <v>0</v>
      </c>
      <c r="O95" s="1" t="s">
        <v>480</v>
      </c>
      <c r="P95" t="s">
        <v>481</v>
      </c>
      <c r="Q95">
        <v>0</v>
      </c>
      <c r="R95">
        <v>1</v>
      </c>
      <c r="S95">
        <v>0</v>
      </c>
      <c r="T95">
        <f t="shared" si="2"/>
        <v>1</v>
      </c>
    </row>
    <row r="96" spans="1:21" ht="15" customHeight="1" x14ac:dyDescent="0.3">
      <c r="A96" t="s">
        <v>482</v>
      </c>
      <c r="B96" t="s">
        <v>483</v>
      </c>
      <c r="C96" t="str">
        <f>VLOOKUP(B96,[1]country_codes!A:C,3,FALSE)</f>
        <v>ESP</v>
      </c>
      <c r="D96">
        <v>1995</v>
      </c>
      <c r="F96" s="2">
        <v>14863067346</v>
      </c>
      <c r="G96" t="s">
        <v>83</v>
      </c>
      <c r="H96">
        <v>2</v>
      </c>
      <c r="I96" t="s">
        <v>484</v>
      </c>
      <c r="J96">
        <v>1</v>
      </c>
      <c r="K96">
        <f>IFERROR(VLOOKUP($I96,[1]ifsfw!$A:$N,11,FALSE),"")</f>
        <v>0</v>
      </c>
      <c r="L96">
        <f>IFERROR(VLOOKUP($I96,[1]ifsfw!$A:$N,12,FALSE),"")</f>
        <v>0</v>
      </c>
      <c r="M96">
        <f>IFERROR(VLOOKUP($I96,[1]ifsfw!$A:$N,13,FALSE),"")</f>
        <v>1</v>
      </c>
      <c r="N96">
        <f>IFERROR(VLOOKUP($I96,[1]ifsfw!$A:$N,14,FALSE),"")</f>
        <v>0</v>
      </c>
      <c r="O96" s="1" t="s">
        <v>485</v>
      </c>
      <c r="P96" t="s">
        <v>486</v>
      </c>
      <c r="Q96">
        <v>0</v>
      </c>
      <c r="R96">
        <v>0</v>
      </c>
      <c r="S96">
        <v>1</v>
      </c>
      <c r="T96">
        <f t="shared" si="2"/>
        <v>1</v>
      </c>
    </row>
    <row r="97" spans="1:22" ht="15" customHeight="1" x14ac:dyDescent="0.3">
      <c r="A97" t="s">
        <v>487</v>
      </c>
      <c r="B97" t="s">
        <v>488</v>
      </c>
      <c r="C97" t="str">
        <f>VLOOKUP(B97,[1]country_codes!A:C,3,FALSE)</f>
        <v>SUR</v>
      </c>
      <c r="D97">
        <v>2019</v>
      </c>
      <c r="G97" t="s">
        <v>119</v>
      </c>
      <c r="H97">
        <v>1</v>
      </c>
      <c r="I97" t="s">
        <v>489</v>
      </c>
      <c r="J97">
        <v>1</v>
      </c>
      <c r="K97">
        <f>IFERROR(VLOOKUP($I97,[1]ifsfw!$A:$N,11,FALSE),"")</f>
        <v>0</v>
      </c>
      <c r="L97">
        <f>IFERROR(VLOOKUP($I97,[1]ifsfw!$A:$N,12,FALSE),"")</f>
        <v>0</v>
      </c>
      <c r="M97">
        <f>IFERROR(VLOOKUP($I97,[1]ifsfw!$A:$N,13,FALSE),"")</f>
        <v>0</v>
      </c>
      <c r="N97">
        <f>IFERROR(VLOOKUP($I97,[1]ifsfw!$A:$N,14,FALSE),"")</f>
        <v>1</v>
      </c>
      <c r="O97" s="1" t="s">
        <v>490</v>
      </c>
      <c r="P97" t="s">
        <v>491</v>
      </c>
      <c r="Q97">
        <v>1</v>
      </c>
      <c r="R97">
        <v>0</v>
      </c>
      <c r="S97">
        <v>0</v>
      </c>
      <c r="T97">
        <f t="shared" si="2"/>
        <v>0</v>
      </c>
    </row>
    <row r="98" spans="1:22" ht="15" customHeight="1" x14ac:dyDescent="0.3">
      <c r="A98" t="s">
        <v>492</v>
      </c>
      <c r="B98" t="s">
        <v>493</v>
      </c>
      <c r="C98" t="str">
        <f>VLOOKUP(B98,[1]country_codes!A:C,3,FALSE)</f>
        <v>TWN</v>
      </c>
      <c r="D98">
        <v>1973</v>
      </c>
      <c r="G98" t="s">
        <v>71</v>
      </c>
      <c r="J98">
        <v>1</v>
      </c>
      <c r="K98" t="str">
        <f>IFERROR(VLOOKUP($I98,[1]ifsfw!$A:$N,11,FALSE),"")</f>
        <v/>
      </c>
      <c r="L98" t="str">
        <f>IFERROR(VLOOKUP($I98,[1]ifsfw!$A:$N,12,FALSE),"")</f>
        <v/>
      </c>
      <c r="M98" t="str">
        <f>IFERROR(VLOOKUP($I98,[1]ifsfw!$A:$N,13,FALSE),"")</f>
        <v/>
      </c>
      <c r="N98" t="str">
        <f>IFERROR(VLOOKUP($I98,[1]ifsfw!$A:$N,14,FALSE),"")</f>
        <v/>
      </c>
      <c r="O98" s="1" t="s">
        <v>494</v>
      </c>
      <c r="P98" t="s">
        <v>495</v>
      </c>
      <c r="Q98">
        <v>0</v>
      </c>
      <c r="R98">
        <v>0</v>
      </c>
      <c r="S98">
        <v>1</v>
      </c>
      <c r="T98">
        <f t="shared" ref="T98:T116" si="3">SUM(R98:S98)</f>
        <v>1</v>
      </c>
    </row>
    <row r="99" spans="1:22" ht="15" customHeight="1" x14ac:dyDescent="0.3">
      <c r="A99" t="s">
        <v>496</v>
      </c>
      <c r="B99" t="s">
        <v>493</v>
      </c>
      <c r="C99" t="str">
        <f>VLOOKUP(B99,[1]country_codes!A:C,3,FALSE)</f>
        <v>TWN</v>
      </c>
      <c r="D99">
        <v>2000</v>
      </c>
      <c r="F99" s="2">
        <v>359452</v>
      </c>
      <c r="G99" t="s">
        <v>71</v>
      </c>
      <c r="J99">
        <v>1</v>
      </c>
      <c r="K99" t="str">
        <f>IFERROR(VLOOKUP($I99,[1]ifsfw!$A:$N,11,FALSE),"")</f>
        <v/>
      </c>
      <c r="L99" t="str">
        <f>IFERROR(VLOOKUP($I99,[1]ifsfw!$A:$N,12,FALSE),"")</f>
        <v/>
      </c>
      <c r="M99" t="str">
        <f>IFERROR(VLOOKUP($I99,[1]ifsfw!$A:$N,13,FALSE),"")</f>
        <v/>
      </c>
      <c r="N99" t="str">
        <f>IFERROR(VLOOKUP($I99,[1]ifsfw!$A:$N,14,FALSE),"")</f>
        <v/>
      </c>
      <c r="O99" s="1" t="s">
        <v>497</v>
      </c>
      <c r="P99" t="s">
        <v>498</v>
      </c>
      <c r="Q99">
        <v>1</v>
      </c>
      <c r="R99">
        <v>0</v>
      </c>
      <c r="S99">
        <v>0</v>
      </c>
      <c r="T99">
        <f t="shared" si="3"/>
        <v>0</v>
      </c>
    </row>
    <row r="100" spans="1:22" ht="15" customHeight="1" x14ac:dyDescent="0.3">
      <c r="A100" t="s">
        <v>499</v>
      </c>
      <c r="B100" t="s">
        <v>500</v>
      </c>
      <c r="C100" t="str">
        <f>VLOOKUP(B100,[1]country_codes!A:C,3,FALSE)</f>
        <v>TLS</v>
      </c>
      <c r="D100">
        <v>2006</v>
      </c>
      <c r="F100" s="2">
        <v>16921859000</v>
      </c>
      <c r="G100" t="s">
        <v>77</v>
      </c>
      <c r="H100">
        <v>1</v>
      </c>
      <c r="I100" t="s">
        <v>501</v>
      </c>
      <c r="J100">
        <v>1</v>
      </c>
      <c r="K100">
        <f>IFERROR(VLOOKUP($I100,[1]ifsfw!$A:$N,11,FALSE),"")</f>
        <v>0</v>
      </c>
      <c r="L100">
        <f>IFERROR(VLOOKUP($I100,[1]ifsfw!$A:$N,12,FALSE),"")</f>
        <v>1</v>
      </c>
      <c r="M100">
        <f>IFERROR(VLOOKUP($I100,[1]ifsfw!$A:$N,13,FALSE),"")</f>
        <v>0</v>
      </c>
      <c r="N100">
        <f>IFERROR(VLOOKUP($I100,[1]ifsfw!$A:$N,14,FALSE),"")</f>
        <v>0</v>
      </c>
      <c r="O100" s="1" t="s">
        <v>502</v>
      </c>
      <c r="P100" t="s">
        <v>503</v>
      </c>
      <c r="Q100">
        <v>1</v>
      </c>
      <c r="R100">
        <v>0</v>
      </c>
      <c r="S100">
        <v>0</v>
      </c>
      <c r="T100">
        <f t="shared" si="3"/>
        <v>0</v>
      </c>
    </row>
    <row r="101" spans="1:22" ht="15" customHeight="1" x14ac:dyDescent="0.3">
      <c r="A101" t="s">
        <v>504</v>
      </c>
      <c r="B101" t="s">
        <v>505</v>
      </c>
      <c r="C101" t="str">
        <f>VLOOKUP(B101,[1]country_codes!A:C,3,FALSE)</f>
        <v>TTO</v>
      </c>
      <c r="D101">
        <v>2007</v>
      </c>
      <c r="F101" s="2">
        <v>5623159544</v>
      </c>
      <c r="G101" t="s">
        <v>506</v>
      </c>
      <c r="H101">
        <v>1</v>
      </c>
      <c r="I101" t="s">
        <v>504</v>
      </c>
      <c r="J101">
        <v>1</v>
      </c>
      <c r="K101">
        <f>IFERROR(VLOOKUP($I101,[1]ifsfw!$A:$N,11,FALSE),"")</f>
        <v>0</v>
      </c>
      <c r="L101">
        <f>IFERROR(VLOOKUP($I101,[1]ifsfw!$A:$N,12,FALSE),"")</f>
        <v>0</v>
      </c>
      <c r="M101">
        <f>IFERROR(VLOOKUP($I101,[1]ifsfw!$A:$N,13,FALSE),"")</f>
        <v>0</v>
      </c>
      <c r="N101">
        <f>IFERROR(VLOOKUP($I101,[1]ifsfw!$A:$N,14,FALSE),"")</f>
        <v>1</v>
      </c>
      <c r="O101" s="1" t="s">
        <v>507</v>
      </c>
      <c r="P101" t="s">
        <v>508</v>
      </c>
      <c r="Q101">
        <v>1</v>
      </c>
      <c r="R101">
        <v>0</v>
      </c>
      <c r="S101">
        <v>0</v>
      </c>
      <c r="T101">
        <f t="shared" si="3"/>
        <v>0</v>
      </c>
    </row>
    <row r="102" spans="1:22" ht="15" customHeight="1" x14ac:dyDescent="0.3">
      <c r="A102" t="s">
        <v>509</v>
      </c>
      <c r="B102" t="s">
        <v>510</v>
      </c>
      <c r="C102" t="str">
        <f>VLOOKUP(B102,[1]country_codes!A:C,3,FALSE)</f>
        <v>TUR</v>
      </c>
      <c r="D102">
        <v>2016</v>
      </c>
      <c r="F102" s="2">
        <v>279261454214</v>
      </c>
      <c r="G102" t="s">
        <v>98</v>
      </c>
      <c r="H102">
        <v>1</v>
      </c>
      <c r="I102" t="s">
        <v>509</v>
      </c>
      <c r="J102">
        <v>1</v>
      </c>
      <c r="K102">
        <f>IFERROR(VLOOKUP($I102,[1]ifsfw!$A:$N,11,FALSE),"")</f>
        <v>0</v>
      </c>
      <c r="L102">
        <f>IFERROR(VLOOKUP($I102,[1]ifsfw!$A:$N,12,FALSE),"")</f>
        <v>0</v>
      </c>
      <c r="M102">
        <f>IFERROR(VLOOKUP($I102,[1]ifsfw!$A:$N,13,FALSE),"")</f>
        <v>1</v>
      </c>
      <c r="N102">
        <f>IFERROR(VLOOKUP($I102,[1]ifsfw!$A:$N,14,FALSE),"")</f>
        <v>0</v>
      </c>
      <c r="O102" s="1" t="s">
        <v>511</v>
      </c>
      <c r="P102" t="s">
        <v>512</v>
      </c>
      <c r="Q102">
        <v>0</v>
      </c>
      <c r="R102">
        <v>0</v>
      </c>
      <c r="S102">
        <v>1</v>
      </c>
      <c r="T102">
        <f t="shared" si="3"/>
        <v>1</v>
      </c>
    </row>
    <row r="103" spans="1:22" ht="15" customHeight="1" x14ac:dyDescent="0.3">
      <c r="A103" t="s">
        <v>513</v>
      </c>
      <c r="B103" t="s">
        <v>514</v>
      </c>
      <c r="C103" t="str">
        <f>VLOOKUP(B103,[1]country_codes!A:C,3,FALSE)</f>
        <v>TKM</v>
      </c>
      <c r="D103">
        <v>2008</v>
      </c>
      <c r="G103" t="s">
        <v>71</v>
      </c>
      <c r="J103">
        <v>1</v>
      </c>
      <c r="K103" t="str">
        <f>IFERROR(VLOOKUP($I103,[1]ifsfw!$A:$N,11,FALSE),"")</f>
        <v/>
      </c>
      <c r="L103" t="str">
        <f>IFERROR(VLOOKUP($I103,[1]ifsfw!$A:$N,12,FALSE),"")</f>
        <v/>
      </c>
      <c r="M103" t="str">
        <f>IFERROR(VLOOKUP($I103,[1]ifsfw!$A:$N,13,FALSE),"")</f>
        <v/>
      </c>
      <c r="N103" t="str">
        <f>IFERROR(VLOOKUP($I103,[1]ifsfw!$A:$N,14,FALSE),"")</f>
        <v/>
      </c>
      <c r="O103" s="1" t="s">
        <v>515</v>
      </c>
      <c r="P103" t="s">
        <v>516</v>
      </c>
      <c r="Q103">
        <v>1</v>
      </c>
      <c r="R103">
        <v>0</v>
      </c>
      <c r="S103">
        <v>0</v>
      </c>
      <c r="T103">
        <f t="shared" si="3"/>
        <v>0</v>
      </c>
      <c r="U103" s="1" t="s">
        <v>517</v>
      </c>
      <c r="V103" s="1" t="s">
        <v>518</v>
      </c>
    </row>
    <row r="104" spans="1:22" ht="15" customHeight="1" x14ac:dyDescent="0.3">
      <c r="A104" t="s">
        <v>519</v>
      </c>
      <c r="B104" t="s">
        <v>520</v>
      </c>
      <c r="C104" t="str">
        <f>VLOOKUP(B104,[1]country_codes!A:C,3,FALSE)</f>
        <v>TUV</v>
      </c>
      <c r="D104">
        <v>1987</v>
      </c>
      <c r="F104" s="2">
        <v>130043000</v>
      </c>
      <c r="G104" t="s">
        <v>77</v>
      </c>
      <c r="J104">
        <v>1</v>
      </c>
      <c r="K104" t="str">
        <f>IFERROR(VLOOKUP($I104,[1]ifsfw!$A:$N,11,FALSE),"")</f>
        <v/>
      </c>
      <c r="L104" t="str">
        <f>IFERROR(VLOOKUP($I104,[1]ifsfw!$A:$N,12,FALSE),"")</f>
        <v/>
      </c>
      <c r="M104" t="str">
        <f>IFERROR(VLOOKUP($I104,[1]ifsfw!$A:$N,13,FALSE),"")</f>
        <v/>
      </c>
      <c r="N104" t="str">
        <f>IFERROR(VLOOKUP($I104,[1]ifsfw!$A:$N,14,FALSE),"")</f>
        <v/>
      </c>
      <c r="O104" s="1" t="s">
        <v>521</v>
      </c>
      <c r="P104" t="s">
        <v>522</v>
      </c>
      <c r="Q104">
        <v>0</v>
      </c>
      <c r="R104">
        <v>0</v>
      </c>
      <c r="S104">
        <v>1</v>
      </c>
      <c r="T104">
        <f t="shared" si="3"/>
        <v>1</v>
      </c>
    </row>
    <row r="105" spans="1:22" ht="15" customHeight="1" x14ac:dyDescent="0.3">
      <c r="A105" t="s">
        <v>523</v>
      </c>
      <c r="B105" t="s">
        <v>524</v>
      </c>
      <c r="C105" t="str">
        <f>VLOOKUP(B105,[1]country_codes!A:C,3,FALSE)</f>
        <v>ARE</v>
      </c>
      <c r="D105">
        <v>1976</v>
      </c>
      <c r="F105" s="2">
        <v>853000000000</v>
      </c>
      <c r="G105" t="s">
        <v>98</v>
      </c>
      <c r="J105">
        <v>1</v>
      </c>
      <c r="O105" t="s">
        <v>525</v>
      </c>
      <c r="P105" t="s">
        <v>526</v>
      </c>
      <c r="Q105">
        <v>0</v>
      </c>
      <c r="R105">
        <v>0</v>
      </c>
      <c r="S105">
        <v>1</v>
      </c>
      <c r="T105">
        <f t="shared" si="3"/>
        <v>1</v>
      </c>
    </row>
    <row r="106" spans="1:22" ht="15" customHeight="1" x14ac:dyDescent="0.3">
      <c r="A106" t="s">
        <v>527</v>
      </c>
      <c r="B106" t="s">
        <v>524</v>
      </c>
      <c r="C106" t="str">
        <f>VLOOKUP(B106,[1]country_codes!A:C,3,FALSE)</f>
        <v>ARE</v>
      </c>
      <c r="D106">
        <v>2002</v>
      </c>
      <c r="F106" s="2">
        <v>287473527432</v>
      </c>
      <c r="G106" t="s">
        <v>98</v>
      </c>
      <c r="J106">
        <v>1</v>
      </c>
      <c r="O106" s="1" t="s">
        <v>528</v>
      </c>
      <c r="P106" t="s">
        <v>529</v>
      </c>
      <c r="Q106">
        <v>0</v>
      </c>
      <c r="R106">
        <v>0</v>
      </c>
      <c r="S106">
        <v>1</v>
      </c>
      <c r="T106">
        <f t="shared" si="3"/>
        <v>1</v>
      </c>
    </row>
    <row r="107" spans="1:22" ht="15" customHeight="1" x14ac:dyDescent="0.3">
      <c r="A107" t="s">
        <v>530</v>
      </c>
      <c r="B107" t="s">
        <v>524</v>
      </c>
      <c r="C107" t="str">
        <f>VLOOKUP(B107,[1]country_codes!A:C,3,FALSE)</f>
        <v>ARE</v>
      </c>
      <c r="D107">
        <v>2005</v>
      </c>
      <c r="F107" s="2">
        <v>500000000</v>
      </c>
      <c r="G107" t="s">
        <v>98</v>
      </c>
      <c r="J107">
        <v>1</v>
      </c>
      <c r="O107" s="1" t="s">
        <v>531</v>
      </c>
      <c r="P107" t="s">
        <v>532</v>
      </c>
      <c r="Q107">
        <v>0</v>
      </c>
      <c r="R107">
        <v>0</v>
      </c>
      <c r="S107">
        <v>1</v>
      </c>
      <c r="T107">
        <f t="shared" si="3"/>
        <v>1</v>
      </c>
    </row>
    <row r="108" spans="1:22" ht="15" customHeight="1" x14ac:dyDescent="0.3">
      <c r="A108" t="s">
        <v>533</v>
      </c>
      <c r="B108" t="s">
        <v>524</v>
      </c>
      <c r="C108" t="str">
        <f>VLOOKUP(B108,[1]country_codes!A:C,3,FALSE)</f>
        <v>ARE</v>
      </c>
      <c r="D108">
        <v>2006</v>
      </c>
      <c r="F108" s="2">
        <v>320379592491</v>
      </c>
      <c r="G108" t="s">
        <v>98</v>
      </c>
      <c r="J108">
        <v>1</v>
      </c>
      <c r="O108" s="1" t="s">
        <v>534</v>
      </c>
      <c r="P108" t="s">
        <v>535</v>
      </c>
      <c r="Q108">
        <v>0</v>
      </c>
      <c r="R108">
        <v>0</v>
      </c>
      <c r="S108">
        <v>1</v>
      </c>
      <c r="T108">
        <f t="shared" si="3"/>
        <v>1</v>
      </c>
    </row>
    <row r="109" spans="1:22" ht="15" customHeight="1" x14ac:dyDescent="0.3">
      <c r="A109" t="s">
        <v>536</v>
      </c>
      <c r="B109" t="s">
        <v>524</v>
      </c>
      <c r="C109" t="str">
        <f>VLOOKUP(B109,[1]country_codes!A:C,3,FALSE)</f>
        <v>ARE</v>
      </c>
      <c r="D109">
        <v>2008</v>
      </c>
      <c r="F109" s="2">
        <v>87000000000</v>
      </c>
      <c r="G109" t="s">
        <v>98</v>
      </c>
      <c r="H109">
        <v>1</v>
      </c>
      <c r="I109" t="s">
        <v>536</v>
      </c>
      <c r="J109">
        <v>1</v>
      </c>
      <c r="K109">
        <f>IFERROR(VLOOKUP($I109,[1]ifsfw!$A:$N,11,FALSE),"")</f>
        <v>0</v>
      </c>
      <c r="L109">
        <f>IFERROR(VLOOKUP($I109,[1]ifsfw!$A:$N,12,FALSE),"")</f>
        <v>0</v>
      </c>
      <c r="M109">
        <f>IFERROR(VLOOKUP($I109,[1]ifsfw!$A:$N,13,FALSE),"")</f>
        <v>1</v>
      </c>
      <c r="N109">
        <f>IFERROR(VLOOKUP($I109,[1]ifsfw!$A:$N,14,FALSE),"")</f>
        <v>0</v>
      </c>
      <c r="O109" s="1" t="s">
        <v>537</v>
      </c>
      <c r="P109" t="s">
        <v>538</v>
      </c>
      <c r="Q109">
        <v>0</v>
      </c>
      <c r="R109">
        <v>0</v>
      </c>
      <c r="S109">
        <v>1</v>
      </c>
      <c r="T109">
        <f t="shared" si="3"/>
        <v>1</v>
      </c>
    </row>
    <row r="110" spans="1:22" ht="15" customHeight="1" x14ac:dyDescent="0.3">
      <c r="A110" t="s">
        <v>539</v>
      </c>
      <c r="B110" t="s">
        <v>524</v>
      </c>
      <c r="C110" t="str">
        <f>VLOOKUP(B110,[1]country_codes!A:C,3,FALSE)</f>
        <v>ARE</v>
      </c>
      <c r="D110">
        <v>2008</v>
      </c>
      <c r="F110" s="2">
        <v>1900000000</v>
      </c>
      <c r="G110" t="s">
        <v>98</v>
      </c>
      <c r="J110">
        <v>1</v>
      </c>
      <c r="O110" s="1" t="s">
        <v>540</v>
      </c>
      <c r="P110" t="s">
        <v>541</v>
      </c>
      <c r="Q110">
        <v>0</v>
      </c>
      <c r="R110">
        <v>0</v>
      </c>
      <c r="S110">
        <v>1</v>
      </c>
      <c r="T110">
        <f t="shared" si="3"/>
        <v>1</v>
      </c>
    </row>
    <row r="111" spans="1:22" x14ac:dyDescent="0.3">
      <c r="A111" t="s">
        <v>542</v>
      </c>
      <c r="B111" t="s">
        <v>524</v>
      </c>
      <c r="C111" t="str">
        <f>VLOOKUP(B111,[1]country_codes!A:C,3,FALSE)</f>
        <v>ARE</v>
      </c>
      <c r="D111">
        <v>2018</v>
      </c>
      <c r="F111" s="2">
        <v>159000000000</v>
      </c>
      <c r="G111" t="s">
        <v>98</v>
      </c>
      <c r="J111">
        <v>1</v>
      </c>
      <c r="O111" t="s">
        <v>543</v>
      </c>
      <c r="P111" t="s">
        <v>544</v>
      </c>
      <c r="Q111">
        <v>0</v>
      </c>
      <c r="R111">
        <v>0</v>
      </c>
      <c r="S111">
        <v>1</v>
      </c>
      <c r="T111">
        <f t="shared" si="3"/>
        <v>1</v>
      </c>
    </row>
    <row r="112" spans="1:22" x14ac:dyDescent="0.3">
      <c r="A112" t="s">
        <v>545</v>
      </c>
      <c r="B112" t="s">
        <v>546</v>
      </c>
      <c r="C112" t="str">
        <f>VLOOKUP(B112,[1]country_codes!A:C,3,FALSE)</f>
        <v>UGA</v>
      </c>
      <c r="D112">
        <v>2015</v>
      </c>
      <c r="F112" s="2">
        <v>120541000</v>
      </c>
      <c r="G112" t="s">
        <v>61</v>
      </c>
      <c r="H112">
        <v>1</v>
      </c>
      <c r="I112" t="s">
        <v>547</v>
      </c>
      <c r="J112">
        <v>1</v>
      </c>
      <c r="K112">
        <f>IFERROR(VLOOKUP($I112,[1]ifsfw!$A:$N,11,FALSE),"")</f>
        <v>1</v>
      </c>
      <c r="L112">
        <f>IFERROR(VLOOKUP($I112,[1]ifsfw!$A:$N,12,FALSE),"")</f>
        <v>0</v>
      </c>
      <c r="M112">
        <f>IFERROR(VLOOKUP($I112,[1]ifsfw!$A:$N,13,FALSE),"")</f>
        <v>0</v>
      </c>
      <c r="N112">
        <f>IFERROR(VLOOKUP($I112,[1]ifsfw!$A:$N,14,FALSE),"")</f>
        <v>0</v>
      </c>
      <c r="O112" s="1" t="s">
        <v>548</v>
      </c>
      <c r="P112" t="s">
        <v>549</v>
      </c>
      <c r="Q112">
        <v>1</v>
      </c>
      <c r="R112">
        <v>0</v>
      </c>
      <c r="S112">
        <v>0</v>
      </c>
      <c r="T112">
        <f t="shared" si="3"/>
        <v>0</v>
      </c>
      <c r="U112" s="1" t="s">
        <v>550</v>
      </c>
    </row>
    <row r="113" spans="1:20" x14ac:dyDescent="0.3">
      <c r="A113" t="s">
        <v>551</v>
      </c>
      <c r="B113" t="s">
        <v>552</v>
      </c>
      <c r="C113" t="str">
        <f>VLOOKUP(B113,[1]country_codes!A:C,3,FALSE)</f>
        <v>UZB</v>
      </c>
      <c r="D113">
        <v>2006</v>
      </c>
      <c r="F113" s="2">
        <v>22800400000</v>
      </c>
      <c r="G113" t="s">
        <v>71</v>
      </c>
      <c r="J113">
        <v>1</v>
      </c>
      <c r="K113" t="str">
        <f>IFERROR(VLOOKUP($I113,[1]ifsfw!$A:$N,11,FALSE),"")</f>
        <v/>
      </c>
      <c r="L113" t="str">
        <f>IFERROR(VLOOKUP($I113,[1]ifsfw!$A:$N,12,FALSE),"")</f>
        <v/>
      </c>
      <c r="M113" t="str">
        <f>IFERROR(VLOOKUP($I113,[1]ifsfw!$A:$N,13,FALSE),"")</f>
        <v/>
      </c>
      <c r="N113" t="str">
        <f>IFERROR(VLOOKUP($I113,[1]ifsfw!$A:$N,14,FALSE),"")</f>
        <v/>
      </c>
      <c r="O113" s="1" t="s">
        <v>553</v>
      </c>
      <c r="P113" t="s">
        <v>554</v>
      </c>
      <c r="Q113">
        <v>0</v>
      </c>
      <c r="R113">
        <v>0</v>
      </c>
      <c r="S113">
        <v>1</v>
      </c>
      <c r="T113">
        <f t="shared" si="3"/>
        <v>1</v>
      </c>
    </row>
    <row r="114" spans="1:20" x14ac:dyDescent="0.3">
      <c r="A114" t="s">
        <v>555</v>
      </c>
      <c r="B114" t="s">
        <v>556</v>
      </c>
      <c r="C114" t="str">
        <f>VLOOKUP(B114,[1]country_codes!A:C,3,FALSE)</f>
        <v>VEN</v>
      </c>
      <c r="D114">
        <v>1998</v>
      </c>
      <c r="E114">
        <v>2011</v>
      </c>
      <c r="G114" t="s">
        <v>119</v>
      </c>
      <c r="J114">
        <v>1</v>
      </c>
      <c r="K114" t="str">
        <f>IFERROR(VLOOKUP($I114,[1]ifsfw!$A:$N,11,FALSE),"")</f>
        <v/>
      </c>
      <c r="L114" t="str">
        <f>IFERROR(VLOOKUP($I114,[1]ifsfw!$A:$N,12,FALSE),"")</f>
        <v/>
      </c>
      <c r="M114" t="str">
        <f>IFERROR(VLOOKUP($I114,[1]ifsfw!$A:$N,13,FALSE),"")</f>
        <v/>
      </c>
      <c r="N114" t="str">
        <f>IFERROR(VLOOKUP($I114,[1]ifsfw!$A:$N,14,FALSE),"")</f>
        <v/>
      </c>
      <c r="O114" s="1" t="s">
        <v>557</v>
      </c>
      <c r="P114" t="s">
        <v>558</v>
      </c>
      <c r="Q114">
        <v>1</v>
      </c>
      <c r="R114">
        <v>0</v>
      </c>
      <c r="S114">
        <v>0</v>
      </c>
      <c r="T114">
        <f t="shared" si="3"/>
        <v>0</v>
      </c>
    </row>
    <row r="115" spans="1:20" x14ac:dyDescent="0.3">
      <c r="A115" t="s">
        <v>559</v>
      </c>
      <c r="B115" t="s">
        <v>560</v>
      </c>
      <c r="C115" t="str">
        <f>VLOOKUP(B115,[1]country_codes!A:C,3,FALSE)</f>
        <v>VNM</v>
      </c>
      <c r="D115">
        <v>2005</v>
      </c>
      <c r="F115" s="2">
        <v>2402140000</v>
      </c>
      <c r="G115" t="s">
        <v>71</v>
      </c>
      <c r="H115">
        <v>1</v>
      </c>
      <c r="I115" t="s">
        <v>561</v>
      </c>
      <c r="J115">
        <v>1</v>
      </c>
      <c r="K115">
        <f>IFERROR(VLOOKUP($I115,[1]ifsfw!$A:$N,11,FALSE),"")</f>
        <v>0</v>
      </c>
      <c r="L115">
        <f>IFERROR(VLOOKUP($I115,[1]ifsfw!$A:$N,12,FALSE),"")</f>
        <v>0</v>
      </c>
      <c r="M115">
        <f>IFERROR(VLOOKUP($I115,[1]ifsfw!$A:$N,13,FALSE),"")</f>
        <v>1</v>
      </c>
      <c r="N115">
        <f>IFERROR(VLOOKUP($I115,[1]ifsfw!$A:$N,14,FALSE),"")</f>
        <v>0</v>
      </c>
      <c r="O115" s="1" t="s">
        <v>562</v>
      </c>
      <c r="P115" t="s">
        <v>563</v>
      </c>
      <c r="Q115">
        <v>0</v>
      </c>
      <c r="R115">
        <v>0</v>
      </c>
      <c r="S115">
        <v>1</v>
      </c>
      <c r="T115">
        <f t="shared" si="3"/>
        <v>1</v>
      </c>
    </row>
    <row r="116" spans="1:20" x14ac:dyDescent="0.3">
      <c r="A116" t="s">
        <v>564</v>
      </c>
      <c r="B116" t="s">
        <v>565</v>
      </c>
      <c r="C116" t="str">
        <f>VLOOKUP(B116,[1]country_codes!A:C,3,FALSE)</f>
        <v>ZWE</v>
      </c>
      <c r="D116">
        <v>2015</v>
      </c>
      <c r="F116" s="2">
        <v>97500000</v>
      </c>
      <c r="G116" t="s">
        <v>61</v>
      </c>
      <c r="J116">
        <v>1</v>
      </c>
      <c r="K116" t="str">
        <f>IFERROR(VLOOKUP($I116,[1]ifsfw!$A:$N,11,FALSE),"")</f>
        <v/>
      </c>
      <c r="L116" t="str">
        <f>IFERROR(VLOOKUP($I116,[1]ifsfw!$A:$N,12,FALSE),"")</f>
        <v/>
      </c>
      <c r="M116" t="str">
        <f>IFERROR(VLOOKUP($I116,[1]ifsfw!$A:$N,13,FALSE),"")</f>
        <v/>
      </c>
      <c r="N116" t="str">
        <f>IFERROR(VLOOKUP($I116,[1]ifsfw!$A:$N,14,FALSE),"")</f>
        <v/>
      </c>
      <c r="O116" s="1" t="s">
        <v>566</v>
      </c>
      <c r="P116" t="s">
        <v>567</v>
      </c>
      <c r="Q116">
        <v>1</v>
      </c>
      <c r="R116">
        <v>0</v>
      </c>
      <c r="S116">
        <v>0</v>
      </c>
      <c r="T116">
        <f t="shared" si="3"/>
        <v>0</v>
      </c>
    </row>
  </sheetData>
  <autoFilter ref="A1:V116" xr:uid="{F56668E0-8D6A-45B1-91C8-A7FBAC3BC734}">
    <sortState xmlns:xlrd2="http://schemas.microsoft.com/office/spreadsheetml/2017/richdata2" ref="A2:V116">
      <sortCondition ref="B1:B116"/>
    </sortState>
  </autoFilter>
  <hyperlinks>
    <hyperlink ref="O3" r:id="rId1" display="https://fundosoberano.ao/en/about-fsdea/overview" xr:uid="{84C9B776-BADA-43F8-A5BB-C1BC8C2B8968}"/>
    <hyperlink ref="O5" r:id="rId2" location="collapse_13c4f01f-e67a-4215-bc99-3de1f8162461" display="https://www.futurefund.gov.au/en/About-us/Our-funds - collapse_13c4f01f-e67a-4215-bc99-3de1f8162461" xr:uid="{1D058703-3A1D-40EF-B073-DB46459D0FEA}"/>
    <hyperlink ref="U2" r:id="rId3" location=":~:text=Le%20Fonds%20de%20r%C3%A9gulation%20des%20recettes%20(FRR)%20devrait%20atteindre%2C,le%20d%C3%A9ficit%20du%20Tr%C3%A9sor%20public." display="https://maghrebemergent.net/il-sert-a-couvrir-le-deficit-le-fonds-de-regulation-des-recettes-atteint-2300-milliards-de-dinars/ - :~:text=Le%20Fonds%20de%20r%C3%A9gulation%20des%20recettes%20(FRR)%20devrait%20atteindre%2C,le%20d%C3%A9ficit%20du%20Tr%C3%A9sor%20public." xr:uid="{63F4D026-F9EA-42DD-83BC-ED05CB82077F}"/>
    <hyperlink ref="O4" r:id="rId4" display="https://anif.am/" xr:uid="{63AC8728-EE89-49CF-AECA-EAF6EB1E1CA7}"/>
    <hyperlink ref="O6" r:id="rId5" display="https://oebag.gv.at/en/" xr:uid="{DFDC19B0-F3EC-489D-9043-844480482B22}"/>
    <hyperlink ref="O8" r:id="rId6" display="https://aih.gov.az/about-us/about-aih-azerbaijan-investment-holding" xr:uid="{57714918-84B1-4448-B9ED-B1C21783BAF4}"/>
    <hyperlink ref="O7" r:id="rId7" display="https://www.oilfund.az/en/fund/about/mission" xr:uid="{88DB38F8-4194-45C5-B11D-C96E75AC7541}"/>
    <hyperlink ref="U7" r:id="rId8" display="https://www.adb.org/sites/default/files/linked-documents/55073-001-sd-04.pdf" xr:uid="{5BDA74B4-E1E2-4153-991D-3D89207B377B}"/>
    <hyperlink ref="O9" r:id="rId9" location="overview" display="https://pitchbook.com/profiles/limited-partner/63187-39 - overview" xr:uid="{830DC957-6D72-4CA0-8996-2D4DBC02A484}"/>
    <hyperlink ref="O10" r:id="rId10" display="https://www.mumtalakat.bh/who-we-are" xr:uid="{11B6CD20-6605-4D2E-8D84-FAF9EB549A9A}"/>
    <hyperlink ref="O11" r:id="rId11" display="https://www.sfpim.be/" xr:uid="{0D3E1A6F-80A8-4094-8E43-C90A3E631CF2}"/>
    <hyperlink ref="O12" r:id="rId12" display="https://thebhutanese.bt/bhutan-economic-stabilization-fund-stands-at-nu-167-mn/" xr:uid="{E13160F2-C9AC-4FF8-8511-06370CC7006A}"/>
    <hyperlink ref="O13" r:id="rId13" display="https://www.economiayfinanzas.gob.bo/los-ingresos-por-ventas-de-las-empresas-publicas-llegan-a-bs26164-millones-a-junio-de-2022-y-garantizan-el-pago-de-sus-creditos-al-bcb-y-finpro.html" xr:uid="{C5A46186-78B7-44E5-97FA-9EA71AF19AEE}"/>
    <hyperlink ref="O14" r:id="rId14" display="https://www.bankofbotswana.bw/content/pula-fund" xr:uid="{8D49D418-B00F-464B-9503-1300BA4B41BD}"/>
    <hyperlink ref="U14" r:id="rId15" display="https://www.reuters.com/article/botswana-sovereign-wealth-fund-idUSL3N2EL3I5" xr:uid="{04653756-BC44-405B-ACFC-CA19C3D777B9}"/>
    <hyperlink ref="O2" r:id="rId16" location=":~:text=The%20term%20Revenue%20Regulation%20Fund,Fond%20de%20Regulation%20des%20Recettes" xr:uid="{EFF4C8FE-F799-462D-9852-9E32E12F5920}"/>
    <hyperlink ref="O15" r:id="rId17" display="https://www.gov.br/tesouronacional/en/fundo-soberano-do-brasil-fsb" xr:uid="{1191ABD3-7B8A-4153-86E3-4B98F501DC44}"/>
    <hyperlink ref="O16" r:id="rId18" display="https://www.mf.gov.cv/web/mf/-/fundo-soberano" xr:uid="{727DCBEB-5376-40B2-9610-BAA1EE869890}"/>
    <hyperlink ref="U16" r:id="rId19" location=":~:text=O%20Fundo%20Soberano%2C%20que%20opera,das%20Finan%C3%A7as%20do%20pa%C3%ADs%20africano." display="https://expansao.co.ao/mundo/africa/interior/fundo-soberano-de-cabo-verde-de-100-milhoes-de-dolares-arranca-em-definitivo-109009.html - :~:text=O%20Fundo%20Soberano%2C%20que%20opera,das%20Finan%C3%A7as%20do%20pa%C3%ADs%20africano." xr:uid="{D9F46D0E-61D7-4A87-8820-DCADE4F03515}"/>
    <hyperlink ref="O17" r:id="rId20" display="https://hacienda.cl/english/work-areas/international-finance/sovereign-wealth-funds/pension-reserve-fund" xr:uid="{51FE7E4B-F709-4F0A-9AE6-6B59278FCAB5}"/>
    <hyperlink ref="O18" r:id="rId21" location=":~:text=The%20Economic%20and%20Social%20Stabilization%20Fund%20allows%20financing%20of%20fiscal,copper%20price%20and%20other%20sources." display="https://hacienda.cl/english/work-areas/international-finance/sovereign-wealth-funds/economic-and-social-stabilization-fund - :~:text=The%20Economic%20and%20Social%20Stabilization%20Fund%20allows%20financing%20of%20fiscal,copper%20price%20and%20other%20sources." xr:uid="{982F96FF-D074-4A6F-87E6-5B60CE1E16D9}"/>
    <hyperlink ref="O20" r:id="rId22" display="http://www.china-inv.cn/en/" xr:uid="{ADA26FCE-5DF4-4EE5-85D7-22EF5E031B40}"/>
    <hyperlink ref="O19" r:id="rId23" display="http://www.ssf.gov.cn/portal/yw/webinfo/2021/09/1632812253754637.htm" xr:uid="{749AE667-70CA-47D1-BA31-EEBA6285A9D7}"/>
    <hyperlink ref="U19" r:id="rId24" display="https://www.bloomberg.com/profile/company/0173893D:CH" xr:uid="{54ACF40D-B98B-4093-94F0-5ECF06C827AB}"/>
    <hyperlink ref="V19" r:id="rId25" display="https://www.investopedia.com/terms/n/national-social-security-fund.asp" xr:uid="{9ED062D4-6974-47DB-836B-D68B490C043E}"/>
    <hyperlink ref="O22" r:id="rId26" display="https://www.minhacienda.gov.co/webcenter/portal/SGR/pages_fae" xr:uid="{2672278E-3C23-4E30-BAF5-9CDECDD375B0}"/>
    <hyperlink ref="O23" r:id="rId27" display="https://www.ifswf.org/members/national-investment-fund" xr:uid="{6E50429A-0B36-4229-A022-36BC5803B737}"/>
    <hyperlink ref="O24" r:id="rId28" display="https://www.eifo.dk/" xr:uid="{B677ED26-C23B-4EE4-9F65-6BE56416B155}"/>
    <hyperlink ref="O25" r:id="rId29" display="https://www.ifswf.org/members/fonds-souverain-de-djibouti" xr:uid="{08DED060-82F8-492E-BA76-76124B86D89D}"/>
    <hyperlink ref="O26" r:id="rId30" display="https://tsfe.com/" xr:uid="{7016F95B-2CEB-47D7-9A8C-426AAB4F4802}"/>
    <hyperlink ref="O27" r:id="rId31" display="https://eih.et/" xr:uid="{17B8A76B-9EC5-4CDB-A08C-197D644B4C3D}"/>
    <hyperlink ref="O29" r:id="rId32" display="https://tesi.fi/en/" xr:uid="{684B1C65-8A2B-4753-99E6-CF11ECFAEE3B}"/>
    <hyperlink ref="O28" r:id="rId33" display="https://www.solidium.fi/en/" xr:uid="{67867BAA-5A65-43FC-9570-29AA4FD387DD}"/>
    <hyperlink ref="U28" r:id="rId34" location="profit-distribution" display="https://www.solidium.fi/en/holdings/ - profit-distribution" xr:uid="{E28DFEBD-9B1D-421D-8186-2DD8D08F6CA3}"/>
    <hyperlink ref="O30" r:id="rId35" display="https://www.prefectures-regions.gouv.fr/centre-val-de-loire/Region-et-institutions/L-action-de-l-Etat/Economie-entreprises-emploi-et-finances-publiques/Fonds-Strategique-d-Investissement" xr:uid="{917C5876-1560-45C0-865C-4A427F771830}"/>
    <hyperlink ref="U30" r:id="rId36" display="https://www.caissedesdepots.fr/en" xr:uid="{120D7E86-8BA2-4EBE-AADE-3CE5D2D0CF0A}"/>
    <hyperlink ref="O33" r:id="rId37" display="http://caistab.ga/a-propos-de/" xr:uid="{8ACF44A3-5072-4CCD-A87F-CC24D49AE0CD}"/>
    <hyperlink ref="O35" r:id="rId38" display="https://www.kenfo.de/en/start" xr:uid="{9810401B-2F40-4A10-BBFC-23CD627FF67F}"/>
    <hyperlink ref="O32" r:id="rId39" location=":~:text=Established%20in%202012%2C%20the%20Gabonese,intergenerational%20shared%20prosperity%20in%20Gabon." display="https://www.fgis-gabon.com/about - :~:text=Established%20in%202012%2C%20the%20Gabonese,intergenerational%20shared%20prosperity%20in%20Gabon." xr:uid="{14834380-909C-4CB7-BE91-551D1E20E337}"/>
    <hyperlink ref="O37" r:id="rId40" display="https://www.bog.gov.gh/ghana-petroleum-funds/about-petroleum-funds/" xr:uid="{8A53C9C0-7695-415C-83AE-8F86F24F49D1}"/>
    <hyperlink ref="O36" r:id="rId41" display="https://www.bog.gov.gh/ghana-petroleum-funds/about-petroleum-funds/" xr:uid="{44FF0691-4C98-4928-9CF7-140E4CAD7099}"/>
    <hyperlink ref="O38" r:id="rId42" display="https://www.mofep.gov.gh/sites/default/files/reports/economic/GIIF Investment Policy Statement_April62017.pdf" xr:uid="{09368AF8-22A7-40FE-9B8E-4F81CB802318}"/>
    <hyperlink ref="O40" r:id="rId43" display="https://www.hcap.gr/en/company/" xr:uid="{0FC2B68E-310F-4A44-AA42-5BEFC420CB21}"/>
    <hyperlink ref="O41" r:id="rId44" display="https://finance.gov.gy/wp-content/uploads/2021/03/NRF-Act_2019.pdf" xr:uid="{BC50489A-AA53-40BE-B1D6-26A0C6470A16}"/>
    <hyperlink ref="O42" r:id="rId45" display="https://eng.cnic.com/" xr:uid="{0FEF13DE-FA6F-4CAF-B390-4ACCB9CFA4F0}"/>
    <hyperlink ref="O43" r:id="rId46" display="https://www.hkic.org.hk/" xr:uid="{70CF0E57-A669-4A44-A820-7BFCB0BCBFB8}"/>
    <hyperlink ref="O45" r:id="rId47" display="https://www.ina.go.id/" xr:uid="{1D734C83-70F4-4EBE-907C-6A6BF5F73FE5}"/>
    <hyperlink ref="O46" r:id="rId48" display="https://en.ndf.ir/" xr:uid="{3A2167A4-E98B-44E2-BFBB-E0966676AE9A}"/>
    <hyperlink ref="O47" r:id="rId49" display="https://en.ndf.ir/About-NDF/History" xr:uid="{6E6BAE40-6B33-432C-8D7B-565102A09B68}"/>
    <hyperlink ref="O49" r:id="rId50" display="https://isif.ie/about" xr:uid="{145E9E6F-51FF-4583-A1C4-1613BE07BD1E}"/>
    <hyperlink ref="O48" r:id="rId51" display="https://www.ntma.ie/national-pensions-reserve-fund-nprf" xr:uid="{E0256265-3DD2-4691-A34A-4FF6334585AA}"/>
    <hyperlink ref="U48" r:id="rId52" display="https://www.ntma.ie/uploads/publication-articles/NPRF-Annual-Report-2013.pdf" xr:uid="{D5F45F92-EE52-4E24-9763-A6DC25663F40}"/>
    <hyperlink ref="O50" r:id="rId53" display="https://www.gov.il/BlobFolder/news/press_04042023/en/israel-citizens-foundation_israel-citizens-foundation-annual-report-2022-eng.pdf" xr:uid="{24A01889-A906-40DB-80C1-8AEE59A4DCEF}"/>
    <hyperlink ref="O52" r:id="rId54" display="https://www.j-ic.co.jp/en/about/" xr:uid="{2A273EDB-FF74-4D8C-8FC3-882521D9D733}"/>
    <hyperlink ref="O53" r:id="rId55" location="citation-2" display="https://www.investopedia.com/terms/k/kazakhstan-national-fund.asp - citation-2" xr:uid="{A9558A82-AEE1-442E-9EB1-2157FBC177EB}"/>
    <hyperlink ref="U53" r:id="rId56" display="https://www.adb.org/sites/default/files/linked-documents/54188-001-sd-05.pdf" xr:uid="{9C5B871D-E3C8-4CCF-AC17-C74412290329}"/>
    <hyperlink ref="O55" r:id="rId57" display="https://www.nicnbk.kz/en" xr:uid="{190E536D-AEBB-4AD9-B305-698F85A4ED1E}"/>
    <hyperlink ref="O54" r:id="rId58" display="https://sk.kz/about-fund/?lang=en" xr:uid="{D862F353-57D9-4B30-9648-4979C63C8145}"/>
    <hyperlink ref="U56" r:id="rId59" display="https://www.imf.org/en/Publications/CR/Issues/2016/12/31/Kiribati-2011-Article-IV-Consultation-Staff-Report-Informational-Annexes-Debt-Sustainability-24871" xr:uid="{137301CE-20FD-49D2-AB1A-42C8D17B0BF0}"/>
    <hyperlink ref="O56" r:id="rId60" location=":~:text=The%20Revenue%20Equalization%20Reserve%20Fund%20is%20a%20sovereign%20wealth%20fund,with%20assets%20totaling%20%24608.52%20million." display="https://www.investopedia.com/terms/r/revenue-equalization-reserve-fund.asp - :~:text=The%20Revenue%20Equalization%20Reserve%20Fund%20is%20a%20sovereign%20wealth%20fund,with%20assets%20totaling%20%24608.52%20million." xr:uid="{CF1A6A69-D73A-405B-B034-8D073594715D}"/>
    <hyperlink ref="O57" r:id="rId61" display="https://kryeministri.rks-gov.net/wp-content/uploads/2023/06/Projektligj-per-Fondin-Sovran-te-Republikes-se-Kosoves.pdf" xr:uid="{E0BF6776-EA78-46A0-9420-1A8A4F2E8105}"/>
    <hyperlink ref="O58" r:id="rId62" display="https://www.kia.gov.kw/" xr:uid="{36728651-C15E-43EA-B6B3-801FAF2C171A}"/>
    <hyperlink ref="O59" r:id="rId63" display="https://lia.ly/en/about-us/our-vision/" xr:uid="{FEC26074-59F4-4C31-B153-040D12D45637}"/>
    <hyperlink ref="O60" r:id="rId64" display="https://mfin.gouvernement.lu/fr/le-ministere/fonds-souverain-intergenerationnel-luxembourg.html" xr:uid="{F7FED91C-F9AF-465B-8A2C-8B88A07719E3}"/>
    <hyperlink ref="O61" r:id="rId65" display="https://www.khazanah.com.my/who-we-are/about-us/" xr:uid="{D3F36B19-15CE-4084-AE2D-965F33F19C53}"/>
    <hyperlink ref="O62" r:id="rId66" display="https://mgis.com.mt/about/" xr:uid="{409BC422-C825-43F4-BE04-C608373118AC}"/>
    <hyperlink ref="O63" r:id="rId67" display="https://ndsf.com.mt/en/Pages/Our-Mission.aspx" xr:uid="{245C9817-2A51-4A7A-80FD-E001C1015845}"/>
    <hyperlink ref="O65" r:id="rId68" display="https://www.tresor.mr/fr/afficher.php?tb=paSo&amp;id=ZGJs" xr:uid="{69A21382-2089-48BD-8A4F-C93B51F6C9E1}"/>
    <hyperlink ref="U70" r:id="rId69" display="https://globalswf.com/fund/FRC" xr:uid="{E8AEDA4C-1A0B-49B1-A1D2-8EC6A8A606E3}"/>
    <hyperlink ref="U71" r:id="rId70" display="http://www.eri.mn/research/finished/499-02awmf99" xr:uid="{C7BF3BAF-76EA-4944-8A71-83CB41A947A3}"/>
    <hyperlink ref="U72" r:id="rId71" display="http://www.eri.mn/research/finished/499-02awmf99" xr:uid="{780A97C2-E4CC-4558-B48C-0AFDE56D860D}"/>
    <hyperlink ref="O73" r:id="rId72" display="https://www.finances.gov.ma/Publication/cabinet/2020/Note-Pres-Fond-Med-VI-Inv-Loi-76-20-Fr.pdf" xr:uid="{268EE4F8-F45C-40D8-8578-A82C041ADD72}"/>
    <hyperlink ref="U73" r:id="rId73" display="https://www.finances.gov.ma/Publication/Textes-Reg/BO-Fond-Med-VI-Inv-Loi-76-20-FR.pdf" xr:uid="{D9AFE581-5ADC-4E7E-9BC4-024C5AB652BE}"/>
    <hyperlink ref="U74" r:id="rId74" display="https://www.mme.gov.na/mdf/aboutus/" xr:uid="{199360CA-6236-4263-A173-EFD52FD45FA3}"/>
    <hyperlink ref="O74" r:id="rId75" display="https://www.lac.org.na/laws/annoSTAT/Minerals Development Fund of Namibia Act 19 of 1996.pdf" xr:uid="{EBB444A5-BADA-4C14-B18E-CA89FE0956C3}"/>
    <hyperlink ref="O75" r:id="rId76" location=":~:text=The%20Fund%20is%20set%20to,from%20the%20present%20utilisation%20of" display="https://www.bon.com.na/Bank/Welwitschia-Fund.aspx - :~:text=The%20Fund%20is%20set%20to,from%20the%20present%20utilisation%20of" xr:uid="{624EA7CD-2587-4722-B6E2-2434BA702129}"/>
    <hyperlink ref="O76" r:id="rId77" display="https://naurufinance.info/intergenerational-trust-fund/" xr:uid="{F8DAD13E-8758-45E3-91ED-D4EB34D2AE03}"/>
    <hyperlink ref="U76" r:id="rId78" display="https://naurufinance.info/wp-content/uploads/2022/12/FINAL-2022-Annual-Report-15-December-2022.pdf" xr:uid="{CC1A23E4-7075-408C-82E2-A08DD020B52D}"/>
    <hyperlink ref="O77" r:id="rId79" display="https://nzsuperfund.nz/about-the-guardians/" xr:uid="{BE9AFC38-2D8B-49EA-8D5E-DBE91E93D261}"/>
    <hyperlink ref="O78" r:id="rId80" location="ourmandate" display="https://nsia.com.ng/about-us - ourmandate" xr:uid="{9E54BC82-AB56-4C07-8CF4-725736795204}"/>
    <hyperlink ref="O79" r:id="rId81" display="https://www.nbim.no/en/the-fund/about-the-fund/" xr:uid="{50E7919F-2009-48EC-9F2C-AF7BFE43F5CC}"/>
    <hyperlink ref="O81" r:id="rId82" display="https://www.omanobserver.om/article/1138054/oman/community/oman-future-fund-a-key-to-financing-big-projects" xr:uid="{83A549F2-74BA-4278-8AB6-6EF7526BCB7E}"/>
    <hyperlink ref="U81" r:id="rId83" display="https://www.zawya.com/en/wealth/funds/omani-officials-welcome-launch-of-oman-future-fund-ybogvxuc" xr:uid="{2008DE4A-B2E7-4E76-B553-D0A38FFC9ECC}"/>
    <hyperlink ref="O80" r:id="rId84" display="https://www.oia.gov.om/Index.php?r=en%2Fsite%2Fabout&amp;csrt=17991566385299316826" xr:uid="{B9844F0A-C72F-467B-8006-7B18977106EA}"/>
    <hyperlink ref="O82" r:id="rId85" display="https://www.pif.ps/at-a-glance/" xr:uid="{3EF0A1BA-2CBC-4388-84CC-678FAF3B2280}"/>
    <hyperlink ref="O83" r:id="rId86" display="https://www.fondoahorropanama.com/nuestra-historia" xr:uid="{5AAA3B93-CCE4-407C-A8C6-841582E5AC95}"/>
    <hyperlink ref="O84" r:id="rId87" display="https://www.bcrp.gob.pe/docs/Publicaciones/Revista-Moneda/moneda-174/moneda-174-07.pdf" xr:uid="{1C6C1E12-4152-4519-BDC5-595AE4BF702F}"/>
    <hyperlink ref="U84" r:id="rId88" display="https://www2.congreso.gob.pe/Sicr/Prensa/heraldo.nsf/CNtitulares2/353305FAD7A4AE8D0525787E006E220A/?OpenDocument" xr:uid="{50506F06-4763-42B8-A413-C0AAAA4DEB8A}"/>
    <hyperlink ref="O85" r:id="rId89" display="https://pfr.pl/en/" xr:uid="{6744117A-20AD-4C94-ACA2-1AFBE09B9041}"/>
    <hyperlink ref="O86" r:id="rId90" location="mandate" display="https://www.qia.qa/en/About/Pages/default.aspx - mandate" xr:uid="{D1FE2CAF-1EF0-41C0-A0B1-938489C8F47D}"/>
    <hyperlink ref="O87" r:id="rId91" display="https://archive.minfin.gov.ru/en/key/nationalwealthfund/" xr:uid="{816595FB-B00B-4F0E-9283-11BBEB7C218C}"/>
    <hyperlink ref="O88" r:id="rId92" display="https://www.rdif.ru/Eng_About/" xr:uid="{7F2F5F43-34AB-4DC1-AC68-58DA76FE0A0B}"/>
    <hyperlink ref="O89" r:id="rId93" display="https://www.agaciro.rw/index.php?id=158" xr:uid="{F2B8B12F-5B02-4326-9ABC-72EAE1E5DE87}"/>
    <hyperlink ref="O90" r:id="rId94" display="https://www.pif.gov.sa/en/Pages/AboutPIF.aspx" xr:uid="{FC2D1CB0-64A9-4D52-AE1B-CE4B01BF9B11}"/>
    <hyperlink ref="O91" r:id="rId95" display="https://www.fonsis.org/fr" xr:uid="{2979C38F-A5DC-4371-9EE2-8F008A771920}"/>
    <hyperlink ref="O93" r:id="rId96" display="https://www.gic.com.sg/who-we-are/" xr:uid="{0A2D2755-05C7-487C-81E8-089C83A9ECA1}"/>
    <hyperlink ref="O92" r:id="rId97" display="https://www.temasek.com.sg/en/about-us/our-purpose-charter-values" xr:uid="{56D14CBC-B31C-4D5A-8450-830F980846E4}"/>
    <hyperlink ref="O94" r:id="rId98" display="https://www.sdh.si/en-gb/about-ssh/mission-vision-values" xr:uid="{0F537160-5468-4ED8-B4A5-E5B34FF67242}"/>
    <hyperlink ref="O95" r:id="rId99" display="https://www.kic.kr/en/01/01/01.jsp" xr:uid="{6AC776FC-1A52-4D3D-80D5-F90ED7C567F1}"/>
    <hyperlink ref="O96" r:id="rId100" display="https://www.sepi.es/es/conozca-sepi/objetivos" xr:uid="{54B4955C-7FE6-47F3-A4B2-16EE2816823F}"/>
    <hyperlink ref="O97" r:id="rId101" display="https://cert-net.com/files/publications/conference/2017/DaniellaWondelStrategicAssetAllocationforasavingsandstabilizationfundTheCaseofSurinameDW_Paper14-10-2017.pdf" xr:uid="{E2304096-FDE3-44A8-B3F3-2BAAF703148E}"/>
    <hyperlink ref="O98" r:id="rId102" display="https://www.ndc.gov.tw/en/Content_List.aspx?n=9F0C4DE5BC5FFEFD" xr:uid="{5B0C8AA5-4F65-4C7E-97F3-698305C81FE6}"/>
    <hyperlink ref="O99" r:id="rId103" display="https://www.mof.gov.tw/Eng/singlehtml/6725?cntId=f04ab8ed7f6a467e9a39efc1b43b3a98" xr:uid="{3C73BCD7-A40E-4160-AED4-49035F462929}"/>
    <hyperlink ref="O100" r:id="rId104" display="https://www.ifswf.org/members/timor-leste" xr:uid="{0F4D8986-A09D-49BB-BB23-CA1F9F68731B}"/>
    <hyperlink ref="O101" r:id="rId105" display="https://www.finance.gov.tt/wp-content/uploads/2023/06/HSF-AR-2022.pdf" xr:uid="{ED3D9147-893C-40CB-AAF0-36B97A90C2CA}"/>
    <hyperlink ref="O102" r:id="rId106" display="https://www.tvf.com.tr/en/who-we-are/about-us/our-mandate" xr:uid="{7DA25649-186A-46BA-8F9A-4760A9BCA9F8}"/>
    <hyperlink ref="O103" r:id="rId107" display="https://pitchbook.com/profiles/limited-partner/52324-03" xr:uid="{35405727-01D1-4287-A8FD-C4A93935AF4C}"/>
    <hyperlink ref="U103" r:id="rId108" display="https://www.state.gov/reports/2021-fiscal-transparency-report/turkmenistan/" xr:uid="{45253535-5E51-4DD8-B079-5002D5EF3078}"/>
    <hyperlink ref="V103" r:id="rId109" display="https://turkmenportal.com/en/blog/43441/stabilization-fund-of-turkmenistan-will-allocate-funds-for-the-development-of-horse-breeding" xr:uid="{386CAC83-1EE3-4B03-BCA4-37876EB91A10}"/>
    <hyperlink ref="O104" r:id="rId110" display="https://tuvalutrustfund.tv/index.php/features/faqs" xr:uid="{5FC92419-E1E2-442B-84D8-94A7610D6785}"/>
    <hyperlink ref="O109" r:id="rId111" display="https://www.eia.gov.ae/" xr:uid="{F77F35CA-B26F-481C-A6AF-0745B5F6A25C}"/>
    <hyperlink ref="O112" r:id="rId112" display="https://parliamentwatch.ug/wp-content/uploads/2022/07/Petroleum-Fund-Semi-Annual-Report-on-Inflows-Outflows-and-Assets-of-the-Fund-for-the-Period-ended-31st-December-2021.pdf" xr:uid="{B560EB24-7A83-4D73-83D7-9F0F4C203ACC}"/>
    <hyperlink ref="U112" r:id="rId113" display="https://www.finance.go.ug/sites/default/files/Publications/ANNUAL AUDITED FINANCIAL STATEMENTS OF THE PETROLEUM FUND FOR THE YEAR ENDED 30 JUNE 2020.pdf" xr:uid="{86B42891-420F-41B2-B9FA-B1F7F894B0BB}"/>
    <hyperlink ref="O113" r:id="rId114" display="https://ufrd.uz/wp-content/uploads/2019/12/Financial-Statement_FRD_NAS-2017_ENG_KPMG.pdf" xr:uid="{998083DD-F5F5-477D-AF7F-D9A82CA34435}"/>
    <hyperlink ref="O115" r:id="rId115" display="http://www.scic.vn/index.php/en/about-us" xr:uid="{CBE3B474-A809-41FA-819E-EA2E3AED6100}"/>
    <hyperlink ref="O116" r:id="rId116" display="https://www.rbz.co.zw/documents/acts/Sovereign Wealth Fund of Zimbabwe Act %5bChapter 22-20%5d_0.pdf" xr:uid="{174DC7C6-C986-4E10-8B66-CE23FED45886}"/>
    <hyperlink ref="O21" r:id="rId117" display="https://www.funcionpublica.gov.co/eva/gestornormativo/norma.php?i=80357" xr:uid="{3C9336A6-485F-44F1-9C36-FE53551E42AA}"/>
    <hyperlink ref="O31" r:id="rId118" display="https://www.bpifrance.com/our-mission/" xr:uid="{DAECBA5F-4CF3-4D6E-BC3C-5BC7434078C3}"/>
    <hyperlink ref="O34" r:id="rId119" display="https://www.tbilisisrf.gov.ge/en/organizers/partners/81-jsc-partnership-fund" xr:uid="{7409E5DE-81FA-4F59-8024-32F2B0FA18F2}"/>
    <hyperlink ref="O44" r:id="rId120" display="https://www.niifindia.in/about" xr:uid="{D02956B4-C874-4ACA-9ECF-50E7074063A2}"/>
    <hyperlink ref="O51" r:id="rId121" display="https://www.cdp.it/sitointernet/en/cdp_equity.page" xr:uid="{5E7D22D1-D20E-44F4-9BE3-A7B754D49801}"/>
    <hyperlink ref="O64" r:id="rId122" display="https://rmicfatf.com/" xr:uid="{04F4947A-81EE-4E7C-BFD9-B4044C37C40C}"/>
    <hyperlink ref="O69" r:id="rId123" display="https://fsmcfatf.com/" xr:uid="{B21324E1-45F6-4512-8503-9723FA6FC2CF}"/>
    <hyperlink ref="U15" r:id="rId124" display="https://www.gov.br/tesouronacional/pt-br/ativos-da-uniao/fundos-governamentais/fundo-soberano-do-brasil-fsb/sobre" xr:uid="{FC1FB87B-2A85-4635-8E74-F3BF4012E617}"/>
    <hyperlink ref="O39" r:id="rId125" xr:uid="{0AA0C88C-1AD6-417E-9931-C7309744EE18}"/>
    <hyperlink ref="O68" r:id="rId126" xr:uid="{FAF7CC12-2609-4299-9228-2FB7078A6DDD}"/>
    <hyperlink ref="O106" r:id="rId127" xr:uid="{AA40387A-D91C-4A00-BEF9-6CDD21968105}"/>
    <hyperlink ref="O108" r:id="rId128" location="financial_statements" xr:uid="{3D9AA603-D4FB-48E5-A276-4B1169893F47}"/>
    <hyperlink ref="O107" r:id="rId129" xr:uid="{5E63EA41-4193-48C0-AD8E-0FE024AF0B9D}"/>
    <hyperlink ref="O110" r:id="rId130" xr:uid="{4A59E29D-8F9D-4728-BEE1-FC91D80587F8}"/>
    <hyperlink ref="O114" r:id="rId131" xr:uid="{B923B63E-D20B-4ECC-A75D-D0B28F7257A1}"/>
  </hyperlinks>
  <pageMargins left="0.7" right="0.7" top="0.75" bottom="0.75" header="0.3" footer="0.3"/>
  <pageSetup orientation="portrait" r:id="rId13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358B8-0F57-4B1D-9B57-4D0DBEF2B022}">
  <sheetPr>
    <tabColor theme="0"/>
  </sheetPr>
  <dimension ref="A1:J1303"/>
  <sheetViews>
    <sheetView tabSelected="1" topLeftCell="A1279" zoomScale="80" zoomScaleNormal="80" workbookViewId="0">
      <selection activeCell="E1306" sqref="E1306"/>
    </sheetView>
  </sheetViews>
  <sheetFormatPr baseColWidth="10" defaultColWidth="11.44140625" defaultRowHeight="14.4" x14ac:dyDescent="0.3"/>
  <cols>
    <col min="1" max="1" width="31.6640625" customWidth="1"/>
    <col min="2" max="2" width="11.44140625" customWidth="1"/>
    <col min="5" max="5" width="11.44140625" customWidth="1"/>
    <col min="6" max="10" width="16.44140625" customWidth="1"/>
  </cols>
  <sheetData>
    <row r="1" spans="1:10" s="18" customFormat="1" ht="31.95" customHeight="1" x14ac:dyDescent="0.3">
      <c r="A1" s="18" t="s">
        <v>13</v>
      </c>
      <c r="B1" s="18" t="s">
        <v>39</v>
      </c>
      <c r="C1" s="18" t="s">
        <v>568</v>
      </c>
      <c r="D1" s="18" t="s">
        <v>26</v>
      </c>
      <c r="E1" s="18" t="s">
        <v>569</v>
      </c>
      <c r="F1" s="18" t="s">
        <v>15</v>
      </c>
      <c r="G1" s="18" t="s">
        <v>17</v>
      </c>
      <c r="H1" s="18" t="s">
        <v>570</v>
      </c>
      <c r="I1" s="18" t="s">
        <v>21</v>
      </c>
      <c r="J1" s="18" t="s">
        <v>571</v>
      </c>
    </row>
    <row r="2" spans="1:10" x14ac:dyDescent="0.3">
      <c r="A2" t="s">
        <v>59</v>
      </c>
      <c r="B2" t="s">
        <v>60</v>
      </c>
      <c r="C2" t="s">
        <v>572</v>
      </c>
      <c r="D2">
        <v>2000</v>
      </c>
      <c r="E2" t="s">
        <v>573</v>
      </c>
      <c r="F2" s="6">
        <v>3.0844757871367965</v>
      </c>
    </row>
    <row r="3" spans="1:10" x14ac:dyDescent="0.3">
      <c r="A3" t="s">
        <v>59</v>
      </c>
      <c r="B3" t="s">
        <v>60</v>
      </c>
      <c r="C3" t="s">
        <v>572</v>
      </c>
      <c r="D3">
        <v>2001</v>
      </c>
      <c r="E3" t="s">
        <v>573</v>
      </c>
      <c r="F3" s="6">
        <v>2.2215107889630801</v>
      </c>
    </row>
    <row r="4" spans="1:10" x14ac:dyDescent="0.3">
      <c r="A4" t="s">
        <v>59</v>
      </c>
      <c r="B4" t="s">
        <v>60</v>
      </c>
      <c r="C4" t="s">
        <v>572</v>
      </c>
      <c r="D4">
        <v>2002</v>
      </c>
      <c r="E4" t="s">
        <v>573</v>
      </c>
      <c r="F4" s="6">
        <v>0.35112114545461387</v>
      </c>
    </row>
    <row r="5" spans="1:10" x14ac:dyDescent="0.3">
      <c r="A5" t="s">
        <v>59</v>
      </c>
      <c r="B5" t="s">
        <v>60</v>
      </c>
      <c r="C5" t="s">
        <v>572</v>
      </c>
      <c r="D5">
        <v>2003</v>
      </c>
      <c r="E5" t="s">
        <v>573</v>
      </c>
      <c r="F5" s="6">
        <v>4.1461609197600309</v>
      </c>
    </row>
    <row r="6" spans="1:10" x14ac:dyDescent="0.3">
      <c r="A6" t="s">
        <v>59</v>
      </c>
      <c r="B6" t="s">
        <v>60</v>
      </c>
      <c r="C6" t="s">
        <v>572</v>
      </c>
      <c r="D6">
        <v>2004</v>
      </c>
      <c r="E6" t="s">
        <v>573</v>
      </c>
      <c r="F6" s="6">
        <v>10.015008191016873</v>
      </c>
    </row>
    <row r="7" spans="1:10" x14ac:dyDescent="0.3">
      <c r="A7" t="s">
        <v>59</v>
      </c>
      <c r="B7" t="s">
        <v>60</v>
      </c>
      <c r="C7" t="s">
        <v>572</v>
      </c>
      <c r="D7">
        <v>2005</v>
      </c>
      <c r="E7" t="s">
        <v>573</v>
      </c>
      <c r="F7" s="6">
        <v>25.147090512609054</v>
      </c>
    </row>
    <row r="8" spans="1:10" x14ac:dyDescent="0.3">
      <c r="A8" t="s">
        <v>59</v>
      </c>
      <c r="B8" t="s">
        <v>60</v>
      </c>
      <c r="C8" t="s">
        <v>572</v>
      </c>
      <c r="D8">
        <v>2006</v>
      </c>
      <c r="E8" t="s">
        <v>573</v>
      </c>
      <c r="F8" s="6">
        <v>40.346617688010497</v>
      </c>
    </row>
    <row r="9" spans="1:10" x14ac:dyDescent="0.3">
      <c r="A9" t="s">
        <v>59</v>
      </c>
      <c r="B9" t="s">
        <v>60</v>
      </c>
      <c r="C9" t="s">
        <v>572</v>
      </c>
      <c r="D9">
        <v>2007</v>
      </c>
      <c r="E9" t="s">
        <v>573</v>
      </c>
      <c r="F9" s="6">
        <v>46.405233474378136</v>
      </c>
    </row>
    <row r="10" spans="1:10" x14ac:dyDescent="0.3">
      <c r="A10" t="s">
        <v>59</v>
      </c>
      <c r="B10" t="s">
        <v>60</v>
      </c>
      <c r="C10" t="s">
        <v>572</v>
      </c>
      <c r="D10">
        <v>2008</v>
      </c>
      <c r="E10" t="s">
        <v>573</v>
      </c>
      <c r="F10" s="6">
        <v>66.272649993496714</v>
      </c>
    </row>
    <row r="11" spans="1:10" x14ac:dyDescent="0.3">
      <c r="A11" t="s">
        <v>59</v>
      </c>
      <c r="B11" t="s">
        <v>60</v>
      </c>
      <c r="C11" t="s">
        <v>572</v>
      </c>
      <c r="D11">
        <v>2009</v>
      </c>
      <c r="E11" t="s">
        <v>573</v>
      </c>
      <c r="F11" s="6">
        <v>59.416631726219592</v>
      </c>
    </row>
    <row r="12" spans="1:10" x14ac:dyDescent="0.3">
      <c r="A12" t="s">
        <v>59</v>
      </c>
      <c r="B12" t="s">
        <v>60</v>
      </c>
      <c r="C12" t="s">
        <v>572</v>
      </c>
      <c r="D12">
        <v>2010</v>
      </c>
      <c r="E12" t="s">
        <v>573</v>
      </c>
      <c r="F12" s="6">
        <v>65.104154693645938</v>
      </c>
    </row>
    <row r="13" spans="1:10" x14ac:dyDescent="0.3">
      <c r="A13" t="s">
        <v>59</v>
      </c>
      <c r="B13" t="s">
        <v>60</v>
      </c>
      <c r="C13" t="s">
        <v>572</v>
      </c>
      <c r="D13">
        <v>2011</v>
      </c>
      <c r="E13" t="s">
        <v>573</v>
      </c>
      <c r="F13" s="6">
        <v>73.784732980996964</v>
      </c>
    </row>
    <row r="14" spans="1:10" x14ac:dyDescent="0.3">
      <c r="A14" t="s">
        <v>59</v>
      </c>
      <c r="B14" t="s">
        <v>60</v>
      </c>
      <c r="C14" t="s">
        <v>572</v>
      </c>
      <c r="D14">
        <v>2012</v>
      </c>
      <c r="E14" t="s">
        <v>573</v>
      </c>
      <c r="F14" s="6">
        <v>72.659847121258309</v>
      </c>
    </row>
    <row r="15" spans="1:10" x14ac:dyDescent="0.3">
      <c r="A15" t="s">
        <v>59</v>
      </c>
      <c r="B15" t="s">
        <v>60</v>
      </c>
      <c r="C15" t="s">
        <v>572</v>
      </c>
      <c r="D15">
        <v>2013</v>
      </c>
      <c r="E15" t="s">
        <v>573</v>
      </c>
      <c r="F15" s="6">
        <v>70.097305728728315</v>
      </c>
    </row>
    <row r="16" spans="1:10" x14ac:dyDescent="0.3">
      <c r="A16" t="s">
        <v>59</v>
      </c>
      <c r="B16" t="s">
        <v>60</v>
      </c>
      <c r="C16" t="s">
        <v>572</v>
      </c>
      <c r="D16">
        <v>2014</v>
      </c>
      <c r="E16" t="s">
        <v>573</v>
      </c>
      <c r="F16" s="6">
        <v>54.706038867189001</v>
      </c>
    </row>
    <row r="17" spans="1:10" x14ac:dyDescent="0.3">
      <c r="A17" t="s">
        <v>59</v>
      </c>
      <c r="B17" t="s">
        <v>60</v>
      </c>
      <c r="C17" t="s">
        <v>572</v>
      </c>
      <c r="D17">
        <v>2015</v>
      </c>
      <c r="E17" t="s">
        <v>573</v>
      </c>
      <c r="F17" s="6">
        <v>20.596058849117203</v>
      </c>
    </row>
    <row r="18" spans="1:10" x14ac:dyDescent="0.3">
      <c r="A18" t="s">
        <v>59</v>
      </c>
      <c r="B18" t="s">
        <v>60</v>
      </c>
      <c r="C18" t="s">
        <v>572</v>
      </c>
      <c r="D18">
        <v>2016</v>
      </c>
      <c r="E18" t="s">
        <v>573</v>
      </c>
      <c r="F18" s="6">
        <v>7.1677245984443063</v>
      </c>
    </row>
    <row r="19" spans="1:10" x14ac:dyDescent="0.3">
      <c r="A19" t="s">
        <v>59</v>
      </c>
      <c r="B19" t="s">
        <v>60</v>
      </c>
      <c r="C19" t="s">
        <v>572</v>
      </c>
      <c r="D19">
        <v>2017</v>
      </c>
      <c r="E19" t="s">
        <v>573</v>
      </c>
      <c r="F19" s="6">
        <v>0</v>
      </c>
    </row>
    <row r="20" spans="1:10" x14ac:dyDescent="0.3">
      <c r="A20" t="s">
        <v>59</v>
      </c>
      <c r="B20" t="s">
        <v>60</v>
      </c>
      <c r="C20" t="s">
        <v>572</v>
      </c>
      <c r="D20">
        <v>2018</v>
      </c>
      <c r="E20" t="s">
        <v>573</v>
      </c>
      <c r="F20" s="6">
        <v>2.6202079355849111</v>
      </c>
    </row>
    <row r="21" spans="1:10" x14ac:dyDescent="0.3">
      <c r="A21" t="s">
        <v>59</v>
      </c>
      <c r="B21" t="s">
        <v>60</v>
      </c>
      <c r="C21" t="s">
        <v>572</v>
      </c>
      <c r="D21">
        <v>2019</v>
      </c>
      <c r="E21" t="s">
        <v>573</v>
      </c>
      <c r="F21" s="6">
        <v>2.5596211593114915</v>
      </c>
    </row>
    <row r="22" spans="1:10" x14ac:dyDescent="0.3">
      <c r="A22" t="s">
        <v>59</v>
      </c>
      <c r="B22" t="s">
        <v>60</v>
      </c>
      <c r="C22" t="s">
        <v>572</v>
      </c>
      <c r="D22">
        <v>2020</v>
      </c>
      <c r="E22" t="s">
        <v>573</v>
      </c>
      <c r="F22" s="6">
        <v>0</v>
      </c>
    </row>
    <row r="23" spans="1:10" x14ac:dyDescent="0.3">
      <c r="A23" t="s">
        <v>59</v>
      </c>
      <c r="B23" t="s">
        <v>60</v>
      </c>
      <c r="C23" t="s">
        <v>572</v>
      </c>
      <c r="D23">
        <v>2021</v>
      </c>
      <c r="E23" t="s">
        <v>573</v>
      </c>
      <c r="F23" s="6">
        <v>5.0502243009060148</v>
      </c>
    </row>
    <row r="24" spans="1:10" x14ac:dyDescent="0.3">
      <c r="A24" t="s">
        <v>59</v>
      </c>
      <c r="B24" t="s">
        <v>60</v>
      </c>
      <c r="C24" t="s">
        <v>572</v>
      </c>
      <c r="D24">
        <v>2022</v>
      </c>
      <c r="E24" t="s">
        <v>573</v>
      </c>
      <c r="F24" s="6">
        <v>13.849734145568506</v>
      </c>
    </row>
    <row r="25" spans="1:10" x14ac:dyDescent="0.3">
      <c r="A25" t="s">
        <v>59</v>
      </c>
      <c r="B25" t="s">
        <v>60</v>
      </c>
      <c r="C25" t="s">
        <v>572</v>
      </c>
      <c r="D25">
        <v>2023</v>
      </c>
      <c r="E25" t="s">
        <v>573</v>
      </c>
      <c r="F25" s="6">
        <v>19.581038096212612</v>
      </c>
    </row>
    <row r="26" spans="1:10" x14ac:dyDescent="0.3">
      <c r="A26" t="s">
        <v>59</v>
      </c>
      <c r="B26" t="s">
        <v>60</v>
      </c>
      <c r="C26" t="s">
        <v>572</v>
      </c>
      <c r="D26">
        <v>2024</v>
      </c>
      <c r="E26" t="s">
        <v>573</v>
      </c>
      <c r="F26" s="6"/>
    </row>
    <row r="27" spans="1:10" x14ac:dyDescent="0.3">
      <c r="A27" t="s">
        <v>65</v>
      </c>
      <c r="B27" t="s">
        <v>66</v>
      </c>
      <c r="C27" t="s">
        <v>574</v>
      </c>
      <c r="D27">
        <v>2012</v>
      </c>
      <c r="E27" t="s">
        <v>573</v>
      </c>
      <c r="F27" s="6">
        <v>1.9208695776048845E-2</v>
      </c>
      <c r="G27" s="6">
        <v>3.243686153972495E-2</v>
      </c>
      <c r="H27" s="6">
        <v>1.3228165763676107E-2</v>
      </c>
      <c r="I27" s="6"/>
      <c r="J27" s="6"/>
    </row>
    <row r="28" spans="1:10" x14ac:dyDescent="0.3">
      <c r="A28" t="s">
        <v>65</v>
      </c>
      <c r="B28" t="s">
        <v>66</v>
      </c>
      <c r="C28" t="s">
        <v>574</v>
      </c>
      <c r="D28">
        <v>2013</v>
      </c>
      <c r="E28" t="s">
        <v>573</v>
      </c>
      <c r="F28" s="6">
        <v>3.693580614988166</v>
      </c>
      <c r="G28" s="14">
        <v>3.6988641115444656</v>
      </c>
      <c r="H28" s="6">
        <v>5.283496556300009E-3</v>
      </c>
      <c r="I28" s="6"/>
      <c r="J28" s="6"/>
    </row>
    <row r="29" spans="1:10" x14ac:dyDescent="0.3">
      <c r="A29" t="s">
        <v>65</v>
      </c>
      <c r="B29" t="s">
        <v>66</v>
      </c>
      <c r="C29" t="s">
        <v>574</v>
      </c>
      <c r="D29">
        <v>2014</v>
      </c>
      <c r="E29" t="s">
        <v>573</v>
      </c>
      <c r="F29" s="6">
        <v>4.8407720000000003</v>
      </c>
      <c r="G29" s="14">
        <v>4.8782730000000001</v>
      </c>
      <c r="H29" s="6">
        <v>3.7501E-2</v>
      </c>
      <c r="I29" s="6"/>
      <c r="J29" s="6"/>
    </row>
    <row r="30" spans="1:10" x14ac:dyDescent="0.3">
      <c r="A30" t="s">
        <v>65</v>
      </c>
      <c r="B30" t="s">
        <v>66</v>
      </c>
      <c r="C30" t="s">
        <v>574</v>
      </c>
      <c r="D30">
        <v>2015</v>
      </c>
      <c r="E30" t="s">
        <v>573</v>
      </c>
      <c r="F30" s="6">
        <v>4.7058970000000002</v>
      </c>
      <c r="G30" s="14">
        <v>4.7583849999999996</v>
      </c>
      <c r="H30" s="6">
        <v>5.2488E-2</v>
      </c>
      <c r="I30" s="6"/>
      <c r="J30" s="6"/>
    </row>
    <row r="31" spans="1:10" x14ac:dyDescent="0.3">
      <c r="A31" t="s">
        <v>65</v>
      </c>
      <c r="B31" t="s">
        <v>66</v>
      </c>
      <c r="C31" t="s">
        <v>574</v>
      </c>
      <c r="D31">
        <v>2016</v>
      </c>
      <c r="E31" t="s">
        <v>573</v>
      </c>
      <c r="F31" s="6">
        <v>4.9233690000000001</v>
      </c>
      <c r="G31" s="14">
        <v>4.9906519999999999</v>
      </c>
      <c r="H31" s="6">
        <v>6.7282999999999996E-2</v>
      </c>
      <c r="I31" s="6"/>
      <c r="J31" s="6"/>
    </row>
    <row r="32" spans="1:10" x14ac:dyDescent="0.3">
      <c r="A32" t="s">
        <v>65</v>
      </c>
      <c r="B32" t="s">
        <v>66</v>
      </c>
      <c r="C32" t="s">
        <v>574</v>
      </c>
      <c r="D32">
        <v>2017</v>
      </c>
      <c r="E32" t="s">
        <v>573</v>
      </c>
      <c r="F32" s="6">
        <v>4.5391560000000002</v>
      </c>
      <c r="G32" s="14">
        <v>4.6529020000000001</v>
      </c>
      <c r="H32" s="6">
        <v>0.113746</v>
      </c>
      <c r="I32" s="6"/>
      <c r="J32" s="6"/>
    </row>
    <row r="33" spans="1:10" x14ac:dyDescent="0.3">
      <c r="A33" t="s">
        <v>65</v>
      </c>
      <c r="B33" t="s">
        <v>66</v>
      </c>
      <c r="C33" t="s">
        <v>574</v>
      </c>
      <c r="D33">
        <v>2018</v>
      </c>
      <c r="E33" t="s">
        <v>573</v>
      </c>
      <c r="F33" s="6">
        <v>4.4350940000000003</v>
      </c>
      <c r="G33" s="14">
        <v>4.5396039999999998</v>
      </c>
      <c r="H33" s="6">
        <v>0.10451000000000001</v>
      </c>
      <c r="I33" s="6"/>
      <c r="J33" s="6"/>
    </row>
    <row r="34" spans="1:10" x14ac:dyDescent="0.3">
      <c r="A34" t="s">
        <v>65</v>
      </c>
      <c r="B34" t="s">
        <v>66</v>
      </c>
      <c r="C34" t="s">
        <v>574</v>
      </c>
      <c r="D34">
        <v>2019</v>
      </c>
      <c r="E34" t="s">
        <v>573</v>
      </c>
      <c r="F34" s="6">
        <v>3.6687979999999998</v>
      </c>
      <c r="G34" s="14">
        <v>4.5873460000000001</v>
      </c>
      <c r="H34" s="6">
        <v>0.91854800000000003</v>
      </c>
      <c r="I34" s="6"/>
      <c r="J34" s="6"/>
    </row>
    <row r="35" spans="1:10" x14ac:dyDescent="0.3">
      <c r="A35" t="s">
        <v>65</v>
      </c>
      <c r="B35" t="s">
        <v>66</v>
      </c>
      <c r="C35" t="s">
        <v>574</v>
      </c>
      <c r="D35">
        <v>2020</v>
      </c>
      <c r="E35" t="s">
        <v>573</v>
      </c>
      <c r="F35" s="6">
        <v>2.2434099999999999</v>
      </c>
      <c r="G35" s="14">
        <v>2.9534229999999999</v>
      </c>
      <c r="H35" s="6">
        <v>0.71001300000000001</v>
      </c>
      <c r="I35" s="6"/>
      <c r="J35" s="6"/>
    </row>
    <row r="36" spans="1:10" x14ac:dyDescent="0.3">
      <c r="A36" t="s">
        <v>65</v>
      </c>
      <c r="B36" t="s">
        <v>66</v>
      </c>
      <c r="C36" t="s">
        <v>574</v>
      </c>
      <c r="D36">
        <v>2021</v>
      </c>
      <c r="E36" t="s">
        <v>573</v>
      </c>
      <c r="F36" s="6">
        <v>2.3063359999999999</v>
      </c>
      <c r="G36" s="14">
        <v>2.8084880000000001</v>
      </c>
      <c r="H36" s="6">
        <v>0.50215200000000004</v>
      </c>
      <c r="I36" s="6"/>
      <c r="J36" s="6"/>
    </row>
    <row r="37" spans="1:10" x14ac:dyDescent="0.3">
      <c r="A37" t="s">
        <v>65</v>
      </c>
      <c r="B37" t="s">
        <v>66</v>
      </c>
      <c r="C37" t="s">
        <v>574</v>
      </c>
      <c r="D37">
        <v>2022</v>
      </c>
      <c r="E37" t="s">
        <v>573</v>
      </c>
      <c r="F37" s="6">
        <v>3.6096900000000001</v>
      </c>
      <c r="G37" s="14">
        <v>3.6121720000000002</v>
      </c>
      <c r="H37" s="6">
        <v>2.4819999999999998E-3</v>
      </c>
      <c r="I37" s="6"/>
      <c r="J37" s="6"/>
    </row>
    <row r="38" spans="1:10" x14ac:dyDescent="0.3">
      <c r="A38" t="s">
        <v>65</v>
      </c>
      <c r="B38" t="s">
        <v>66</v>
      </c>
      <c r="C38" t="s">
        <v>574</v>
      </c>
      <c r="D38">
        <v>2023</v>
      </c>
      <c r="E38" t="s">
        <v>573</v>
      </c>
      <c r="F38" s="6">
        <v>3.80904</v>
      </c>
      <c r="G38" s="6">
        <v>3.8155199999999998</v>
      </c>
      <c r="H38" s="6">
        <v>6.4799999999999996E-3</v>
      </c>
      <c r="I38" s="6"/>
      <c r="J38" s="6"/>
    </row>
    <row r="39" spans="1:10" x14ac:dyDescent="0.3">
      <c r="A39" t="s">
        <v>65</v>
      </c>
      <c r="B39" t="s">
        <v>66</v>
      </c>
      <c r="C39" t="s">
        <v>574</v>
      </c>
      <c r="D39">
        <v>2024</v>
      </c>
      <c r="E39" t="s">
        <v>573</v>
      </c>
      <c r="F39" s="6">
        <v>3.9848720000000002</v>
      </c>
      <c r="G39" s="6">
        <v>3.9901580000000001</v>
      </c>
      <c r="H39" s="6">
        <v>5.2859999999999999E-3</v>
      </c>
      <c r="I39" s="6"/>
      <c r="J39" s="6"/>
    </row>
    <row r="40" spans="1:10" x14ac:dyDescent="0.3">
      <c r="A40" t="s">
        <v>75</v>
      </c>
      <c r="B40" t="s">
        <v>76</v>
      </c>
      <c r="C40" t="s">
        <v>575</v>
      </c>
      <c r="D40">
        <v>2006</v>
      </c>
      <c r="E40" t="s">
        <v>573</v>
      </c>
      <c r="F40" s="6">
        <v>13.677267534806807</v>
      </c>
      <c r="G40" s="6">
        <v>13.677474617330322</v>
      </c>
      <c r="H40" s="6">
        <v>2.0708252351516181E-4</v>
      </c>
      <c r="I40" s="6"/>
      <c r="J40" s="6"/>
    </row>
    <row r="41" spans="1:10" x14ac:dyDescent="0.3">
      <c r="A41" t="s">
        <v>75</v>
      </c>
      <c r="B41" t="s">
        <v>76</v>
      </c>
      <c r="C41" t="s">
        <v>575</v>
      </c>
      <c r="D41">
        <v>2007</v>
      </c>
      <c r="E41" t="s">
        <v>573</v>
      </c>
      <c r="F41" s="6">
        <v>43.902498006397934</v>
      </c>
      <c r="G41" s="6">
        <v>44.400789742551289</v>
      </c>
      <c r="H41" s="6">
        <v>0.49829173615335631</v>
      </c>
      <c r="I41" s="6"/>
      <c r="J41" s="6"/>
    </row>
    <row r="42" spans="1:10" x14ac:dyDescent="0.3">
      <c r="A42" t="s">
        <v>75</v>
      </c>
      <c r="B42" t="s">
        <v>76</v>
      </c>
      <c r="C42" t="s">
        <v>575</v>
      </c>
      <c r="D42">
        <v>2008</v>
      </c>
      <c r="E42" t="s">
        <v>573</v>
      </c>
      <c r="F42" s="6">
        <v>53.800437518558475</v>
      </c>
      <c r="G42" s="6">
        <v>53.90127900363872</v>
      </c>
      <c r="H42" s="6">
        <v>0.10084148508024809</v>
      </c>
      <c r="I42" s="6"/>
      <c r="J42" s="6"/>
    </row>
    <row r="43" spans="1:10" x14ac:dyDescent="0.3">
      <c r="A43" t="s">
        <v>75</v>
      </c>
      <c r="B43" t="s">
        <v>76</v>
      </c>
      <c r="C43" t="s">
        <v>575</v>
      </c>
      <c r="D43">
        <v>2009</v>
      </c>
      <c r="E43" t="s">
        <v>573</v>
      </c>
      <c r="F43" s="6">
        <v>47.544911085651179</v>
      </c>
      <c r="G43" s="6">
        <v>48.945441740648221</v>
      </c>
      <c r="H43" s="6">
        <v>1.4005306549970402</v>
      </c>
      <c r="I43" s="6"/>
      <c r="J43" s="6"/>
    </row>
    <row r="44" spans="1:10" x14ac:dyDescent="0.3">
      <c r="A44" t="s">
        <v>75</v>
      </c>
      <c r="B44" t="s">
        <v>76</v>
      </c>
      <c r="C44" t="s">
        <v>575</v>
      </c>
      <c r="D44">
        <v>2010</v>
      </c>
      <c r="E44" t="s">
        <v>573</v>
      </c>
      <c r="F44" s="6">
        <v>61.71757907096206</v>
      </c>
      <c r="G44" s="6">
        <v>64.79633906949438</v>
      </c>
      <c r="H44" s="6">
        <v>3.0787599985323255</v>
      </c>
      <c r="I44" s="6"/>
      <c r="J44" s="6"/>
    </row>
    <row r="45" spans="1:10" x14ac:dyDescent="0.3">
      <c r="A45" t="s">
        <v>75</v>
      </c>
      <c r="B45" t="s">
        <v>76</v>
      </c>
      <c r="C45" t="s">
        <v>575</v>
      </c>
      <c r="D45">
        <v>2011</v>
      </c>
      <c r="E45" t="s">
        <v>573</v>
      </c>
      <c r="F45" s="6">
        <v>77.678857743130436</v>
      </c>
      <c r="G45" s="6">
        <v>80.088659373558471</v>
      </c>
      <c r="H45" s="6">
        <v>2.4098016304280554</v>
      </c>
      <c r="I45" s="6"/>
      <c r="J45" s="6"/>
    </row>
    <row r="46" spans="1:10" x14ac:dyDescent="0.3">
      <c r="A46" t="s">
        <v>75</v>
      </c>
      <c r="B46" t="s">
        <v>76</v>
      </c>
      <c r="C46" t="s">
        <v>575</v>
      </c>
      <c r="D46">
        <v>2012</v>
      </c>
      <c r="E46" t="s">
        <v>573</v>
      </c>
      <c r="F46" s="6">
        <v>79.671037856552445</v>
      </c>
      <c r="G46" s="6">
        <v>81.021309667176808</v>
      </c>
      <c r="H46" s="6">
        <v>1.3502718106243614</v>
      </c>
      <c r="I46" s="6"/>
      <c r="J46" s="6"/>
    </row>
    <row r="47" spans="1:10" x14ac:dyDescent="0.3">
      <c r="A47" t="s">
        <v>75</v>
      </c>
      <c r="B47" t="s">
        <v>76</v>
      </c>
      <c r="C47" t="s">
        <v>575</v>
      </c>
      <c r="D47">
        <v>2013</v>
      </c>
      <c r="E47" t="s">
        <v>573</v>
      </c>
      <c r="F47" s="6">
        <v>85.731426480653909</v>
      </c>
      <c r="G47" s="6">
        <v>91.61008859450709</v>
      </c>
      <c r="H47" s="6">
        <v>5.8786621138531601</v>
      </c>
      <c r="I47" s="6"/>
      <c r="J47" s="6"/>
    </row>
    <row r="48" spans="1:10" x14ac:dyDescent="0.3">
      <c r="A48" t="s">
        <v>75</v>
      </c>
      <c r="B48" t="s">
        <v>76</v>
      </c>
      <c r="C48" t="s">
        <v>575</v>
      </c>
      <c r="D48">
        <v>2014</v>
      </c>
      <c r="E48" t="s">
        <v>573</v>
      </c>
      <c r="F48" s="6">
        <v>91.530177227832539</v>
      </c>
      <c r="G48" s="6">
        <v>92.218707492497941</v>
      </c>
      <c r="H48" s="6">
        <v>0.68853026466539802</v>
      </c>
      <c r="I48" s="6"/>
      <c r="J48" s="6"/>
    </row>
    <row r="49" spans="1:10" x14ac:dyDescent="0.3">
      <c r="A49" t="s">
        <v>75</v>
      </c>
      <c r="B49" t="s">
        <v>76</v>
      </c>
      <c r="C49" t="s">
        <v>575</v>
      </c>
      <c r="D49">
        <v>2015</v>
      </c>
      <c r="E49" t="s">
        <v>573</v>
      </c>
      <c r="F49" s="6">
        <v>88.007366143536487</v>
      </c>
      <c r="G49" s="6">
        <v>88.982340788376433</v>
      </c>
      <c r="H49" s="6">
        <v>0.97497464483994312</v>
      </c>
      <c r="I49" s="6"/>
      <c r="J49" s="6"/>
    </row>
    <row r="50" spans="1:10" x14ac:dyDescent="0.3">
      <c r="A50" t="s">
        <v>75</v>
      </c>
      <c r="B50" t="s">
        <v>76</v>
      </c>
      <c r="C50" t="s">
        <v>575</v>
      </c>
      <c r="D50">
        <v>2016</v>
      </c>
      <c r="E50" t="s">
        <v>573</v>
      </c>
      <c r="F50" s="6">
        <v>91.238754577338639</v>
      </c>
      <c r="G50" s="6">
        <v>92.395985322781371</v>
      </c>
      <c r="H50" s="6">
        <v>1.1572307454427326</v>
      </c>
      <c r="I50" s="6"/>
      <c r="J50" s="6"/>
    </row>
    <row r="51" spans="1:10" x14ac:dyDescent="0.3">
      <c r="A51" t="s">
        <v>75</v>
      </c>
      <c r="B51" t="s">
        <v>76</v>
      </c>
      <c r="C51" t="s">
        <v>575</v>
      </c>
      <c r="D51">
        <v>2017</v>
      </c>
      <c r="E51" t="s">
        <v>573</v>
      </c>
      <c r="F51" s="6">
        <v>102.25054454542529</v>
      </c>
      <c r="G51" s="6">
        <v>103.46522880104969</v>
      </c>
      <c r="H51" s="6">
        <v>1.2146842556244146</v>
      </c>
      <c r="I51" s="6"/>
      <c r="J51" s="6"/>
    </row>
    <row r="52" spans="1:10" x14ac:dyDescent="0.3">
      <c r="A52" t="s">
        <v>75</v>
      </c>
      <c r="B52" t="s">
        <v>76</v>
      </c>
      <c r="C52" t="s">
        <v>575</v>
      </c>
      <c r="D52">
        <v>2018</v>
      </c>
      <c r="E52" t="s">
        <v>573</v>
      </c>
      <c r="F52" s="6">
        <v>108.89559418176168</v>
      </c>
      <c r="G52" s="6">
        <v>110.83531752554521</v>
      </c>
      <c r="H52" s="6">
        <v>1.9397233437835286</v>
      </c>
      <c r="I52" s="6"/>
      <c r="J52" s="6"/>
    </row>
    <row r="53" spans="1:10" x14ac:dyDescent="0.3">
      <c r="A53" t="s">
        <v>75</v>
      </c>
      <c r="B53" t="s">
        <v>76</v>
      </c>
      <c r="C53" t="s">
        <v>575</v>
      </c>
      <c r="D53">
        <v>2019</v>
      </c>
      <c r="E53" t="s">
        <v>573</v>
      </c>
      <c r="F53" s="6">
        <v>112.94670863610675</v>
      </c>
      <c r="G53" s="6">
        <v>113.73994148099383</v>
      </c>
      <c r="H53" s="6">
        <v>0.79323284488709478</v>
      </c>
      <c r="I53" s="6"/>
      <c r="J53" s="6"/>
    </row>
    <row r="54" spans="1:10" x14ac:dyDescent="0.3">
      <c r="A54" t="s">
        <v>75</v>
      </c>
      <c r="B54" t="s">
        <v>76</v>
      </c>
      <c r="C54" t="s">
        <v>575</v>
      </c>
      <c r="D54">
        <v>2020</v>
      </c>
      <c r="E54" t="s">
        <v>573</v>
      </c>
      <c r="F54" s="6">
        <v>110.83053021674574</v>
      </c>
      <c r="G54" s="6">
        <v>111.87551244421353</v>
      </c>
      <c r="H54" s="6">
        <v>1.0449822274677669</v>
      </c>
      <c r="I54" s="6"/>
      <c r="J54" s="6"/>
    </row>
    <row r="55" spans="1:10" x14ac:dyDescent="0.3">
      <c r="A55" t="s">
        <v>75</v>
      </c>
      <c r="B55" t="s">
        <v>76</v>
      </c>
      <c r="C55" t="s">
        <v>575</v>
      </c>
      <c r="D55">
        <v>2021</v>
      </c>
      <c r="E55" t="s">
        <v>573</v>
      </c>
      <c r="F55" s="6">
        <v>147.80345456512202</v>
      </c>
      <c r="G55" s="6">
        <v>149.35789994771727</v>
      </c>
      <c r="H55" s="6">
        <v>1.5544453825952658</v>
      </c>
      <c r="I55" s="6"/>
      <c r="J55" s="6"/>
    </row>
    <row r="56" spans="1:10" x14ac:dyDescent="0.3">
      <c r="A56" t="s">
        <v>75</v>
      </c>
      <c r="B56" t="s">
        <v>76</v>
      </c>
      <c r="C56" t="s">
        <v>575</v>
      </c>
      <c r="D56">
        <v>2022</v>
      </c>
      <c r="E56" t="s">
        <v>573</v>
      </c>
      <c r="F56" s="6">
        <v>134.78363959979578</v>
      </c>
      <c r="G56" s="6">
        <v>139.16294296035693</v>
      </c>
      <c r="H56" s="6">
        <v>4.3793033605611296</v>
      </c>
      <c r="I56" s="6"/>
      <c r="J56" s="6"/>
    </row>
    <row r="57" spans="1:10" x14ac:dyDescent="0.3">
      <c r="A57" t="s">
        <v>75</v>
      </c>
      <c r="B57" t="s">
        <v>76</v>
      </c>
      <c r="C57" t="s">
        <v>575</v>
      </c>
      <c r="D57">
        <v>2023</v>
      </c>
      <c r="E57" t="s">
        <v>573</v>
      </c>
      <c r="F57" s="6">
        <v>136.87512681114887</v>
      </c>
      <c r="G57" s="6">
        <v>139.80809212917163</v>
      </c>
      <c r="H57" s="6">
        <v>2.9329653180227631</v>
      </c>
      <c r="I57" s="6"/>
      <c r="J57" s="6"/>
    </row>
    <row r="58" spans="1:10" x14ac:dyDescent="0.3">
      <c r="A58" t="s">
        <v>75</v>
      </c>
      <c r="B58" t="s">
        <v>76</v>
      </c>
      <c r="C58" t="s">
        <v>575</v>
      </c>
      <c r="D58">
        <v>2024</v>
      </c>
      <c r="E58" t="s">
        <v>573</v>
      </c>
      <c r="F58" s="6">
        <v>148.34356501895923</v>
      </c>
      <c r="G58" s="6">
        <v>151.2232818911439</v>
      </c>
      <c r="H58" s="6">
        <v>2.8797168721846589</v>
      </c>
      <c r="I58" s="6"/>
      <c r="J58" s="6"/>
    </row>
    <row r="59" spans="1:10" x14ac:dyDescent="0.3">
      <c r="A59" t="s">
        <v>81</v>
      </c>
      <c r="B59" t="s">
        <v>82</v>
      </c>
      <c r="C59" t="s">
        <v>576</v>
      </c>
      <c r="D59">
        <v>1967</v>
      </c>
      <c r="E59" t="s">
        <v>573</v>
      </c>
      <c r="F59" s="6"/>
      <c r="G59" s="6"/>
      <c r="H59" s="6"/>
      <c r="I59" s="6"/>
      <c r="J59" s="6"/>
    </row>
    <row r="60" spans="1:10" x14ac:dyDescent="0.3">
      <c r="A60" t="s">
        <v>81</v>
      </c>
      <c r="B60" t="s">
        <v>82</v>
      </c>
      <c r="C60" t="s">
        <v>576</v>
      </c>
      <c r="D60">
        <v>1968</v>
      </c>
      <c r="E60" t="s">
        <v>573</v>
      </c>
      <c r="F60" s="6"/>
      <c r="G60" s="6"/>
      <c r="H60" s="6"/>
      <c r="I60" s="6"/>
      <c r="J60" s="6"/>
    </row>
    <row r="61" spans="1:10" x14ac:dyDescent="0.3">
      <c r="A61" t="s">
        <v>81</v>
      </c>
      <c r="B61" t="s">
        <v>82</v>
      </c>
      <c r="C61" t="s">
        <v>576</v>
      </c>
      <c r="D61">
        <v>1969</v>
      </c>
      <c r="E61" t="s">
        <v>573</v>
      </c>
      <c r="F61" s="6"/>
      <c r="G61" s="6"/>
      <c r="H61" s="6"/>
      <c r="I61" s="6"/>
      <c r="J61" s="6"/>
    </row>
    <row r="62" spans="1:10" x14ac:dyDescent="0.3">
      <c r="A62" t="s">
        <v>81</v>
      </c>
      <c r="B62" t="s">
        <v>82</v>
      </c>
      <c r="C62" t="s">
        <v>576</v>
      </c>
      <c r="D62">
        <v>1970</v>
      </c>
      <c r="E62" t="s">
        <v>573</v>
      </c>
      <c r="F62" s="6"/>
      <c r="G62" s="6"/>
      <c r="H62" s="6"/>
      <c r="I62" s="6"/>
      <c r="J62" s="6"/>
    </row>
    <row r="63" spans="1:10" x14ac:dyDescent="0.3">
      <c r="A63" t="s">
        <v>81</v>
      </c>
      <c r="B63" t="s">
        <v>82</v>
      </c>
      <c r="C63" t="s">
        <v>576</v>
      </c>
      <c r="D63">
        <v>1971</v>
      </c>
      <c r="E63" t="s">
        <v>573</v>
      </c>
      <c r="F63" s="6"/>
      <c r="G63" s="6"/>
      <c r="H63" s="6"/>
      <c r="I63" s="6"/>
      <c r="J63" s="6"/>
    </row>
    <row r="64" spans="1:10" x14ac:dyDescent="0.3">
      <c r="A64" t="s">
        <v>81</v>
      </c>
      <c r="B64" t="s">
        <v>82</v>
      </c>
      <c r="C64" t="s">
        <v>576</v>
      </c>
      <c r="D64">
        <v>1972</v>
      </c>
      <c r="E64" t="s">
        <v>573</v>
      </c>
      <c r="F64" s="6"/>
      <c r="G64" s="6"/>
      <c r="H64" s="6"/>
      <c r="I64" s="6"/>
      <c r="J64" s="6"/>
    </row>
    <row r="65" spans="1:10" x14ac:dyDescent="0.3">
      <c r="A65" t="s">
        <v>81</v>
      </c>
      <c r="B65" t="s">
        <v>82</v>
      </c>
      <c r="C65" t="s">
        <v>576</v>
      </c>
      <c r="D65">
        <v>1973</v>
      </c>
      <c r="E65" t="s">
        <v>573</v>
      </c>
      <c r="F65" s="6"/>
      <c r="G65" s="6"/>
      <c r="H65" s="6"/>
      <c r="I65" s="6"/>
      <c r="J65" s="6"/>
    </row>
    <row r="66" spans="1:10" x14ac:dyDescent="0.3">
      <c r="A66" t="s">
        <v>81</v>
      </c>
      <c r="B66" t="s">
        <v>82</v>
      </c>
      <c r="C66" t="s">
        <v>576</v>
      </c>
      <c r="D66">
        <v>1974</v>
      </c>
      <c r="E66" t="s">
        <v>573</v>
      </c>
      <c r="F66" s="6"/>
      <c r="G66" s="6"/>
      <c r="H66" s="6"/>
      <c r="I66" s="6"/>
      <c r="J66" s="6"/>
    </row>
    <row r="67" spans="1:10" x14ac:dyDescent="0.3">
      <c r="A67" t="s">
        <v>81</v>
      </c>
      <c r="B67" t="s">
        <v>82</v>
      </c>
      <c r="C67" t="s">
        <v>576</v>
      </c>
      <c r="D67">
        <v>1975</v>
      </c>
      <c r="E67" t="s">
        <v>573</v>
      </c>
      <c r="F67" s="6"/>
      <c r="G67" s="6"/>
      <c r="H67" s="6"/>
      <c r="I67" s="6"/>
      <c r="J67" s="6"/>
    </row>
    <row r="68" spans="1:10" x14ac:dyDescent="0.3">
      <c r="A68" t="s">
        <v>81</v>
      </c>
      <c r="B68" t="s">
        <v>82</v>
      </c>
      <c r="C68" t="s">
        <v>576</v>
      </c>
      <c r="D68">
        <v>1976</v>
      </c>
      <c r="E68" t="s">
        <v>573</v>
      </c>
      <c r="F68" s="6"/>
      <c r="G68" s="6"/>
      <c r="H68" s="6"/>
      <c r="I68" s="6"/>
      <c r="J68" s="6"/>
    </row>
    <row r="69" spans="1:10" x14ac:dyDescent="0.3">
      <c r="A69" t="s">
        <v>81</v>
      </c>
      <c r="B69" t="s">
        <v>82</v>
      </c>
      <c r="C69" t="s">
        <v>576</v>
      </c>
      <c r="D69">
        <v>1977</v>
      </c>
      <c r="E69" t="s">
        <v>573</v>
      </c>
      <c r="F69" s="6"/>
      <c r="G69" s="6"/>
      <c r="H69" s="6"/>
      <c r="I69" s="6"/>
      <c r="J69" s="6"/>
    </row>
    <row r="70" spans="1:10" x14ac:dyDescent="0.3">
      <c r="A70" t="s">
        <v>81</v>
      </c>
      <c r="B70" t="s">
        <v>82</v>
      </c>
      <c r="C70" t="s">
        <v>576</v>
      </c>
      <c r="D70">
        <v>1978</v>
      </c>
      <c r="E70" t="s">
        <v>573</v>
      </c>
      <c r="F70" s="6"/>
      <c r="G70" s="6"/>
      <c r="H70" s="6"/>
      <c r="I70" s="6"/>
      <c r="J70" s="6"/>
    </row>
    <row r="71" spans="1:10" x14ac:dyDescent="0.3">
      <c r="A71" t="s">
        <v>81</v>
      </c>
      <c r="B71" t="s">
        <v>82</v>
      </c>
      <c r="C71" t="s">
        <v>576</v>
      </c>
      <c r="D71">
        <v>1979</v>
      </c>
      <c r="E71" t="s">
        <v>573</v>
      </c>
      <c r="F71" s="6"/>
      <c r="G71" s="6"/>
      <c r="H71" s="6"/>
      <c r="I71" s="6"/>
      <c r="J71" s="6"/>
    </row>
    <row r="72" spans="1:10" x14ac:dyDescent="0.3">
      <c r="A72" t="s">
        <v>81</v>
      </c>
      <c r="B72" t="s">
        <v>82</v>
      </c>
      <c r="C72" t="s">
        <v>576</v>
      </c>
      <c r="D72">
        <v>1980</v>
      </c>
      <c r="E72" t="s">
        <v>573</v>
      </c>
      <c r="F72" s="6"/>
      <c r="G72" s="6"/>
      <c r="H72" s="6"/>
      <c r="I72" s="6"/>
      <c r="J72" s="6"/>
    </row>
    <row r="73" spans="1:10" x14ac:dyDescent="0.3">
      <c r="A73" t="s">
        <v>81</v>
      </c>
      <c r="B73" t="s">
        <v>82</v>
      </c>
      <c r="C73" t="s">
        <v>576</v>
      </c>
      <c r="D73">
        <v>1981</v>
      </c>
      <c r="E73" t="s">
        <v>573</v>
      </c>
      <c r="F73" s="6"/>
      <c r="G73" s="6"/>
      <c r="H73" s="6"/>
      <c r="I73" s="6"/>
      <c r="J73" s="6"/>
    </row>
    <row r="74" spans="1:10" x14ac:dyDescent="0.3">
      <c r="A74" t="s">
        <v>81</v>
      </c>
      <c r="B74" t="s">
        <v>82</v>
      </c>
      <c r="C74" t="s">
        <v>576</v>
      </c>
      <c r="D74">
        <v>1982</v>
      </c>
      <c r="E74" t="s">
        <v>573</v>
      </c>
      <c r="F74" s="6"/>
      <c r="G74" s="6"/>
      <c r="H74" s="6"/>
      <c r="I74" s="6"/>
      <c r="J74" s="6"/>
    </row>
    <row r="75" spans="1:10" x14ac:dyDescent="0.3">
      <c r="A75" t="s">
        <v>81</v>
      </c>
      <c r="B75" t="s">
        <v>82</v>
      </c>
      <c r="C75" t="s">
        <v>576</v>
      </c>
      <c r="D75">
        <v>1983</v>
      </c>
      <c r="E75" t="s">
        <v>573</v>
      </c>
      <c r="F75" s="6"/>
      <c r="G75" s="6"/>
      <c r="H75" s="6"/>
      <c r="I75" s="6"/>
      <c r="J75" s="6"/>
    </row>
    <row r="76" spans="1:10" x14ac:dyDescent="0.3">
      <c r="A76" t="s">
        <v>81</v>
      </c>
      <c r="B76" t="s">
        <v>82</v>
      </c>
      <c r="C76" t="s">
        <v>576</v>
      </c>
      <c r="D76">
        <v>1984</v>
      </c>
      <c r="E76" t="s">
        <v>573</v>
      </c>
      <c r="F76" s="6"/>
      <c r="G76" s="6"/>
      <c r="H76" s="6"/>
      <c r="I76" s="6"/>
      <c r="J76" s="6"/>
    </row>
    <row r="77" spans="1:10" x14ac:dyDescent="0.3">
      <c r="A77" t="s">
        <v>81</v>
      </c>
      <c r="B77" t="s">
        <v>82</v>
      </c>
      <c r="C77" t="s">
        <v>576</v>
      </c>
      <c r="D77">
        <v>1985</v>
      </c>
      <c r="E77" t="s">
        <v>573</v>
      </c>
      <c r="F77" s="6"/>
      <c r="G77" s="6"/>
      <c r="H77" s="6"/>
      <c r="I77" s="6"/>
      <c r="J77" s="6"/>
    </row>
    <row r="78" spans="1:10" x14ac:dyDescent="0.3">
      <c r="A78" t="s">
        <v>81</v>
      </c>
      <c r="B78" t="s">
        <v>82</v>
      </c>
      <c r="C78" t="s">
        <v>576</v>
      </c>
      <c r="D78">
        <v>1986</v>
      </c>
      <c r="E78" t="s">
        <v>573</v>
      </c>
      <c r="F78" s="6"/>
      <c r="G78" s="6"/>
      <c r="H78" s="6"/>
      <c r="I78" s="6"/>
      <c r="J78" s="6"/>
    </row>
    <row r="79" spans="1:10" x14ac:dyDescent="0.3">
      <c r="A79" t="s">
        <v>81</v>
      </c>
      <c r="B79" t="s">
        <v>82</v>
      </c>
      <c r="C79" t="s">
        <v>576</v>
      </c>
      <c r="D79">
        <v>1987</v>
      </c>
      <c r="E79" t="s">
        <v>573</v>
      </c>
      <c r="F79" s="6"/>
      <c r="G79" s="6"/>
      <c r="H79" s="6"/>
      <c r="I79" s="6"/>
      <c r="J79" s="6"/>
    </row>
    <row r="80" spans="1:10" x14ac:dyDescent="0.3">
      <c r="A80" t="s">
        <v>81</v>
      </c>
      <c r="B80" t="s">
        <v>82</v>
      </c>
      <c r="C80" t="s">
        <v>576</v>
      </c>
      <c r="D80">
        <v>1988</v>
      </c>
      <c r="E80" t="s">
        <v>573</v>
      </c>
      <c r="F80" s="6"/>
      <c r="G80" s="6"/>
      <c r="H80" s="6"/>
      <c r="I80" s="6"/>
      <c r="J80" s="6"/>
    </row>
    <row r="81" spans="1:10" x14ac:dyDescent="0.3">
      <c r="A81" t="s">
        <v>81</v>
      </c>
      <c r="B81" t="s">
        <v>82</v>
      </c>
      <c r="C81" t="s">
        <v>576</v>
      </c>
      <c r="D81">
        <v>1989</v>
      </c>
      <c r="E81" t="s">
        <v>573</v>
      </c>
      <c r="F81" s="6"/>
      <c r="G81" s="6"/>
      <c r="H81" s="6"/>
      <c r="I81" s="6"/>
      <c r="J81" s="6"/>
    </row>
    <row r="82" spans="1:10" x14ac:dyDescent="0.3">
      <c r="A82" t="s">
        <v>81</v>
      </c>
      <c r="B82" t="s">
        <v>82</v>
      </c>
      <c r="C82" t="s">
        <v>576</v>
      </c>
      <c r="D82">
        <v>1990</v>
      </c>
      <c r="E82" t="s">
        <v>573</v>
      </c>
      <c r="F82" s="6"/>
      <c r="G82" s="6"/>
      <c r="H82" s="6"/>
      <c r="I82" s="6"/>
      <c r="J82" s="6"/>
    </row>
    <row r="83" spans="1:10" x14ac:dyDescent="0.3">
      <c r="A83" t="s">
        <v>81</v>
      </c>
      <c r="B83" t="s">
        <v>82</v>
      </c>
      <c r="C83" t="s">
        <v>576</v>
      </c>
      <c r="D83">
        <v>1991</v>
      </c>
      <c r="E83" t="s">
        <v>573</v>
      </c>
      <c r="F83" s="6"/>
      <c r="G83" s="6"/>
      <c r="H83" s="6"/>
      <c r="I83" s="6"/>
      <c r="J83" s="6"/>
    </row>
    <row r="84" spans="1:10" x14ac:dyDescent="0.3">
      <c r="A84" t="s">
        <v>81</v>
      </c>
      <c r="B84" t="s">
        <v>82</v>
      </c>
      <c r="C84" t="s">
        <v>576</v>
      </c>
      <c r="D84">
        <v>1992</v>
      </c>
      <c r="E84" t="s">
        <v>573</v>
      </c>
      <c r="F84" s="6"/>
      <c r="G84" s="6"/>
      <c r="H84" s="6"/>
      <c r="I84" s="6"/>
      <c r="J84" s="6"/>
    </row>
    <row r="85" spans="1:10" x14ac:dyDescent="0.3">
      <c r="A85" t="s">
        <v>81</v>
      </c>
      <c r="B85" t="s">
        <v>82</v>
      </c>
      <c r="C85" t="s">
        <v>576</v>
      </c>
      <c r="D85">
        <v>1993</v>
      </c>
      <c r="E85" t="s">
        <v>573</v>
      </c>
      <c r="F85" s="6"/>
      <c r="G85" s="6"/>
      <c r="H85" s="6"/>
      <c r="I85" s="6"/>
      <c r="J85" s="6"/>
    </row>
    <row r="86" spans="1:10" x14ac:dyDescent="0.3">
      <c r="A86" t="s">
        <v>81</v>
      </c>
      <c r="B86" t="s">
        <v>82</v>
      </c>
      <c r="C86" t="s">
        <v>576</v>
      </c>
      <c r="D86">
        <v>1994</v>
      </c>
      <c r="E86" t="s">
        <v>573</v>
      </c>
      <c r="F86" s="6"/>
      <c r="G86" s="6"/>
      <c r="H86" s="6"/>
      <c r="I86" s="6"/>
      <c r="J86" s="6"/>
    </row>
    <row r="87" spans="1:10" x14ac:dyDescent="0.3">
      <c r="A87" t="s">
        <v>81</v>
      </c>
      <c r="B87" t="s">
        <v>82</v>
      </c>
      <c r="C87" t="s">
        <v>576</v>
      </c>
      <c r="D87">
        <v>1995</v>
      </c>
      <c r="E87" t="s">
        <v>573</v>
      </c>
      <c r="F87" s="6"/>
      <c r="G87" s="6"/>
      <c r="H87" s="6"/>
      <c r="I87" s="6"/>
      <c r="J87" s="6"/>
    </row>
    <row r="88" spans="1:10" x14ac:dyDescent="0.3">
      <c r="A88" t="s">
        <v>81</v>
      </c>
      <c r="B88" t="s">
        <v>82</v>
      </c>
      <c r="C88" t="s">
        <v>576</v>
      </c>
      <c r="D88">
        <v>1996</v>
      </c>
      <c r="E88" t="s">
        <v>573</v>
      </c>
      <c r="F88" s="6"/>
      <c r="G88" s="6"/>
      <c r="H88" s="6"/>
      <c r="I88" s="6"/>
      <c r="J88" s="6"/>
    </row>
    <row r="89" spans="1:10" x14ac:dyDescent="0.3">
      <c r="A89" t="s">
        <v>81</v>
      </c>
      <c r="B89" t="s">
        <v>82</v>
      </c>
      <c r="C89" t="s">
        <v>576</v>
      </c>
      <c r="D89">
        <v>1997</v>
      </c>
      <c r="E89" t="s">
        <v>573</v>
      </c>
      <c r="F89" s="6"/>
      <c r="G89" s="6"/>
      <c r="H89" s="6"/>
      <c r="I89" s="6"/>
      <c r="J89" s="6"/>
    </row>
    <row r="90" spans="1:10" x14ac:dyDescent="0.3">
      <c r="A90" t="s">
        <v>81</v>
      </c>
      <c r="B90" t="s">
        <v>82</v>
      </c>
      <c r="C90" t="s">
        <v>576</v>
      </c>
      <c r="D90">
        <v>1998</v>
      </c>
      <c r="E90" t="s">
        <v>573</v>
      </c>
      <c r="F90" s="6"/>
      <c r="G90" s="6"/>
      <c r="H90" s="6"/>
      <c r="I90" s="6"/>
      <c r="J90" s="6"/>
    </row>
    <row r="91" spans="1:10" x14ac:dyDescent="0.3">
      <c r="A91" t="s">
        <v>81</v>
      </c>
      <c r="B91" t="s">
        <v>82</v>
      </c>
      <c r="C91" t="s">
        <v>576</v>
      </c>
      <c r="D91">
        <v>1999</v>
      </c>
      <c r="E91" t="s">
        <v>573</v>
      </c>
      <c r="F91" s="6"/>
      <c r="G91" s="6"/>
      <c r="H91" s="6"/>
      <c r="I91" s="6"/>
      <c r="J91" s="6"/>
    </row>
    <row r="92" spans="1:10" x14ac:dyDescent="0.3">
      <c r="A92" t="s">
        <v>81</v>
      </c>
      <c r="B92" t="s">
        <v>82</v>
      </c>
      <c r="C92" t="s">
        <v>576</v>
      </c>
      <c r="D92">
        <v>2000</v>
      </c>
      <c r="E92" t="s">
        <v>573</v>
      </c>
      <c r="F92" s="6"/>
      <c r="G92" s="6"/>
      <c r="H92" s="6"/>
      <c r="I92" s="6"/>
      <c r="J92" s="6"/>
    </row>
    <row r="93" spans="1:10" x14ac:dyDescent="0.3">
      <c r="A93" t="s">
        <v>81</v>
      </c>
      <c r="B93" t="s">
        <v>82</v>
      </c>
      <c r="C93" t="s">
        <v>576</v>
      </c>
      <c r="D93">
        <v>2001</v>
      </c>
      <c r="E93" t="s">
        <v>573</v>
      </c>
      <c r="F93" s="6"/>
      <c r="G93" s="6"/>
      <c r="H93" s="6"/>
      <c r="I93" s="6"/>
      <c r="J93" s="6"/>
    </row>
    <row r="94" spans="1:10" x14ac:dyDescent="0.3">
      <c r="A94" t="s">
        <v>81</v>
      </c>
      <c r="B94" t="s">
        <v>82</v>
      </c>
      <c r="C94" t="s">
        <v>576</v>
      </c>
      <c r="D94">
        <v>2002</v>
      </c>
      <c r="E94" t="s">
        <v>573</v>
      </c>
      <c r="F94" s="6"/>
      <c r="G94" s="6"/>
      <c r="H94" s="6"/>
      <c r="I94" s="6"/>
      <c r="J94" s="6"/>
    </row>
    <row r="95" spans="1:10" x14ac:dyDescent="0.3">
      <c r="A95" t="s">
        <v>81</v>
      </c>
      <c r="B95" t="s">
        <v>82</v>
      </c>
      <c r="C95" t="s">
        <v>576</v>
      </c>
      <c r="D95">
        <v>2003</v>
      </c>
      <c r="E95" t="s">
        <v>573</v>
      </c>
      <c r="F95" s="6"/>
      <c r="G95" s="6"/>
      <c r="H95" s="6"/>
      <c r="I95" s="6"/>
      <c r="J95" s="6"/>
    </row>
    <row r="96" spans="1:10" x14ac:dyDescent="0.3">
      <c r="A96" t="s">
        <v>81</v>
      </c>
      <c r="B96" t="s">
        <v>82</v>
      </c>
      <c r="C96" t="s">
        <v>576</v>
      </c>
      <c r="D96">
        <v>2004</v>
      </c>
      <c r="E96" t="s">
        <v>573</v>
      </c>
      <c r="F96" s="6"/>
      <c r="G96" s="6"/>
      <c r="H96" s="6"/>
      <c r="I96" s="6"/>
      <c r="J96" s="6"/>
    </row>
    <row r="97" spans="1:10" x14ac:dyDescent="0.3">
      <c r="A97" t="s">
        <v>81</v>
      </c>
      <c r="B97" t="s">
        <v>82</v>
      </c>
      <c r="C97" t="s">
        <v>576</v>
      </c>
      <c r="D97">
        <v>2005</v>
      </c>
      <c r="E97" t="s">
        <v>573</v>
      </c>
      <c r="F97" s="6"/>
      <c r="G97" s="6"/>
      <c r="H97" s="6"/>
      <c r="I97" s="6"/>
      <c r="J97" s="6"/>
    </row>
    <row r="98" spans="1:10" x14ac:dyDescent="0.3">
      <c r="A98" t="s">
        <v>81</v>
      </c>
      <c r="B98" t="s">
        <v>82</v>
      </c>
      <c r="C98" t="s">
        <v>576</v>
      </c>
      <c r="D98">
        <v>2006</v>
      </c>
      <c r="E98" t="s">
        <v>573</v>
      </c>
      <c r="F98" s="6"/>
      <c r="G98" s="6"/>
      <c r="H98" s="6"/>
      <c r="I98" s="6"/>
      <c r="J98" s="6"/>
    </row>
    <row r="99" spans="1:10" x14ac:dyDescent="0.3">
      <c r="A99" t="s">
        <v>81</v>
      </c>
      <c r="B99" t="s">
        <v>82</v>
      </c>
      <c r="C99" t="s">
        <v>576</v>
      </c>
      <c r="D99">
        <v>2007</v>
      </c>
      <c r="E99" t="s">
        <v>573</v>
      </c>
      <c r="F99" s="6"/>
      <c r="G99" s="6"/>
      <c r="H99" s="6"/>
      <c r="I99" s="6"/>
      <c r="J99" s="6"/>
    </row>
    <row r="100" spans="1:10" x14ac:dyDescent="0.3">
      <c r="A100" t="s">
        <v>81</v>
      </c>
      <c r="B100" t="s">
        <v>82</v>
      </c>
      <c r="C100" t="s">
        <v>576</v>
      </c>
      <c r="D100">
        <v>2008</v>
      </c>
      <c r="E100" t="s">
        <v>573</v>
      </c>
      <c r="F100" s="6"/>
      <c r="G100" s="6"/>
      <c r="H100" s="6"/>
      <c r="I100" s="6"/>
      <c r="J100" s="6"/>
    </row>
    <row r="101" spans="1:10" x14ac:dyDescent="0.3">
      <c r="A101" t="s">
        <v>81</v>
      </c>
      <c r="B101" t="s">
        <v>82</v>
      </c>
      <c r="C101" t="s">
        <v>576</v>
      </c>
      <c r="D101">
        <v>2009</v>
      </c>
      <c r="E101" t="s">
        <v>573</v>
      </c>
      <c r="F101" s="6"/>
      <c r="G101" s="6"/>
      <c r="H101" s="6"/>
      <c r="I101" s="6"/>
      <c r="J101" s="6"/>
    </row>
    <row r="102" spans="1:10" x14ac:dyDescent="0.3">
      <c r="A102" t="s">
        <v>81</v>
      </c>
      <c r="B102" t="s">
        <v>82</v>
      </c>
      <c r="C102" t="s">
        <v>576</v>
      </c>
      <c r="D102">
        <v>2010</v>
      </c>
      <c r="E102" t="s">
        <v>573</v>
      </c>
      <c r="F102" s="6"/>
      <c r="G102" s="6"/>
      <c r="H102" s="6"/>
      <c r="I102" s="6"/>
      <c r="J102" s="6"/>
    </row>
    <row r="103" spans="1:10" x14ac:dyDescent="0.3">
      <c r="A103" t="s">
        <v>81</v>
      </c>
      <c r="B103" t="s">
        <v>82</v>
      </c>
      <c r="C103" t="s">
        <v>576</v>
      </c>
      <c r="D103">
        <v>2011</v>
      </c>
      <c r="E103" t="s">
        <v>573</v>
      </c>
      <c r="F103" s="6"/>
      <c r="G103" s="6"/>
      <c r="H103" s="6"/>
      <c r="I103" s="6"/>
      <c r="J103" s="6"/>
    </row>
    <row r="104" spans="1:10" x14ac:dyDescent="0.3">
      <c r="A104" t="s">
        <v>81</v>
      </c>
      <c r="B104" t="s">
        <v>82</v>
      </c>
      <c r="C104" t="s">
        <v>576</v>
      </c>
      <c r="D104">
        <v>2012</v>
      </c>
      <c r="E104" t="s">
        <v>573</v>
      </c>
      <c r="F104" s="6"/>
      <c r="G104" s="6"/>
      <c r="H104" s="6"/>
      <c r="I104" s="6"/>
      <c r="J104" s="6"/>
    </row>
    <row r="105" spans="1:10" x14ac:dyDescent="0.3">
      <c r="A105" t="s">
        <v>81</v>
      </c>
      <c r="B105" t="s">
        <v>82</v>
      </c>
      <c r="C105" t="s">
        <v>576</v>
      </c>
      <c r="D105">
        <v>2013</v>
      </c>
      <c r="E105" t="s">
        <v>573</v>
      </c>
      <c r="F105" s="6"/>
      <c r="G105" s="6"/>
      <c r="H105" s="6"/>
      <c r="I105" s="6"/>
      <c r="J105" s="6"/>
    </row>
    <row r="106" spans="1:10" x14ac:dyDescent="0.3">
      <c r="A106" t="s">
        <v>81</v>
      </c>
      <c r="B106" t="s">
        <v>82</v>
      </c>
      <c r="C106" t="s">
        <v>576</v>
      </c>
      <c r="D106">
        <v>2014</v>
      </c>
      <c r="E106" t="s">
        <v>573</v>
      </c>
      <c r="F106" s="6"/>
      <c r="G106" s="6"/>
      <c r="H106" s="6"/>
      <c r="I106" s="6"/>
      <c r="J106" s="6"/>
    </row>
    <row r="107" spans="1:10" x14ac:dyDescent="0.3">
      <c r="A107" t="s">
        <v>81</v>
      </c>
      <c r="B107" t="s">
        <v>82</v>
      </c>
      <c r="C107" t="s">
        <v>576</v>
      </c>
      <c r="D107">
        <v>2015</v>
      </c>
      <c r="E107" t="s">
        <v>573</v>
      </c>
      <c r="F107" s="6"/>
      <c r="G107" s="6"/>
      <c r="H107" s="6"/>
      <c r="I107" s="6"/>
      <c r="J107" s="6"/>
    </row>
    <row r="108" spans="1:10" x14ac:dyDescent="0.3">
      <c r="A108" t="s">
        <v>81</v>
      </c>
      <c r="B108" t="s">
        <v>82</v>
      </c>
      <c r="C108" t="s">
        <v>576</v>
      </c>
      <c r="D108">
        <v>2016</v>
      </c>
      <c r="E108" t="s">
        <v>573</v>
      </c>
      <c r="F108" s="6"/>
      <c r="G108" s="6"/>
      <c r="H108" s="6"/>
      <c r="I108" s="6"/>
      <c r="J108" s="6"/>
    </row>
    <row r="109" spans="1:10" x14ac:dyDescent="0.3">
      <c r="A109" t="s">
        <v>81</v>
      </c>
      <c r="B109" t="s">
        <v>82</v>
      </c>
      <c r="C109" t="s">
        <v>576</v>
      </c>
      <c r="D109">
        <v>2017</v>
      </c>
      <c r="E109" t="s">
        <v>573</v>
      </c>
      <c r="F109" s="6">
        <v>2.2117271074343758</v>
      </c>
      <c r="G109" s="6">
        <v>2.4929431640449589</v>
      </c>
      <c r="H109" s="6"/>
      <c r="I109" s="6"/>
      <c r="J109" s="6"/>
    </row>
    <row r="110" spans="1:10" x14ac:dyDescent="0.3">
      <c r="A110" t="s">
        <v>81</v>
      </c>
      <c r="B110" t="s">
        <v>82</v>
      </c>
      <c r="C110" t="s">
        <v>576</v>
      </c>
      <c r="D110">
        <v>2018</v>
      </c>
      <c r="E110" t="s">
        <v>573</v>
      </c>
      <c r="F110" s="6">
        <v>2.4066620977979096</v>
      </c>
      <c r="G110" s="6">
        <v>2.6064916468020285</v>
      </c>
      <c r="H110" s="6"/>
      <c r="I110" s="6"/>
      <c r="J110" s="6"/>
    </row>
    <row r="111" spans="1:10" x14ac:dyDescent="0.3">
      <c r="A111" t="s">
        <v>81</v>
      </c>
      <c r="B111" t="s">
        <v>82</v>
      </c>
      <c r="C111" t="s">
        <v>576</v>
      </c>
      <c r="D111">
        <v>2019</v>
      </c>
      <c r="E111" t="s">
        <v>573</v>
      </c>
      <c r="F111" s="6">
        <v>3.876648315039815</v>
      </c>
      <c r="G111" s="6">
        <v>3.9331247004874075</v>
      </c>
      <c r="H111" s="6"/>
      <c r="I111" s="6"/>
      <c r="J111" s="6"/>
    </row>
    <row r="112" spans="1:10" x14ac:dyDescent="0.3">
      <c r="A112" t="s">
        <v>81</v>
      </c>
      <c r="B112" t="s">
        <v>82</v>
      </c>
      <c r="C112" t="s">
        <v>576</v>
      </c>
      <c r="D112">
        <v>2020</v>
      </c>
      <c r="E112" t="s">
        <v>573</v>
      </c>
      <c r="F112" s="6">
        <v>3.9592899871320189</v>
      </c>
      <c r="G112" s="6">
        <v>4.0227411435256206</v>
      </c>
      <c r="H112" s="6"/>
      <c r="I112" s="6"/>
      <c r="J112" s="6"/>
    </row>
    <row r="113" spans="1:10" x14ac:dyDescent="0.3">
      <c r="A113" t="s">
        <v>81</v>
      </c>
      <c r="B113" t="s">
        <v>82</v>
      </c>
      <c r="C113" t="s">
        <v>576</v>
      </c>
      <c r="D113">
        <v>2021</v>
      </c>
      <c r="E113" t="s">
        <v>573</v>
      </c>
      <c r="F113" s="6">
        <v>4.0715569801070188</v>
      </c>
      <c r="G113" s="6">
        <v>4.1603920019794343</v>
      </c>
      <c r="H113" s="6"/>
      <c r="I113" s="6"/>
      <c r="J113" s="6"/>
    </row>
    <row r="114" spans="1:10" x14ac:dyDescent="0.3">
      <c r="A114" t="s">
        <v>81</v>
      </c>
      <c r="B114" t="s">
        <v>82</v>
      </c>
      <c r="C114" t="s">
        <v>576</v>
      </c>
      <c r="D114">
        <v>2022</v>
      </c>
      <c r="E114" t="s">
        <v>573</v>
      </c>
      <c r="F114" s="6">
        <v>3.6301080521676057</v>
      </c>
      <c r="G114" s="6">
        <v>3.7154048421174783</v>
      </c>
      <c r="H114" s="6"/>
      <c r="I114" s="6"/>
      <c r="J114" s="6"/>
    </row>
    <row r="115" spans="1:10" x14ac:dyDescent="0.3">
      <c r="A115" t="s">
        <v>81</v>
      </c>
      <c r="B115" t="s">
        <v>82</v>
      </c>
      <c r="C115" t="s">
        <v>576</v>
      </c>
      <c r="D115">
        <v>2023</v>
      </c>
      <c r="E115" t="s">
        <v>573</v>
      </c>
      <c r="F115" s="6">
        <v>3.7484270360395464</v>
      </c>
      <c r="G115" s="6">
        <v>3.8043995869878415</v>
      </c>
      <c r="H115" s="6"/>
      <c r="I115" s="6"/>
      <c r="J115" s="6"/>
    </row>
    <row r="116" spans="1:10" x14ac:dyDescent="0.3">
      <c r="A116" t="s">
        <v>81</v>
      </c>
      <c r="B116" t="s">
        <v>82</v>
      </c>
      <c r="C116" t="s">
        <v>576</v>
      </c>
      <c r="D116">
        <v>2024</v>
      </c>
      <c r="E116" t="s">
        <v>573</v>
      </c>
      <c r="F116" s="6">
        <v>3.7723333344626169</v>
      </c>
      <c r="G116" s="6">
        <v>3.8063848863311036</v>
      </c>
      <c r="H116" s="6"/>
      <c r="I116" s="6"/>
      <c r="J116" s="6"/>
    </row>
    <row r="117" spans="1:10" x14ac:dyDescent="0.3">
      <c r="A117" t="s">
        <v>86</v>
      </c>
      <c r="B117" t="s">
        <v>87</v>
      </c>
      <c r="C117" t="s">
        <v>577</v>
      </c>
      <c r="D117">
        <v>2001</v>
      </c>
      <c r="E117" t="s">
        <v>573</v>
      </c>
      <c r="F117" s="6">
        <v>0.50465453910576286</v>
      </c>
      <c r="G117" s="6">
        <v>0.50465453910576286</v>
      </c>
      <c r="H117" s="6">
        <v>0</v>
      </c>
      <c r="I117" s="6"/>
      <c r="J117" s="6"/>
    </row>
    <row r="118" spans="1:10" x14ac:dyDescent="0.3">
      <c r="A118" t="s">
        <v>86</v>
      </c>
      <c r="B118" t="s">
        <v>87</v>
      </c>
      <c r="C118" t="s">
        <v>577</v>
      </c>
      <c r="D118">
        <v>2002</v>
      </c>
      <c r="E118" t="s">
        <v>573</v>
      </c>
      <c r="F118" s="6">
        <v>0.69410517276813932</v>
      </c>
      <c r="G118" s="6">
        <v>0.69724785175179249</v>
      </c>
      <c r="H118" s="6">
        <v>3.1426789836531731E-3</v>
      </c>
      <c r="I118" s="6"/>
      <c r="J118" s="6"/>
    </row>
    <row r="119" spans="1:10" x14ac:dyDescent="0.3">
      <c r="A119" t="s">
        <v>86</v>
      </c>
      <c r="B119" t="s">
        <v>87</v>
      </c>
      <c r="C119" t="s">
        <v>577</v>
      </c>
      <c r="D119">
        <v>2003</v>
      </c>
      <c r="E119" t="s">
        <v>573</v>
      </c>
      <c r="F119" s="6">
        <v>0.80805195968827448</v>
      </c>
      <c r="G119" s="6">
        <v>0.81964351532256907</v>
      </c>
      <c r="H119" s="6">
        <v>1.1591555634294698E-2</v>
      </c>
      <c r="I119" s="6"/>
      <c r="J119" s="6"/>
    </row>
    <row r="120" spans="1:10" x14ac:dyDescent="0.3">
      <c r="A120" t="s">
        <v>86</v>
      </c>
      <c r="B120" t="s">
        <v>87</v>
      </c>
      <c r="C120" t="s">
        <v>577</v>
      </c>
      <c r="D120">
        <v>2004</v>
      </c>
      <c r="E120" t="s">
        <v>573</v>
      </c>
      <c r="F120" s="6">
        <v>0.96362342149729985</v>
      </c>
      <c r="G120" s="6">
        <v>0.96701083906459318</v>
      </c>
      <c r="H120" s="6">
        <v>3.3874175672932252E-3</v>
      </c>
      <c r="I120" s="6"/>
      <c r="J120" s="6"/>
    </row>
    <row r="121" spans="1:10" x14ac:dyDescent="0.3">
      <c r="A121" t="s">
        <v>86</v>
      </c>
      <c r="B121" t="s">
        <v>87</v>
      </c>
      <c r="C121" t="s">
        <v>577</v>
      </c>
      <c r="D121">
        <v>2005</v>
      </c>
      <c r="E121" t="s">
        <v>573</v>
      </c>
      <c r="F121" s="6">
        <v>1.3587749796122575</v>
      </c>
      <c r="G121" s="6">
        <v>1.3591113377003472</v>
      </c>
      <c r="H121" s="6">
        <v>3.363580880898563E-4</v>
      </c>
      <c r="I121" s="6"/>
      <c r="J121" s="6"/>
    </row>
    <row r="122" spans="1:10" x14ac:dyDescent="0.3">
      <c r="A122" t="s">
        <v>86</v>
      </c>
      <c r="B122" t="s">
        <v>87</v>
      </c>
      <c r="C122" t="s">
        <v>577</v>
      </c>
      <c r="D122">
        <v>2006</v>
      </c>
      <c r="E122" t="s">
        <v>573</v>
      </c>
      <c r="F122" s="6">
        <v>1.4374348728796957</v>
      </c>
      <c r="G122" s="6">
        <v>1.43800681631214</v>
      </c>
      <c r="H122" s="6">
        <v>5.7194343244407881E-4</v>
      </c>
      <c r="I122" s="6"/>
      <c r="J122" s="6"/>
    </row>
    <row r="123" spans="1:10" x14ac:dyDescent="0.3">
      <c r="A123" t="s">
        <v>86</v>
      </c>
      <c r="B123" t="s">
        <v>87</v>
      </c>
      <c r="C123" t="s">
        <v>577</v>
      </c>
      <c r="D123">
        <v>2007</v>
      </c>
      <c r="E123" t="s">
        <v>573</v>
      </c>
      <c r="F123" s="6">
        <v>2.4326058780795963</v>
      </c>
      <c r="G123" s="6">
        <v>2.4473298607963097</v>
      </c>
      <c r="H123" s="6">
        <v>1.4723982716712904E-2</v>
      </c>
      <c r="I123" s="6"/>
      <c r="J123" s="6"/>
    </row>
    <row r="124" spans="1:10" x14ac:dyDescent="0.3">
      <c r="A124" t="s">
        <v>86</v>
      </c>
      <c r="B124" t="s">
        <v>87</v>
      </c>
      <c r="C124" t="s">
        <v>577</v>
      </c>
      <c r="D124">
        <v>2008</v>
      </c>
      <c r="E124" t="s">
        <v>573</v>
      </c>
      <c r="F124" s="6">
        <v>10.965927541163818</v>
      </c>
      <c r="G124" s="6">
        <v>10.966292673641185</v>
      </c>
      <c r="H124" s="6">
        <v>3.6513247736543776E-4</v>
      </c>
      <c r="I124" s="6"/>
      <c r="J124" s="6"/>
    </row>
    <row r="125" spans="1:10" x14ac:dyDescent="0.3">
      <c r="A125" t="s">
        <v>86</v>
      </c>
      <c r="B125" t="s">
        <v>87</v>
      </c>
      <c r="C125" t="s">
        <v>577</v>
      </c>
      <c r="D125">
        <v>2009</v>
      </c>
      <c r="E125" t="s">
        <v>573</v>
      </c>
      <c r="F125" s="6">
        <v>14.918083652884595</v>
      </c>
      <c r="G125" s="6">
        <v>14.918810216782282</v>
      </c>
      <c r="H125" s="6">
        <v>7.2656389768686435E-4</v>
      </c>
      <c r="I125" s="6"/>
      <c r="J125" s="6"/>
    </row>
    <row r="126" spans="1:10" x14ac:dyDescent="0.3">
      <c r="A126" t="s">
        <v>86</v>
      </c>
      <c r="B126" t="s">
        <v>87</v>
      </c>
      <c r="C126" t="s">
        <v>577</v>
      </c>
      <c r="D126">
        <v>2010</v>
      </c>
      <c r="E126" t="s">
        <v>573</v>
      </c>
      <c r="F126" s="6">
        <v>22.670310845324863</v>
      </c>
      <c r="G126" s="6">
        <v>22.67073817977948</v>
      </c>
      <c r="H126" s="6">
        <v>4.2733445461907435E-4</v>
      </c>
      <c r="I126" s="6"/>
      <c r="J126" s="6"/>
    </row>
    <row r="127" spans="1:10" x14ac:dyDescent="0.3">
      <c r="A127" t="s">
        <v>86</v>
      </c>
      <c r="B127" t="s">
        <v>87</v>
      </c>
      <c r="C127" t="s">
        <v>577</v>
      </c>
      <c r="D127">
        <v>2011</v>
      </c>
      <c r="E127" t="s">
        <v>573</v>
      </c>
      <c r="F127" s="6">
        <v>29.774311676128651</v>
      </c>
      <c r="G127" s="6">
        <v>29.774854929754394</v>
      </c>
      <c r="H127" s="6">
        <v>5.4325362574307969E-4</v>
      </c>
      <c r="I127" s="6"/>
      <c r="J127" s="6"/>
    </row>
    <row r="128" spans="1:10" x14ac:dyDescent="0.3">
      <c r="A128" t="s">
        <v>86</v>
      </c>
      <c r="B128" t="s">
        <v>87</v>
      </c>
      <c r="C128" t="s">
        <v>577</v>
      </c>
      <c r="D128">
        <v>2012</v>
      </c>
      <c r="E128" t="s">
        <v>573</v>
      </c>
      <c r="F128" s="6">
        <v>34.22075531785714</v>
      </c>
      <c r="G128" s="6">
        <v>34.226810212342613</v>
      </c>
      <c r="H128" s="6">
        <v>6.0548944854765261E-3</v>
      </c>
      <c r="I128" s="6"/>
      <c r="J128" s="6"/>
    </row>
    <row r="129" spans="1:10" x14ac:dyDescent="0.3">
      <c r="A129" t="s">
        <v>86</v>
      </c>
      <c r="B129" t="s">
        <v>87</v>
      </c>
      <c r="C129" t="s">
        <v>577</v>
      </c>
      <c r="D129">
        <v>2013</v>
      </c>
      <c r="E129" t="s">
        <v>573</v>
      </c>
      <c r="F129" s="6">
        <v>36.071499632077909</v>
      </c>
      <c r="G129" s="6">
        <v>36.081546269532602</v>
      </c>
      <c r="H129" s="6">
        <v>1.0046637454685294E-2</v>
      </c>
      <c r="I129" s="6"/>
      <c r="J129" s="6"/>
    </row>
    <row r="130" spans="1:10" x14ac:dyDescent="0.3">
      <c r="A130" t="s">
        <v>86</v>
      </c>
      <c r="B130" t="s">
        <v>87</v>
      </c>
      <c r="C130" t="s">
        <v>577</v>
      </c>
      <c r="D130">
        <v>2014</v>
      </c>
      <c r="E130" t="s">
        <v>573</v>
      </c>
      <c r="F130" s="6">
        <v>37.313785025132361</v>
      </c>
      <c r="G130" s="6">
        <v>37.333592572169863</v>
      </c>
      <c r="H130" s="6">
        <v>1.9807547037505698E-2</v>
      </c>
      <c r="I130" s="6"/>
      <c r="J130" s="6"/>
    </row>
    <row r="131" spans="1:10" x14ac:dyDescent="0.3">
      <c r="A131" t="s">
        <v>86</v>
      </c>
      <c r="B131" t="s">
        <v>87</v>
      </c>
      <c r="C131" t="s">
        <v>577</v>
      </c>
      <c r="D131">
        <v>2015</v>
      </c>
      <c r="E131" t="s">
        <v>573</v>
      </c>
      <c r="F131" s="6">
        <v>50.818596007667651</v>
      </c>
      <c r="G131" s="6">
        <v>50.865781932607426</v>
      </c>
      <c r="H131" s="6">
        <v>4.7185924939779259E-2</v>
      </c>
      <c r="I131" s="6"/>
      <c r="J131" s="6"/>
    </row>
    <row r="132" spans="1:10" x14ac:dyDescent="0.3">
      <c r="A132" t="s">
        <v>86</v>
      </c>
      <c r="B132" t="s">
        <v>87</v>
      </c>
      <c r="C132" t="s">
        <v>577</v>
      </c>
      <c r="D132">
        <v>2016</v>
      </c>
      <c r="E132" t="s">
        <v>573</v>
      </c>
      <c r="F132" s="6">
        <v>36.503886015233228</v>
      </c>
      <c r="G132" s="6">
        <v>36.831434297452816</v>
      </c>
      <c r="H132" s="6">
        <v>0.3275482822195846</v>
      </c>
      <c r="I132" s="6"/>
      <c r="J132" s="6"/>
    </row>
    <row r="133" spans="1:10" x14ac:dyDescent="0.3">
      <c r="A133" t="s">
        <v>86</v>
      </c>
      <c r="B133" t="s">
        <v>87</v>
      </c>
      <c r="C133" t="s">
        <v>577</v>
      </c>
      <c r="D133">
        <v>2017</v>
      </c>
      <c r="E133" t="s">
        <v>573</v>
      </c>
      <c r="F133" s="6">
        <v>35.166497497320115</v>
      </c>
      <c r="G133" s="6">
        <v>35.483386446891771</v>
      </c>
      <c r="H133" s="6">
        <v>0.31688894957165392</v>
      </c>
      <c r="I133" s="6"/>
      <c r="J133" s="6"/>
    </row>
    <row r="134" spans="1:10" x14ac:dyDescent="0.3">
      <c r="A134" t="s">
        <v>86</v>
      </c>
      <c r="B134" t="s">
        <v>87</v>
      </c>
      <c r="C134" t="s">
        <v>577</v>
      </c>
      <c r="D134">
        <v>2018</v>
      </c>
      <c r="E134" t="s">
        <v>573</v>
      </c>
      <c r="F134" s="6">
        <v>38.26867201916216</v>
      </c>
      <c r="G134" s="6">
        <v>38.865330170227715</v>
      </c>
      <c r="H134" s="6">
        <v>0.5966581510655482</v>
      </c>
      <c r="I134" s="6"/>
      <c r="J134" s="6"/>
    </row>
    <row r="135" spans="1:10" x14ac:dyDescent="0.3">
      <c r="A135" t="s">
        <v>86</v>
      </c>
      <c r="B135" t="s">
        <v>87</v>
      </c>
      <c r="C135" t="s">
        <v>577</v>
      </c>
      <c r="D135">
        <v>2019</v>
      </c>
      <c r="E135" t="s">
        <v>573</v>
      </c>
      <c r="F135" s="6">
        <v>43.071964705882358</v>
      </c>
      <c r="G135" s="6">
        <v>43.712444705882355</v>
      </c>
      <c r="H135" s="6">
        <v>0.64048000000000005</v>
      </c>
      <c r="I135" s="6"/>
      <c r="J135" s="6"/>
    </row>
    <row r="136" spans="1:10" x14ac:dyDescent="0.3">
      <c r="A136" t="s">
        <v>86</v>
      </c>
      <c r="B136" t="s">
        <v>87</v>
      </c>
      <c r="C136" t="s">
        <v>577</v>
      </c>
      <c r="D136">
        <v>2020</v>
      </c>
      <c r="E136" t="s">
        <v>573</v>
      </c>
      <c r="F136" s="6">
        <v>43.388799411764701</v>
      </c>
      <c r="G136" s="6">
        <v>43.766642941176471</v>
      </c>
      <c r="H136" s="6">
        <v>0.37784352941176469</v>
      </c>
      <c r="I136" s="6"/>
      <c r="J136" s="6"/>
    </row>
    <row r="137" spans="1:10" x14ac:dyDescent="0.3">
      <c r="A137" t="s">
        <v>86</v>
      </c>
      <c r="B137" t="s">
        <v>87</v>
      </c>
      <c r="C137" t="s">
        <v>577</v>
      </c>
      <c r="D137">
        <v>2021</v>
      </c>
      <c r="E137" t="s">
        <v>573</v>
      </c>
      <c r="F137" s="6">
        <v>44.901431176470595</v>
      </c>
      <c r="G137" s="6">
        <v>45.245535882352939</v>
      </c>
      <c r="H137" s="6">
        <v>0.34410470588235298</v>
      </c>
      <c r="I137" s="6"/>
      <c r="J137" s="6"/>
    </row>
    <row r="138" spans="1:10" x14ac:dyDescent="0.3">
      <c r="A138" t="s">
        <v>86</v>
      </c>
      <c r="B138" t="s">
        <v>87</v>
      </c>
      <c r="C138" t="s">
        <v>577</v>
      </c>
      <c r="D138">
        <v>2022</v>
      </c>
      <c r="E138" t="s">
        <v>573</v>
      </c>
      <c r="F138" s="6">
        <v>49.106871176470591</v>
      </c>
      <c r="G138" s="6">
        <v>49.47618235294118</v>
      </c>
      <c r="H138" s="6">
        <v>0.36931117647058825</v>
      </c>
      <c r="I138" s="6"/>
      <c r="J138" s="6"/>
    </row>
    <row r="139" spans="1:10" x14ac:dyDescent="0.3">
      <c r="A139" t="s">
        <v>86</v>
      </c>
      <c r="B139" t="s">
        <v>87</v>
      </c>
      <c r="C139" t="s">
        <v>577</v>
      </c>
      <c r="D139">
        <v>2023</v>
      </c>
      <c r="E139" t="s">
        <v>573</v>
      </c>
      <c r="F139" s="6">
        <v>56.066865882352943</v>
      </c>
      <c r="G139" s="6">
        <v>56.336059411764701</v>
      </c>
      <c r="H139" s="6">
        <v>0.26919352941176472</v>
      </c>
      <c r="I139" s="6"/>
      <c r="J139" s="6"/>
    </row>
    <row r="140" spans="1:10" x14ac:dyDescent="0.3">
      <c r="A140" t="s">
        <v>86</v>
      </c>
      <c r="B140" t="s">
        <v>87</v>
      </c>
      <c r="C140" t="s">
        <v>577</v>
      </c>
      <c r="D140">
        <v>2024</v>
      </c>
      <c r="E140" t="s">
        <v>573</v>
      </c>
      <c r="F140" s="6">
        <v>60.120817058823533</v>
      </c>
      <c r="G140" s="6">
        <v>60.370022941176472</v>
      </c>
      <c r="H140" s="6">
        <v>0.24920588235294117</v>
      </c>
      <c r="I140" s="6"/>
      <c r="J140" s="6"/>
    </row>
    <row r="141" spans="1:10" x14ac:dyDescent="0.3">
      <c r="A141" t="s">
        <v>102</v>
      </c>
      <c r="B141" t="s">
        <v>97</v>
      </c>
      <c r="C141" t="str">
        <f>VLOOKUP(B141,[1]country_codes!A:C,3,FALSE)</f>
        <v>BHR</v>
      </c>
      <c r="D141">
        <v>2006</v>
      </c>
      <c r="E141" t="s">
        <v>573</v>
      </c>
      <c r="F141" s="6">
        <v>10.372340425531915</v>
      </c>
      <c r="G141" s="6">
        <v>10.372340425531915</v>
      </c>
      <c r="H141" s="6">
        <v>0</v>
      </c>
    </row>
    <row r="142" spans="1:10" x14ac:dyDescent="0.3">
      <c r="A142" t="s">
        <v>102</v>
      </c>
      <c r="B142" t="s">
        <v>97</v>
      </c>
      <c r="C142" t="str">
        <f>VLOOKUP(B142,[1]country_codes!A:C,3,FALSE)</f>
        <v>BHR</v>
      </c>
      <c r="D142">
        <v>2007</v>
      </c>
      <c r="E142" t="s">
        <v>573</v>
      </c>
      <c r="F142" s="6">
        <v>8.0957632978723399</v>
      </c>
      <c r="G142" s="6">
        <v>14.066821808510639</v>
      </c>
      <c r="H142" s="6">
        <v>5.9710585106382972</v>
      </c>
    </row>
    <row r="143" spans="1:10" x14ac:dyDescent="0.3">
      <c r="A143" t="s">
        <v>102</v>
      </c>
      <c r="B143" t="s">
        <v>97</v>
      </c>
      <c r="C143" t="str">
        <f>VLOOKUP(B143,[1]country_codes!A:C,3,FALSE)</f>
        <v>BHR</v>
      </c>
      <c r="D143">
        <v>2008</v>
      </c>
      <c r="E143" t="s">
        <v>573</v>
      </c>
      <c r="F143" s="6">
        <v>7.5867686170212769</v>
      </c>
      <c r="G143" s="6">
        <v>12.986281914893619</v>
      </c>
      <c r="H143" s="6">
        <v>5.3995132978723399</v>
      </c>
    </row>
    <row r="144" spans="1:10" x14ac:dyDescent="0.3">
      <c r="A144" t="s">
        <v>102</v>
      </c>
      <c r="B144" t="s">
        <v>97</v>
      </c>
      <c r="C144" t="str">
        <f>VLOOKUP(B144,[1]country_codes!A:C,3,FALSE)</f>
        <v>BHR</v>
      </c>
      <c r="D144">
        <v>2009</v>
      </c>
      <c r="E144" t="s">
        <v>573</v>
      </c>
      <c r="F144" s="6">
        <v>7.6759680851063834</v>
      </c>
      <c r="G144" s="6">
        <v>12.928678191489361</v>
      </c>
      <c r="H144" s="6">
        <v>5.2527101063829793</v>
      </c>
    </row>
    <row r="145" spans="1:8" x14ac:dyDescent="0.3">
      <c r="A145" t="s">
        <v>102</v>
      </c>
      <c r="B145" t="s">
        <v>97</v>
      </c>
      <c r="C145" t="str">
        <f>VLOOKUP(B145,[1]country_codes!A:C,3,FALSE)</f>
        <v>BHR</v>
      </c>
      <c r="D145">
        <v>2010</v>
      </c>
      <c r="E145" t="s">
        <v>573</v>
      </c>
      <c r="F145" s="6">
        <v>8.6372632978723409</v>
      </c>
      <c r="G145" s="6">
        <v>13.484130319148935</v>
      </c>
      <c r="H145" s="6">
        <v>4.8468670212765961</v>
      </c>
    </row>
    <row r="146" spans="1:8" x14ac:dyDescent="0.3">
      <c r="A146" t="s">
        <v>102</v>
      </c>
      <c r="B146" t="s">
        <v>97</v>
      </c>
      <c r="C146" t="str">
        <f>VLOOKUP(B146,[1]country_codes!A:C,3,FALSE)</f>
        <v>BHR</v>
      </c>
      <c r="D146">
        <v>2011</v>
      </c>
      <c r="E146" t="s">
        <v>573</v>
      </c>
      <c r="F146" s="6">
        <v>6.8225398936170212</v>
      </c>
      <c r="G146" s="6">
        <v>11.221226063829787</v>
      </c>
      <c r="H146" s="6">
        <v>4.3986861702127662</v>
      </c>
    </row>
    <row r="147" spans="1:8" x14ac:dyDescent="0.3">
      <c r="A147" t="s">
        <v>102</v>
      </c>
      <c r="B147" t="s">
        <v>97</v>
      </c>
      <c r="C147" t="str">
        <f>VLOOKUP(B147,[1]country_codes!A:C,3,FALSE)</f>
        <v>BHR</v>
      </c>
      <c r="D147">
        <v>2012</v>
      </c>
      <c r="E147" t="s">
        <v>573</v>
      </c>
      <c r="F147" s="6">
        <v>6.3872659574468091</v>
      </c>
      <c r="G147" s="6">
        <v>10.892441489361701</v>
      </c>
      <c r="H147" s="6">
        <v>4.5051755319148938</v>
      </c>
    </row>
    <row r="148" spans="1:8" x14ac:dyDescent="0.3">
      <c r="A148" t="s">
        <v>102</v>
      </c>
      <c r="B148" t="s">
        <v>97</v>
      </c>
      <c r="C148" t="str">
        <f>VLOOKUP(B148,[1]country_codes!A:C,3,FALSE)</f>
        <v>BHR</v>
      </c>
      <c r="D148">
        <v>2013</v>
      </c>
      <c r="E148" t="s">
        <v>573</v>
      </c>
      <c r="F148" s="6">
        <v>6.7966462765957445</v>
      </c>
      <c r="G148" s="6">
        <v>10.766648936170213</v>
      </c>
      <c r="H148" s="6">
        <v>3.970002659574468</v>
      </c>
    </row>
    <row r="149" spans="1:8" x14ac:dyDescent="0.3">
      <c r="A149" t="s">
        <v>102</v>
      </c>
      <c r="B149" t="s">
        <v>97</v>
      </c>
      <c r="C149" t="str">
        <f>VLOOKUP(B149,[1]country_codes!A:C,3,FALSE)</f>
        <v>BHR</v>
      </c>
      <c r="D149">
        <v>2014</v>
      </c>
      <c r="E149" t="s">
        <v>573</v>
      </c>
      <c r="F149" s="6">
        <v>6.9570585106382978</v>
      </c>
      <c r="G149" s="6">
        <v>11.074973404255319</v>
      </c>
      <c r="H149" s="6">
        <v>4.1179148936170211</v>
      </c>
    </row>
    <row r="150" spans="1:8" x14ac:dyDescent="0.3">
      <c r="A150" t="s">
        <v>102</v>
      </c>
      <c r="B150" t="s">
        <v>97</v>
      </c>
      <c r="C150" t="str">
        <f>VLOOKUP(B150,[1]country_codes!A:C,3,FALSE)</f>
        <v>BHR</v>
      </c>
      <c r="D150">
        <v>2015</v>
      </c>
      <c r="E150" t="s">
        <v>573</v>
      </c>
      <c r="F150" s="6">
        <v>7.0815638297872336</v>
      </c>
      <c r="G150" s="6">
        <v>10.522978723404254</v>
      </c>
      <c r="H150" s="6">
        <v>3.4414148936170212</v>
      </c>
    </row>
    <row r="151" spans="1:8" x14ac:dyDescent="0.3">
      <c r="A151" t="s">
        <v>102</v>
      </c>
      <c r="B151" t="s">
        <v>97</v>
      </c>
      <c r="C151" t="str">
        <f>VLOOKUP(B151,[1]country_codes!A:C,3,FALSE)</f>
        <v>BHR</v>
      </c>
      <c r="D151">
        <v>2016</v>
      </c>
      <c r="E151" t="s">
        <v>573</v>
      </c>
      <c r="F151" s="6">
        <v>7.1417074468085104</v>
      </c>
      <c r="G151" s="6">
        <v>10.457420212765959</v>
      </c>
      <c r="H151" s="6">
        <v>3.3157127659574468</v>
      </c>
    </row>
    <row r="152" spans="1:8" x14ac:dyDescent="0.3">
      <c r="A152" t="s">
        <v>102</v>
      </c>
      <c r="B152" t="s">
        <v>97</v>
      </c>
      <c r="C152" t="str">
        <f>VLOOKUP(B152,[1]country_codes!A:C,3,FALSE)</f>
        <v>BHR</v>
      </c>
      <c r="D152">
        <v>2017</v>
      </c>
      <c r="E152" t="s">
        <v>573</v>
      </c>
      <c r="F152" s="6">
        <v>8.5798670212765948</v>
      </c>
      <c r="G152" s="6">
        <v>15.304494680851064</v>
      </c>
      <c r="H152" s="6">
        <v>6.7246276595744678</v>
      </c>
    </row>
    <row r="153" spans="1:8" x14ac:dyDescent="0.3">
      <c r="A153" t="s">
        <v>102</v>
      </c>
      <c r="B153" t="s">
        <v>97</v>
      </c>
      <c r="C153" t="str">
        <f>VLOOKUP(B153,[1]country_codes!A:C,3,FALSE)</f>
        <v>BHR</v>
      </c>
      <c r="D153">
        <v>2018</v>
      </c>
      <c r="E153" t="s">
        <v>573</v>
      </c>
      <c r="F153" s="6">
        <v>8.7999441489361718</v>
      </c>
      <c r="G153" s="6">
        <v>16.770784574468085</v>
      </c>
      <c r="H153" s="6">
        <v>7.9708404255319145</v>
      </c>
    </row>
    <row r="154" spans="1:8" x14ac:dyDescent="0.3">
      <c r="A154" t="s">
        <v>102</v>
      </c>
      <c r="B154" t="s">
        <v>97</v>
      </c>
      <c r="C154" t="str">
        <f>VLOOKUP(B154,[1]country_codes!A:C,3,FALSE)</f>
        <v>BHR</v>
      </c>
      <c r="D154">
        <v>2019</v>
      </c>
      <c r="E154" t="s">
        <v>573</v>
      </c>
      <c r="F154" s="6">
        <v>8.7658218085106387</v>
      </c>
      <c r="G154" s="6">
        <v>18.831250000000001</v>
      </c>
      <c r="H154" s="6">
        <v>10.065428191489362</v>
      </c>
    </row>
    <row r="155" spans="1:8" x14ac:dyDescent="0.3">
      <c r="A155" t="s">
        <v>102</v>
      </c>
      <c r="B155" t="s">
        <v>97</v>
      </c>
      <c r="C155" t="str">
        <f>VLOOKUP(B155,[1]country_codes!A:C,3,FALSE)</f>
        <v>BHR</v>
      </c>
      <c r="D155">
        <v>2020</v>
      </c>
      <c r="E155" t="s">
        <v>573</v>
      </c>
      <c r="F155" s="6">
        <v>7.6910585106382978</v>
      </c>
      <c r="G155" s="6">
        <v>17.663271276595744</v>
      </c>
      <c r="H155" s="6">
        <v>9.9722127659574475</v>
      </c>
    </row>
    <row r="156" spans="1:8" x14ac:dyDescent="0.3">
      <c r="A156" t="s">
        <v>102</v>
      </c>
      <c r="B156" t="s">
        <v>97</v>
      </c>
      <c r="C156" t="str">
        <f>VLOOKUP(B156,[1]country_codes!A:C,3,FALSE)</f>
        <v>BHR</v>
      </c>
      <c r="D156">
        <v>2021</v>
      </c>
      <c r="E156" t="s">
        <v>573</v>
      </c>
      <c r="F156" s="6">
        <v>8.8812952127659575</v>
      </c>
      <c r="G156" s="6">
        <v>18.42754521276596</v>
      </c>
      <c r="H156" s="6">
        <v>9.5462500000000006</v>
      </c>
    </row>
    <row r="157" spans="1:8" x14ac:dyDescent="0.3">
      <c r="A157" t="s">
        <v>102</v>
      </c>
      <c r="B157" t="s">
        <v>97</v>
      </c>
      <c r="C157" t="str">
        <f>VLOOKUP(B157,[1]country_codes!A:C,3,FALSE)</f>
        <v>BHR</v>
      </c>
      <c r="D157">
        <v>2022</v>
      </c>
      <c r="E157" t="s">
        <v>573</v>
      </c>
      <c r="F157" s="6">
        <v>8.7921010638297865</v>
      </c>
      <c r="G157" s="6">
        <v>17.802484042553189</v>
      </c>
      <c r="H157" s="6">
        <v>9.0103829787234044</v>
      </c>
    </row>
    <row r="158" spans="1:8" x14ac:dyDescent="0.3">
      <c r="A158" t="s">
        <v>102</v>
      </c>
      <c r="B158" t="s">
        <v>97</v>
      </c>
      <c r="C158" t="str">
        <f>VLOOKUP(B158,[1]country_codes!A:C,3,FALSE)</f>
        <v>BHR</v>
      </c>
      <c r="D158">
        <v>2023</v>
      </c>
      <c r="E158" t="s">
        <v>573</v>
      </c>
      <c r="F158" s="6">
        <v>7.5306595744680855</v>
      </c>
      <c r="G158" s="6">
        <v>17.706382978723404</v>
      </c>
      <c r="H158" s="6">
        <v>10.175723404255319</v>
      </c>
    </row>
    <row r="159" spans="1:8" x14ac:dyDescent="0.3">
      <c r="A159" t="s">
        <v>102</v>
      </c>
      <c r="B159" t="s">
        <v>97</v>
      </c>
      <c r="C159" t="str">
        <f>VLOOKUP(B159,[1]country_codes!A:C,3,FALSE)</f>
        <v>BHR</v>
      </c>
      <c r="D159">
        <v>2024</v>
      </c>
      <c r="E159" t="s">
        <v>573</v>
      </c>
      <c r="F159" s="6">
        <v>8.4883324468085117</v>
      </c>
      <c r="G159" s="6">
        <v>19.210257978723401</v>
      </c>
      <c r="H159" s="6">
        <v>10.721925531914893</v>
      </c>
    </row>
    <row r="160" spans="1:8" x14ac:dyDescent="0.3">
      <c r="A160" t="s">
        <v>106</v>
      </c>
      <c r="B160" t="s">
        <v>107</v>
      </c>
      <c r="C160" t="s">
        <v>578</v>
      </c>
      <c r="D160">
        <v>2006</v>
      </c>
      <c r="E160" t="s">
        <v>573</v>
      </c>
      <c r="F160" s="6">
        <v>1.1099155019626894</v>
      </c>
      <c r="G160" s="6">
        <v>1.1752618896737919</v>
      </c>
    </row>
    <row r="161" spans="1:7" x14ac:dyDescent="0.3">
      <c r="A161" t="s">
        <v>106</v>
      </c>
      <c r="B161" t="s">
        <v>107</v>
      </c>
      <c r="C161" t="s">
        <v>578</v>
      </c>
      <c r="D161">
        <v>2007</v>
      </c>
      <c r="E161" t="s">
        <v>573</v>
      </c>
      <c r="F161" s="6">
        <v>2.1420352475987854</v>
      </c>
      <c r="G161" s="6">
        <v>2.2168976104893101</v>
      </c>
    </row>
    <row r="162" spans="1:7" x14ac:dyDescent="0.3">
      <c r="A162" t="s">
        <v>106</v>
      </c>
      <c r="B162" t="s">
        <v>107</v>
      </c>
      <c r="C162" t="s">
        <v>578</v>
      </c>
      <c r="D162">
        <v>2008</v>
      </c>
      <c r="E162" t="s">
        <v>573</v>
      </c>
      <c r="F162" s="6">
        <v>2.4056793514909858</v>
      </c>
      <c r="G162" s="6">
        <v>9.9376605605313664</v>
      </c>
    </row>
    <row r="163" spans="1:7" x14ac:dyDescent="0.3">
      <c r="A163" t="s">
        <v>106</v>
      </c>
      <c r="B163" t="s">
        <v>107</v>
      </c>
      <c r="C163" t="s">
        <v>578</v>
      </c>
      <c r="D163">
        <v>2009</v>
      </c>
      <c r="E163" t="s">
        <v>573</v>
      </c>
      <c r="F163" s="6">
        <v>2.5713330089069411</v>
      </c>
      <c r="G163" s="6">
        <v>2.4260287601346633</v>
      </c>
    </row>
    <row r="164" spans="1:7" x14ac:dyDescent="0.3">
      <c r="A164" t="s">
        <v>106</v>
      </c>
      <c r="B164" t="s">
        <v>107</v>
      </c>
      <c r="C164" t="s">
        <v>578</v>
      </c>
      <c r="D164">
        <v>2010</v>
      </c>
      <c r="E164" t="s">
        <v>573</v>
      </c>
      <c r="F164" s="6">
        <v>2.5143754084864427</v>
      </c>
      <c r="G164" s="6">
        <v>2.366477133376375</v>
      </c>
    </row>
    <row r="165" spans="1:7" x14ac:dyDescent="0.3">
      <c r="A165" t="s">
        <v>106</v>
      </c>
      <c r="B165" t="s">
        <v>107</v>
      </c>
      <c r="C165" t="s">
        <v>578</v>
      </c>
      <c r="D165">
        <v>2011</v>
      </c>
      <c r="E165" t="s">
        <v>573</v>
      </c>
      <c r="F165" s="6">
        <v>2.5926321859863792</v>
      </c>
      <c r="G165" s="6">
        <v>2.4930767625737751</v>
      </c>
    </row>
    <row r="166" spans="1:7" x14ac:dyDescent="0.3">
      <c r="A166" t="s">
        <v>106</v>
      </c>
      <c r="B166" t="s">
        <v>107</v>
      </c>
      <c r="C166" t="s">
        <v>578</v>
      </c>
      <c r="D166">
        <v>2012</v>
      </c>
      <c r="E166" t="s">
        <v>573</v>
      </c>
      <c r="F166" s="6">
        <v>2.4217457683235604</v>
      </c>
      <c r="G166" s="6">
        <v>2.3187750927264128</v>
      </c>
    </row>
    <row r="167" spans="1:7" x14ac:dyDescent="0.3">
      <c r="A167" t="s">
        <v>106</v>
      </c>
      <c r="B167" t="s">
        <v>107</v>
      </c>
      <c r="C167" t="s">
        <v>578</v>
      </c>
      <c r="D167">
        <v>2013</v>
      </c>
      <c r="E167" t="s">
        <v>573</v>
      </c>
      <c r="F167" s="6">
        <v>2.5754042359794891</v>
      </c>
      <c r="G167" s="6">
        <v>2.6027754214749521</v>
      </c>
    </row>
    <row r="168" spans="1:7" x14ac:dyDescent="0.3">
      <c r="A168" t="s">
        <v>106</v>
      </c>
      <c r="B168" t="s">
        <v>107</v>
      </c>
      <c r="C168" t="s">
        <v>578</v>
      </c>
      <c r="D168">
        <v>2014</v>
      </c>
      <c r="E168" t="s">
        <v>573</v>
      </c>
      <c r="F168" s="6">
        <v>2.7061348306068513</v>
      </c>
      <c r="G168" s="6">
        <v>2.722347854112547</v>
      </c>
    </row>
    <row r="169" spans="1:7" x14ac:dyDescent="0.3">
      <c r="A169" t="s">
        <v>106</v>
      </c>
      <c r="B169" t="s">
        <v>107</v>
      </c>
      <c r="C169" t="s">
        <v>578</v>
      </c>
      <c r="D169">
        <v>2015</v>
      </c>
      <c r="E169" t="s">
        <v>573</v>
      </c>
      <c r="F169" s="6">
        <v>2.3492804364912585</v>
      </c>
      <c r="G169" s="6">
        <v>2.3457932373856147</v>
      </c>
    </row>
    <row r="170" spans="1:7" x14ac:dyDescent="0.3">
      <c r="A170" t="s">
        <v>106</v>
      </c>
      <c r="B170" t="s">
        <v>107</v>
      </c>
      <c r="C170" t="s">
        <v>578</v>
      </c>
      <c r="D170">
        <v>2016</v>
      </c>
      <c r="E170" t="s">
        <v>573</v>
      </c>
      <c r="F170" s="6">
        <v>2.4466885058635421</v>
      </c>
      <c r="G170" s="6">
        <v>2.4546382834590497</v>
      </c>
    </row>
    <row r="171" spans="1:7" x14ac:dyDescent="0.3">
      <c r="A171" t="s">
        <v>106</v>
      </c>
      <c r="B171" t="s">
        <v>107</v>
      </c>
      <c r="C171" t="s">
        <v>578</v>
      </c>
      <c r="D171">
        <v>2017</v>
      </c>
      <c r="E171" t="s">
        <v>573</v>
      </c>
      <c r="F171" s="6">
        <v>2.5638430850237599</v>
      </c>
      <c r="G171" s="6">
        <v>2.5375328101779755</v>
      </c>
    </row>
    <row r="172" spans="1:7" x14ac:dyDescent="0.3">
      <c r="A172" t="s">
        <v>106</v>
      </c>
      <c r="B172" t="s">
        <v>107</v>
      </c>
      <c r="C172" t="s">
        <v>578</v>
      </c>
      <c r="D172">
        <v>2018</v>
      </c>
      <c r="E172" t="s">
        <v>573</v>
      </c>
      <c r="F172" s="6">
        <v>2.7769376598938531</v>
      </c>
      <c r="G172" s="6">
        <v>2.7845725305031679</v>
      </c>
    </row>
    <row r="173" spans="1:7" x14ac:dyDescent="0.3">
      <c r="A173" t="s">
        <v>106</v>
      </c>
      <c r="B173" t="s">
        <v>107</v>
      </c>
      <c r="C173" t="s">
        <v>578</v>
      </c>
      <c r="D173">
        <v>2019</v>
      </c>
      <c r="E173" t="s">
        <v>573</v>
      </c>
      <c r="F173" s="6">
        <v>2.6998936387319357</v>
      </c>
      <c r="G173" s="6">
        <v>2.6704850447728212</v>
      </c>
    </row>
    <row r="174" spans="1:7" x14ac:dyDescent="0.3">
      <c r="A174" t="s">
        <v>106</v>
      </c>
      <c r="B174" t="s">
        <v>107</v>
      </c>
      <c r="C174" t="s">
        <v>578</v>
      </c>
      <c r="D174">
        <v>2020</v>
      </c>
      <c r="E174" t="s">
        <v>573</v>
      </c>
      <c r="F174" s="6">
        <v>2.7332341602528545</v>
      </c>
      <c r="G174" s="6">
        <v>2.9181020264386417</v>
      </c>
    </row>
    <row r="175" spans="1:7" x14ac:dyDescent="0.3">
      <c r="A175" t="s">
        <v>106</v>
      </c>
      <c r="B175" t="s">
        <v>107</v>
      </c>
      <c r="C175" t="s">
        <v>578</v>
      </c>
      <c r="D175">
        <v>2021</v>
      </c>
      <c r="E175" t="s">
        <v>573</v>
      </c>
      <c r="F175" s="6">
        <v>2.9694431966535078</v>
      </c>
      <c r="G175" s="6">
        <v>2.9816573549528784</v>
      </c>
    </row>
    <row r="176" spans="1:7" x14ac:dyDescent="0.3">
      <c r="A176" t="s">
        <v>106</v>
      </c>
      <c r="B176" t="s">
        <v>107</v>
      </c>
      <c r="C176" t="s">
        <v>578</v>
      </c>
      <c r="D176">
        <v>2022</v>
      </c>
      <c r="E176" t="s">
        <v>573</v>
      </c>
      <c r="F176" s="6">
        <v>9.9275365676386809</v>
      </c>
      <c r="G176" s="6">
        <v>10.612002352931761</v>
      </c>
    </row>
    <row r="177" spans="1:10" x14ac:dyDescent="0.3">
      <c r="A177" t="s">
        <v>106</v>
      </c>
      <c r="B177" t="s">
        <v>107</v>
      </c>
      <c r="C177" t="s">
        <v>578</v>
      </c>
      <c r="D177">
        <v>2023</v>
      </c>
      <c r="E177" t="s">
        <v>573</v>
      </c>
      <c r="F177" s="6">
        <v>10.044514746124625</v>
      </c>
      <c r="G177" s="6">
        <v>10.498444270768683</v>
      </c>
    </row>
    <row r="178" spans="1:10" x14ac:dyDescent="0.3">
      <c r="A178" t="s">
        <v>106</v>
      </c>
      <c r="B178" t="s">
        <v>107</v>
      </c>
      <c r="C178" t="s">
        <v>578</v>
      </c>
      <c r="D178">
        <v>2024</v>
      </c>
      <c r="E178" t="s">
        <v>573</v>
      </c>
      <c r="F178" s="6">
        <v>12.157854375442083</v>
      </c>
      <c r="G178" s="6">
        <v>12.472487240086613</v>
      </c>
    </row>
    <row r="179" spans="1:10" x14ac:dyDescent="0.3">
      <c r="A179" t="s">
        <v>131</v>
      </c>
      <c r="B179" t="s">
        <v>132</v>
      </c>
      <c r="C179" t="s">
        <v>579</v>
      </c>
      <c r="D179">
        <v>2008</v>
      </c>
      <c r="E179" t="s">
        <v>573</v>
      </c>
      <c r="F179" s="6">
        <v>7.7755678069078566</v>
      </c>
    </row>
    <row r="180" spans="1:10" x14ac:dyDescent="0.3">
      <c r="A180" t="s">
        <v>131</v>
      </c>
      <c r="B180" t="s">
        <v>132</v>
      </c>
      <c r="C180" t="s">
        <v>579</v>
      </c>
      <c r="D180">
        <v>2009</v>
      </c>
      <c r="E180" t="s">
        <v>573</v>
      </c>
      <c r="F180" s="6">
        <v>8.1763706970193475</v>
      </c>
    </row>
    <row r="181" spans="1:10" x14ac:dyDescent="0.3">
      <c r="A181" t="s">
        <v>131</v>
      </c>
      <c r="B181" t="s">
        <v>132</v>
      </c>
      <c r="C181" t="s">
        <v>579</v>
      </c>
      <c r="D181">
        <v>2010</v>
      </c>
      <c r="E181" t="s">
        <v>573</v>
      </c>
      <c r="F181" s="6">
        <v>10.665899840532232</v>
      </c>
    </row>
    <row r="182" spans="1:10" x14ac:dyDescent="0.3">
      <c r="A182" t="s">
        <v>131</v>
      </c>
      <c r="B182" t="s">
        <v>132</v>
      </c>
      <c r="C182" t="s">
        <v>579</v>
      </c>
      <c r="D182">
        <v>2011</v>
      </c>
      <c r="E182" t="s">
        <v>573</v>
      </c>
      <c r="F182" s="6">
        <v>9.2931307764810391</v>
      </c>
    </row>
    <row r="183" spans="1:10" x14ac:dyDescent="0.3">
      <c r="A183" t="s">
        <v>131</v>
      </c>
      <c r="B183" t="s">
        <v>132</v>
      </c>
      <c r="C183" t="s">
        <v>579</v>
      </c>
      <c r="D183">
        <v>2012</v>
      </c>
      <c r="E183" t="s">
        <v>573</v>
      </c>
      <c r="F183" s="6">
        <v>7.8100446730043842</v>
      </c>
    </row>
    <row r="184" spans="1:10" x14ac:dyDescent="0.3">
      <c r="A184" t="s">
        <v>131</v>
      </c>
      <c r="B184" t="s">
        <v>132</v>
      </c>
      <c r="C184" t="s">
        <v>579</v>
      </c>
      <c r="D184">
        <v>2013</v>
      </c>
      <c r="E184" t="s">
        <v>573</v>
      </c>
      <c r="F184" s="6">
        <v>7.735538270289398</v>
      </c>
    </row>
    <row r="185" spans="1:10" x14ac:dyDescent="0.3">
      <c r="A185" t="s">
        <v>131</v>
      </c>
      <c r="B185" t="s">
        <v>132</v>
      </c>
      <c r="C185" t="s">
        <v>579</v>
      </c>
      <c r="D185">
        <v>2014</v>
      </c>
      <c r="E185" t="s">
        <v>573</v>
      </c>
      <c r="F185" s="6">
        <v>7.8132390294362146</v>
      </c>
    </row>
    <row r="186" spans="1:10" x14ac:dyDescent="0.3">
      <c r="A186" t="s">
        <v>131</v>
      </c>
      <c r="B186" t="s">
        <v>132</v>
      </c>
      <c r="C186" t="s">
        <v>579</v>
      </c>
      <c r="D186">
        <v>2015</v>
      </c>
      <c r="E186" t="s">
        <v>573</v>
      </c>
      <c r="F186" s="6">
        <v>5.932092233463905</v>
      </c>
    </row>
    <row r="187" spans="1:10" x14ac:dyDescent="0.3">
      <c r="A187" t="s">
        <v>131</v>
      </c>
      <c r="B187" t="s">
        <v>132</v>
      </c>
      <c r="C187" t="s">
        <v>579</v>
      </c>
      <c r="D187">
        <v>2016</v>
      </c>
      <c r="E187" t="s">
        <v>573</v>
      </c>
      <c r="F187" s="6">
        <v>6.7582341091847109</v>
      </c>
    </row>
    <row r="188" spans="1:10" x14ac:dyDescent="0.3">
      <c r="A188" t="s">
        <v>131</v>
      </c>
      <c r="B188" t="s">
        <v>132</v>
      </c>
      <c r="C188" t="s">
        <v>579</v>
      </c>
      <c r="D188">
        <v>2017</v>
      </c>
      <c r="E188" t="s">
        <v>573</v>
      </c>
      <c r="F188" s="6">
        <v>8.2423711993833404</v>
      </c>
    </row>
    <row r="189" spans="1:10" x14ac:dyDescent="0.3">
      <c r="A189" t="s">
        <v>131</v>
      </c>
      <c r="B189" t="s">
        <v>132</v>
      </c>
      <c r="C189" t="s">
        <v>579</v>
      </c>
      <c r="D189">
        <v>2018</v>
      </c>
      <c r="E189" t="s">
        <v>573</v>
      </c>
      <c r="F189" s="6">
        <v>7.4961749728736322</v>
      </c>
    </row>
    <row r="190" spans="1:10" x14ac:dyDescent="0.3">
      <c r="A190" t="s">
        <v>137</v>
      </c>
      <c r="B190" t="s">
        <v>138</v>
      </c>
      <c r="C190" t="s">
        <v>580</v>
      </c>
      <c r="D190">
        <v>2021</v>
      </c>
      <c r="E190" t="s">
        <v>573</v>
      </c>
      <c r="F190" s="6">
        <v>0.11803827233533748</v>
      </c>
      <c r="G190" s="6">
        <v>0.11803882748509435</v>
      </c>
      <c r="H190" s="6">
        <v>5.5514975687658906E-7</v>
      </c>
    </row>
    <row r="191" spans="1:10" x14ac:dyDescent="0.3">
      <c r="A191" t="s">
        <v>137</v>
      </c>
      <c r="B191" t="s">
        <v>138</v>
      </c>
      <c r="C191" t="s">
        <v>580</v>
      </c>
      <c r="D191">
        <v>2022</v>
      </c>
      <c r="E191" t="s">
        <v>573</v>
      </c>
      <c r="F191" s="6">
        <v>0.10401157103881155</v>
      </c>
      <c r="G191" s="6">
        <v>0.10406779018548946</v>
      </c>
      <c r="H191" s="6">
        <v>5.6219146677906717E-5</v>
      </c>
      <c r="I191" s="6"/>
      <c r="J191" s="6"/>
    </row>
    <row r="192" spans="1:10" x14ac:dyDescent="0.3">
      <c r="A192" t="s">
        <v>137</v>
      </c>
      <c r="B192" t="s">
        <v>138</v>
      </c>
      <c r="C192" t="s">
        <v>580</v>
      </c>
      <c r="D192">
        <v>2023</v>
      </c>
      <c r="E192" t="s">
        <v>573</v>
      </c>
      <c r="F192" s="6">
        <v>0.10913408392335135</v>
      </c>
      <c r="G192" s="6">
        <v>0.1094770433024769</v>
      </c>
      <c r="H192" s="6">
        <v>3.4295937912554226E-4</v>
      </c>
      <c r="I192" s="6"/>
      <c r="J192" s="6"/>
    </row>
    <row r="193" spans="1:10" x14ac:dyDescent="0.3">
      <c r="A193" t="s">
        <v>137</v>
      </c>
      <c r="B193" t="s">
        <v>138</v>
      </c>
      <c r="C193" t="s">
        <v>580</v>
      </c>
      <c r="D193">
        <v>2024</v>
      </c>
      <c r="E193" t="s">
        <v>573</v>
      </c>
      <c r="F193" s="6">
        <v>0.11132476482996802</v>
      </c>
      <c r="G193" s="6">
        <v>0.11224874453994231</v>
      </c>
      <c r="H193" s="6">
        <v>9.239797099742941E-4</v>
      </c>
      <c r="I193" s="6"/>
      <c r="J193" s="6"/>
    </row>
    <row r="194" spans="1:10" x14ac:dyDescent="0.3">
      <c r="A194" t="s">
        <v>143</v>
      </c>
      <c r="B194" t="s">
        <v>144</v>
      </c>
      <c r="C194" t="s">
        <v>581</v>
      </c>
      <c r="D194">
        <v>2006</v>
      </c>
      <c r="E194" t="s">
        <v>573</v>
      </c>
      <c r="F194" s="6">
        <v>0.60462829699999998</v>
      </c>
      <c r="G194" s="6"/>
      <c r="H194" s="6"/>
      <c r="I194" s="6"/>
      <c r="J194" s="6"/>
    </row>
    <row r="195" spans="1:10" x14ac:dyDescent="0.3">
      <c r="A195" t="s">
        <v>143</v>
      </c>
      <c r="B195" t="s">
        <v>144</v>
      </c>
      <c r="C195" t="s">
        <v>581</v>
      </c>
      <c r="D195">
        <v>2007</v>
      </c>
      <c r="E195" t="s">
        <v>573</v>
      </c>
      <c r="F195" s="6">
        <v>1.4663539759999999</v>
      </c>
      <c r="G195" s="6"/>
      <c r="H195" s="6"/>
      <c r="I195" s="6"/>
      <c r="J195" s="6"/>
    </row>
    <row r="196" spans="1:10" x14ac:dyDescent="0.3">
      <c r="A196" t="s">
        <v>143</v>
      </c>
      <c r="B196" t="s">
        <v>144</v>
      </c>
      <c r="C196" t="s">
        <v>581</v>
      </c>
      <c r="D196">
        <v>2008</v>
      </c>
      <c r="E196" t="s">
        <v>573</v>
      </c>
      <c r="F196" s="6">
        <v>2.5067600400000001</v>
      </c>
      <c r="G196" s="6"/>
      <c r="H196" s="6"/>
      <c r="I196" s="6"/>
      <c r="J196" s="6"/>
    </row>
    <row r="197" spans="1:10" x14ac:dyDescent="0.3">
      <c r="A197" t="s">
        <v>143</v>
      </c>
      <c r="B197" t="s">
        <v>144</v>
      </c>
      <c r="C197" t="s">
        <v>581</v>
      </c>
      <c r="D197">
        <v>2009</v>
      </c>
      <c r="E197" t="s">
        <v>573</v>
      </c>
      <c r="F197" s="6">
        <v>3.4208330259999999</v>
      </c>
      <c r="G197" s="6"/>
      <c r="H197" s="6"/>
      <c r="I197" s="6"/>
      <c r="J197" s="6"/>
    </row>
    <row r="198" spans="1:10" x14ac:dyDescent="0.3">
      <c r="A198" t="s">
        <v>143</v>
      </c>
      <c r="B198" t="s">
        <v>144</v>
      </c>
      <c r="C198" t="s">
        <v>581</v>
      </c>
      <c r="D198">
        <v>2010</v>
      </c>
      <c r="E198" t="s">
        <v>573</v>
      </c>
      <c r="F198" s="6">
        <v>3.8366990909999998</v>
      </c>
      <c r="G198" s="6">
        <v>3.8366990900000002</v>
      </c>
      <c r="H198" s="6">
        <v>0</v>
      </c>
      <c r="I198" s="6"/>
      <c r="J198" s="6"/>
    </row>
    <row r="199" spans="1:10" x14ac:dyDescent="0.3">
      <c r="A199" t="s">
        <v>143</v>
      </c>
      <c r="B199" t="s">
        <v>144</v>
      </c>
      <c r="C199" t="s">
        <v>581</v>
      </c>
      <c r="D199">
        <v>2011</v>
      </c>
      <c r="E199" t="s">
        <v>573</v>
      </c>
      <c r="F199" s="6">
        <v>4.4055954179999999</v>
      </c>
      <c r="G199" s="6">
        <v>4.4055954179999999</v>
      </c>
      <c r="H199" s="6">
        <v>0</v>
      </c>
      <c r="I199" s="6"/>
      <c r="J199" s="6"/>
    </row>
    <row r="200" spans="1:10" x14ac:dyDescent="0.3">
      <c r="A200" t="s">
        <v>143</v>
      </c>
      <c r="B200" t="s">
        <v>144</v>
      </c>
      <c r="C200" t="s">
        <v>581</v>
      </c>
      <c r="D200">
        <v>2012</v>
      </c>
      <c r="E200" t="s">
        <v>573</v>
      </c>
      <c r="F200" s="6">
        <v>5.8832542649999997</v>
      </c>
      <c r="G200" s="6">
        <v>5.8833082729999999</v>
      </c>
      <c r="H200" s="6">
        <v>5.4008000000000002E-5</v>
      </c>
      <c r="I200" s="6"/>
      <c r="J200" s="6"/>
    </row>
    <row r="201" spans="1:10" x14ac:dyDescent="0.3">
      <c r="A201" t="s">
        <v>143</v>
      </c>
      <c r="B201" t="s">
        <v>144</v>
      </c>
      <c r="C201" t="s">
        <v>581</v>
      </c>
      <c r="D201">
        <v>2013</v>
      </c>
      <c r="E201" t="s">
        <v>573</v>
      </c>
      <c r="F201" s="6">
        <v>7.335114505</v>
      </c>
      <c r="G201" s="6">
        <v>7.3352018289999998</v>
      </c>
      <c r="H201" s="6">
        <v>8.7324000000000006E-5</v>
      </c>
      <c r="I201" s="6"/>
      <c r="J201" s="6"/>
    </row>
    <row r="202" spans="1:10" x14ac:dyDescent="0.3">
      <c r="A202" t="s">
        <v>143</v>
      </c>
      <c r="B202" t="s">
        <v>144</v>
      </c>
      <c r="C202" t="s">
        <v>581</v>
      </c>
      <c r="D202">
        <v>2014</v>
      </c>
      <c r="E202" t="s">
        <v>573</v>
      </c>
      <c r="F202" s="6">
        <v>7.9436994040000002</v>
      </c>
      <c r="G202" s="6">
        <v>7.9462635449999999</v>
      </c>
      <c r="H202" s="6">
        <v>2.5641409999999998E-3</v>
      </c>
      <c r="I202" s="6"/>
      <c r="J202" s="6"/>
    </row>
    <row r="203" spans="1:10" x14ac:dyDescent="0.3">
      <c r="A203" t="s">
        <v>143</v>
      </c>
      <c r="B203" t="s">
        <v>144</v>
      </c>
      <c r="C203" t="s">
        <v>581</v>
      </c>
      <c r="D203">
        <v>2015</v>
      </c>
      <c r="E203" t="s">
        <v>573</v>
      </c>
      <c r="F203" s="6">
        <v>8.1122054600000002</v>
      </c>
      <c r="G203" s="6">
        <v>8.1123126879999994</v>
      </c>
      <c r="H203" s="6">
        <v>1.07228E-4</v>
      </c>
      <c r="I203" s="6"/>
      <c r="J203" s="6"/>
    </row>
    <row r="204" spans="1:10" x14ac:dyDescent="0.3">
      <c r="A204" t="s">
        <v>143</v>
      </c>
      <c r="B204" t="s">
        <v>144</v>
      </c>
      <c r="C204" t="s">
        <v>581</v>
      </c>
      <c r="D204">
        <v>2016</v>
      </c>
      <c r="E204" t="s">
        <v>573</v>
      </c>
      <c r="F204" s="6">
        <v>8.8620748119999995</v>
      </c>
      <c r="G204" s="6">
        <v>8.862298912</v>
      </c>
      <c r="H204" s="6">
        <v>2.241E-4</v>
      </c>
      <c r="I204" s="6"/>
      <c r="J204" s="6"/>
    </row>
    <row r="205" spans="1:10" x14ac:dyDescent="0.3">
      <c r="A205" t="s">
        <v>143</v>
      </c>
      <c r="B205" t="s">
        <v>144</v>
      </c>
      <c r="C205" t="s">
        <v>581</v>
      </c>
      <c r="D205">
        <v>2017</v>
      </c>
      <c r="E205" t="s">
        <v>573</v>
      </c>
      <c r="F205" s="6">
        <v>10.010951766</v>
      </c>
      <c r="G205" s="6">
        <v>10.01096205</v>
      </c>
      <c r="H205" s="6">
        <v>1.0284E-5</v>
      </c>
      <c r="I205" s="6"/>
      <c r="J205" s="6"/>
    </row>
    <row r="206" spans="1:10" x14ac:dyDescent="0.3">
      <c r="A206" t="s">
        <v>143</v>
      </c>
      <c r="B206" t="s">
        <v>144</v>
      </c>
      <c r="C206" t="s">
        <v>581</v>
      </c>
      <c r="D206">
        <v>2018</v>
      </c>
      <c r="E206" t="s">
        <v>573</v>
      </c>
      <c r="F206" s="6">
        <v>9.6632495180000006</v>
      </c>
      <c r="G206" s="6">
        <v>9.6635071010000004</v>
      </c>
      <c r="H206" s="6">
        <v>2.5758299999999998E-4</v>
      </c>
      <c r="I206" s="6"/>
      <c r="J206" s="6"/>
    </row>
    <row r="207" spans="1:10" x14ac:dyDescent="0.3">
      <c r="A207" t="s">
        <v>143</v>
      </c>
      <c r="B207" t="s">
        <v>144</v>
      </c>
      <c r="C207" t="s">
        <v>581</v>
      </c>
      <c r="D207">
        <v>2019</v>
      </c>
      <c r="E207" t="s">
        <v>573</v>
      </c>
      <c r="F207" s="6">
        <v>10.812084079</v>
      </c>
      <c r="G207" s="6">
        <v>10.812224393999999</v>
      </c>
      <c r="H207" s="6">
        <v>1.4031499999999999E-4</v>
      </c>
      <c r="I207" s="6"/>
      <c r="J207" s="6"/>
    </row>
    <row r="208" spans="1:10" x14ac:dyDescent="0.3">
      <c r="A208" t="s">
        <v>143</v>
      </c>
      <c r="B208" t="s">
        <v>144</v>
      </c>
      <c r="C208" t="s">
        <v>581</v>
      </c>
      <c r="D208">
        <v>2020</v>
      </c>
      <c r="E208" t="s">
        <v>573</v>
      </c>
      <c r="F208" s="6">
        <v>10.156827472</v>
      </c>
      <c r="G208" s="6">
        <v>10.156829315</v>
      </c>
      <c r="H208" s="6">
        <v>1.843E-6</v>
      </c>
      <c r="I208" s="6"/>
      <c r="J208" s="6"/>
    </row>
    <row r="209" spans="1:10" x14ac:dyDescent="0.3">
      <c r="A209" t="s">
        <v>143</v>
      </c>
      <c r="B209" t="s">
        <v>144</v>
      </c>
      <c r="C209" t="s">
        <v>581</v>
      </c>
      <c r="D209">
        <v>2021</v>
      </c>
      <c r="E209" t="s">
        <v>573</v>
      </c>
      <c r="F209" s="6">
        <v>7.4729276121000003</v>
      </c>
      <c r="G209" s="6">
        <v>7.4732229201400004</v>
      </c>
      <c r="H209" s="6">
        <v>2.9530799999999999E-4</v>
      </c>
      <c r="I209" s="6"/>
      <c r="J209" s="6"/>
    </row>
    <row r="210" spans="1:10" x14ac:dyDescent="0.3">
      <c r="A210" t="s">
        <v>143</v>
      </c>
      <c r="B210" t="s">
        <v>144</v>
      </c>
      <c r="C210" t="s">
        <v>581</v>
      </c>
      <c r="D210">
        <v>2022</v>
      </c>
      <c r="E210" t="s">
        <v>573</v>
      </c>
      <c r="F210" s="6">
        <v>6.4752755505200001</v>
      </c>
      <c r="G210" s="6">
        <v>6.4754590117099999</v>
      </c>
      <c r="H210" s="6">
        <v>1.8346119E-4</v>
      </c>
      <c r="I210" s="6"/>
      <c r="J210" s="6"/>
    </row>
    <row r="211" spans="1:10" x14ac:dyDescent="0.3">
      <c r="A211" t="s">
        <v>143</v>
      </c>
      <c r="B211" t="s">
        <v>144</v>
      </c>
      <c r="C211" t="s">
        <v>581</v>
      </c>
      <c r="D211">
        <v>2023</v>
      </c>
      <c r="E211" t="s">
        <v>573</v>
      </c>
      <c r="F211" s="6">
        <v>8.6385564430000006</v>
      </c>
      <c r="G211" s="6">
        <v>8.6385923748899991</v>
      </c>
      <c r="H211" s="6">
        <v>3.593102E-5</v>
      </c>
      <c r="I211" s="6"/>
      <c r="J211" s="6"/>
    </row>
    <row r="212" spans="1:10" x14ac:dyDescent="0.3">
      <c r="A212" t="s">
        <v>143</v>
      </c>
      <c r="B212" t="s">
        <v>144</v>
      </c>
      <c r="C212" t="s">
        <v>581</v>
      </c>
      <c r="D212">
        <v>2024</v>
      </c>
      <c r="E212" t="s">
        <v>573</v>
      </c>
      <c r="F212" s="6">
        <v>9.3782933140000004</v>
      </c>
      <c r="G212" s="6"/>
      <c r="H212" s="6"/>
      <c r="I212" s="6"/>
      <c r="J212" s="6"/>
    </row>
    <row r="213" spans="1:10" x14ac:dyDescent="0.3">
      <c r="A213" t="s">
        <v>148</v>
      </c>
      <c r="B213" t="s">
        <v>144</v>
      </c>
      <c r="C213" t="s">
        <v>581</v>
      </c>
      <c r="D213">
        <v>2007</v>
      </c>
      <c r="E213" t="s">
        <v>573</v>
      </c>
      <c r="F213" s="6">
        <v>14.03261</v>
      </c>
      <c r="G213" s="6"/>
      <c r="H213" s="6"/>
      <c r="I213" s="6"/>
      <c r="J213" s="6"/>
    </row>
    <row r="214" spans="1:10" x14ac:dyDescent="0.3">
      <c r="A214" t="s">
        <v>148</v>
      </c>
      <c r="B214" t="s">
        <v>144</v>
      </c>
      <c r="C214" t="s">
        <v>581</v>
      </c>
      <c r="D214">
        <v>2008</v>
      </c>
      <c r="E214" t="s">
        <v>573</v>
      </c>
      <c r="F214" s="6">
        <v>20.21068</v>
      </c>
      <c r="G214" s="6"/>
      <c r="H214" s="6"/>
      <c r="I214" s="6"/>
      <c r="J214" s="6"/>
    </row>
    <row r="215" spans="1:10" x14ac:dyDescent="0.3">
      <c r="A215" t="s">
        <v>148</v>
      </c>
      <c r="B215" t="s">
        <v>144</v>
      </c>
      <c r="C215" t="s">
        <v>581</v>
      </c>
      <c r="D215">
        <v>2009</v>
      </c>
      <c r="E215" t="s">
        <v>573</v>
      </c>
      <c r="F215" s="6">
        <v>11.28478</v>
      </c>
      <c r="G215" s="6"/>
      <c r="H215" s="6"/>
      <c r="I215" s="6"/>
      <c r="J215" s="6"/>
    </row>
    <row r="216" spans="1:10" x14ac:dyDescent="0.3">
      <c r="A216" t="s">
        <v>148</v>
      </c>
      <c r="B216" t="s">
        <v>144</v>
      </c>
      <c r="C216" t="s">
        <v>581</v>
      </c>
      <c r="D216">
        <v>2010</v>
      </c>
      <c r="E216" t="s">
        <v>573</v>
      </c>
      <c r="F216" s="6">
        <v>12.720101155</v>
      </c>
      <c r="G216" s="6">
        <v>12.720101155</v>
      </c>
      <c r="H216" s="6">
        <v>0</v>
      </c>
      <c r="I216" s="6"/>
      <c r="J216" s="6"/>
    </row>
    <row r="217" spans="1:10" x14ac:dyDescent="0.3">
      <c r="A217" t="s">
        <v>148</v>
      </c>
      <c r="B217" t="s">
        <v>144</v>
      </c>
      <c r="C217" t="s">
        <v>581</v>
      </c>
      <c r="D217">
        <v>2011</v>
      </c>
      <c r="E217" t="s">
        <v>573</v>
      </c>
      <c r="F217" s="6">
        <v>13.156642431</v>
      </c>
      <c r="G217" s="6">
        <v>13.156642431</v>
      </c>
      <c r="H217" s="6">
        <v>0</v>
      </c>
      <c r="I217" s="6"/>
      <c r="J217" s="6"/>
    </row>
    <row r="218" spans="1:10" x14ac:dyDescent="0.3">
      <c r="A218" t="s">
        <v>148</v>
      </c>
      <c r="B218" t="s">
        <v>144</v>
      </c>
      <c r="C218" t="s">
        <v>581</v>
      </c>
      <c r="D218">
        <v>2012</v>
      </c>
      <c r="E218" t="s">
        <v>573</v>
      </c>
      <c r="F218" s="6">
        <v>14.997518658000001</v>
      </c>
      <c r="G218" s="6">
        <v>14.997692047999999</v>
      </c>
      <c r="H218" s="6">
        <v>1.7338999999999999E-4</v>
      </c>
      <c r="I218" s="6"/>
      <c r="J218" s="6"/>
    </row>
    <row r="219" spans="1:10" x14ac:dyDescent="0.3">
      <c r="A219" t="s">
        <v>148</v>
      </c>
      <c r="B219" t="s">
        <v>144</v>
      </c>
      <c r="C219" t="s">
        <v>581</v>
      </c>
      <c r="D219">
        <v>2013</v>
      </c>
      <c r="E219" t="s">
        <v>573</v>
      </c>
      <c r="F219" s="6">
        <v>15.419125833000001</v>
      </c>
      <c r="G219" s="6">
        <v>15.419149512000001</v>
      </c>
      <c r="H219" s="6">
        <v>2.3679000000000001E-5</v>
      </c>
      <c r="I219" s="6"/>
      <c r="J219" s="6"/>
    </row>
    <row r="220" spans="1:10" x14ac:dyDescent="0.3">
      <c r="A220" t="s">
        <v>148</v>
      </c>
      <c r="B220" t="s">
        <v>144</v>
      </c>
      <c r="C220" t="s">
        <v>581</v>
      </c>
      <c r="D220">
        <v>2014</v>
      </c>
      <c r="E220" t="s">
        <v>573</v>
      </c>
      <c r="F220" s="6">
        <v>14.688820968</v>
      </c>
      <c r="G220" s="6">
        <v>14.703081363000001</v>
      </c>
      <c r="H220" s="6">
        <v>1.4260395E-2</v>
      </c>
      <c r="I220" s="6"/>
      <c r="J220" s="6"/>
    </row>
    <row r="221" spans="1:10" x14ac:dyDescent="0.3">
      <c r="A221" t="s">
        <v>148</v>
      </c>
      <c r="B221" t="s">
        <v>144</v>
      </c>
      <c r="C221" t="s">
        <v>581</v>
      </c>
      <c r="D221">
        <v>2015</v>
      </c>
      <c r="E221" t="s">
        <v>573</v>
      </c>
      <c r="F221" s="6">
        <v>13.966275720000001</v>
      </c>
      <c r="G221" s="6">
        <v>13.96858003</v>
      </c>
      <c r="H221" s="6">
        <v>2.30431E-3</v>
      </c>
      <c r="I221" s="6"/>
      <c r="J221" s="6"/>
    </row>
    <row r="222" spans="1:10" x14ac:dyDescent="0.3">
      <c r="A222" t="s">
        <v>148</v>
      </c>
      <c r="B222" t="s">
        <v>144</v>
      </c>
      <c r="C222" t="s">
        <v>581</v>
      </c>
      <c r="D222">
        <v>2016</v>
      </c>
      <c r="E222" t="s">
        <v>573</v>
      </c>
      <c r="F222" s="6">
        <v>13.772058263</v>
      </c>
      <c r="G222" s="6">
        <v>13.772109908999999</v>
      </c>
      <c r="H222" s="6">
        <v>5.1646E-5</v>
      </c>
      <c r="I222" s="6"/>
      <c r="J222" s="6"/>
    </row>
    <row r="223" spans="1:10" x14ac:dyDescent="0.3">
      <c r="A223" t="s">
        <v>148</v>
      </c>
      <c r="B223" t="s">
        <v>144</v>
      </c>
      <c r="C223" t="s">
        <v>581</v>
      </c>
      <c r="D223">
        <v>2017</v>
      </c>
      <c r="E223" t="s">
        <v>573</v>
      </c>
      <c r="F223" s="6">
        <v>14.738823345</v>
      </c>
      <c r="G223" s="6">
        <v>14.739287572</v>
      </c>
      <c r="H223" s="6">
        <v>4.64227E-4</v>
      </c>
      <c r="I223" s="6"/>
      <c r="J223" s="6"/>
    </row>
    <row r="224" spans="1:10" x14ac:dyDescent="0.3">
      <c r="A224" t="s">
        <v>148</v>
      </c>
      <c r="B224" t="s">
        <v>144</v>
      </c>
      <c r="C224" t="s">
        <v>581</v>
      </c>
      <c r="D224">
        <v>2018</v>
      </c>
      <c r="E224" t="s">
        <v>573</v>
      </c>
      <c r="F224" s="6">
        <v>14.133847288</v>
      </c>
      <c r="G224" s="6">
        <v>14.137789372</v>
      </c>
      <c r="H224" s="6">
        <v>3.9420840000000002E-3</v>
      </c>
      <c r="I224" s="6"/>
      <c r="J224" s="6"/>
    </row>
    <row r="225" spans="1:10" x14ac:dyDescent="0.3">
      <c r="A225" t="s">
        <v>148</v>
      </c>
      <c r="B225" t="s">
        <v>144</v>
      </c>
      <c r="C225" t="s">
        <v>581</v>
      </c>
      <c r="D225">
        <v>2019</v>
      </c>
      <c r="E225" t="s">
        <v>573</v>
      </c>
      <c r="F225" s="6">
        <v>12.233406487</v>
      </c>
      <c r="G225" s="6">
        <v>12.233659482</v>
      </c>
      <c r="H225" s="6">
        <v>2.52995E-4</v>
      </c>
      <c r="I225" s="6"/>
      <c r="J225" s="6"/>
    </row>
    <row r="226" spans="1:10" x14ac:dyDescent="0.3">
      <c r="A226" t="s">
        <v>148</v>
      </c>
      <c r="B226" t="s">
        <v>144</v>
      </c>
      <c r="C226" t="s">
        <v>581</v>
      </c>
      <c r="D226">
        <v>2020</v>
      </c>
      <c r="E226" t="s">
        <v>573</v>
      </c>
      <c r="F226" s="6">
        <v>8.9552435930000005</v>
      </c>
      <c r="G226" s="6">
        <v>8.9552435930000005</v>
      </c>
      <c r="H226" s="6">
        <v>0</v>
      </c>
      <c r="I226" s="6"/>
      <c r="J226" s="6"/>
    </row>
    <row r="227" spans="1:10" x14ac:dyDescent="0.3">
      <c r="A227" t="s">
        <v>148</v>
      </c>
      <c r="B227" t="s">
        <v>144</v>
      </c>
      <c r="C227" t="s">
        <v>581</v>
      </c>
      <c r="D227">
        <v>2021</v>
      </c>
      <c r="E227" t="s">
        <v>573</v>
      </c>
      <c r="F227" s="6">
        <v>2.45719720521</v>
      </c>
      <c r="G227" s="6">
        <v>2.4573613017899998</v>
      </c>
      <c r="H227" s="6">
        <v>1.6409657999999998E-4</v>
      </c>
      <c r="I227" s="6"/>
      <c r="J227" s="6"/>
    </row>
    <row r="228" spans="1:10" x14ac:dyDescent="0.3">
      <c r="A228" t="s">
        <v>148</v>
      </c>
      <c r="B228" t="s">
        <v>144</v>
      </c>
      <c r="C228" t="s">
        <v>581</v>
      </c>
      <c r="D228">
        <v>2022</v>
      </c>
      <c r="E228" t="s">
        <v>573</v>
      </c>
      <c r="F228" s="6">
        <v>7.5141825330500005</v>
      </c>
      <c r="G228" s="6">
        <v>7.5146538078100003</v>
      </c>
      <c r="H228" s="6">
        <v>4.7127475999999999E-4</v>
      </c>
      <c r="I228" s="6"/>
      <c r="J228" s="6"/>
    </row>
    <row r="229" spans="1:10" x14ac:dyDescent="0.3">
      <c r="A229" t="s">
        <v>148</v>
      </c>
      <c r="B229" t="s">
        <v>144</v>
      </c>
      <c r="C229" t="s">
        <v>581</v>
      </c>
      <c r="D229">
        <v>2023</v>
      </c>
      <c r="E229" t="s">
        <v>573</v>
      </c>
      <c r="F229" s="6">
        <v>6.03011163627</v>
      </c>
      <c r="G229" s="6">
        <v>6.03013758138</v>
      </c>
      <c r="H229" s="6">
        <v>2.5945110000000001E-5</v>
      </c>
      <c r="I229" s="6"/>
      <c r="J229" s="6"/>
    </row>
    <row r="230" spans="1:10" x14ac:dyDescent="0.3">
      <c r="A230" t="s">
        <v>148</v>
      </c>
      <c r="B230" t="s">
        <v>144</v>
      </c>
      <c r="C230" t="s">
        <v>581</v>
      </c>
      <c r="D230">
        <v>2024</v>
      </c>
      <c r="E230" t="s">
        <v>573</v>
      </c>
      <c r="F230" s="6">
        <v>3.6181992260000002</v>
      </c>
      <c r="G230" s="6"/>
      <c r="H230" s="6"/>
      <c r="I230" s="6"/>
      <c r="J230" s="6"/>
    </row>
    <row r="231" spans="1:10" x14ac:dyDescent="0.3">
      <c r="A231" t="s">
        <v>158</v>
      </c>
      <c r="B231" t="s">
        <v>153</v>
      </c>
      <c r="C231" t="s">
        <v>582</v>
      </c>
      <c r="D231">
        <v>2007</v>
      </c>
      <c r="E231" t="s">
        <v>573</v>
      </c>
      <c r="F231" s="6">
        <v>200</v>
      </c>
      <c r="G231" s="6">
        <v>200</v>
      </c>
      <c r="H231" s="6">
        <v>0</v>
      </c>
      <c r="I231" s="6"/>
      <c r="J231" s="6"/>
    </row>
    <row r="232" spans="1:10" x14ac:dyDescent="0.3">
      <c r="A232" t="s">
        <v>158</v>
      </c>
      <c r="B232" t="s">
        <v>153</v>
      </c>
      <c r="C232" t="s">
        <v>582</v>
      </c>
      <c r="D232">
        <v>2008</v>
      </c>
      <c r="E232" t="s">
        <v>573</v>
      </c>
      <c r="F232" s="6">
        <v>288.75599999999997</v>
      </c>
      <c r="G232" s="6">
        <v>297.54000000000002</v>
      </c>
      <c r="H232" s="6">
        <v>8.7840000000000007</v>
      </c>
      <c r="I232" s="6"/>
      <c r="J232" s="6"/>
    </row>
    <row r="233" spans="1:10" x14ac:dyDescent="0.3">
      <c r="A233" t="s">
        <v>158</v>
      </c>
      <c r="B233" t="s">
        <v>153</v>
      </c>
      <c r="C233" t="s">
        <v>582</v>
      </c>
      <c r="D233">
        <v>2009</v>
      </c>
      <c r="E233" t="s">
        <v>573</v>
      </c>
      <c r="F233" s="6">
        <v>320.01</v>
      </c>
      <c r="G233" s="6">
        <v>332.39400000000001</v>
      </c>
      <c r="H233" s="6">
        <v>12.384</v>
      </c>
      <c r="I233" s="6"/>
      <c r="J233" s="6"/>
    </row>
    <row r="234" spans="1:10" x14ac:dyDescent="0.3">
      <c r="A234" t="s">
        <v>158</v>
      </c>
      <c r="B234" t="s">
        <v>153</v>
      </c>
      <c r="C234" t="s">
        <v>582</v>
      </c>
      <c r="D234">
        <v>2010</v>
      </c>
      <c r="E234" t="s">
        <v>573</v>
      </c>
      <c r="F234" s="6">
        <v>374.30200000000002</v>
      </c>
      <c r="G234" s="6">
        <v>409.57900000000001</v>
      </c>
      <c r="H234" s="6">
        <v>35.277000000000001</v>
      </c>
      <c r="I234" s="6"/>
      <c r="J234" s="6"/>
    </row>
    <row r="235" spans="1:10" x14ac:dyDescent="0.3">
      <c r="A235" t="s">
        <v>158</v>
      </c>
      <c r="B235" t="s">
        <v>153</v>
      </c>
      <c r="C235" t="s">
        <v>582</v>
      </c>
      <c r="D235">
        <v>2011</v>
      </c>
      <c r="E235" t="s">
        <v>573</v>
      </c>
      <c r="F235" s="6">
        <v>425.09500000000003</v>
      </c>
      <c r="G235" s="6">
        <v>482.16699999999997</v>
      </c>
      <c r="H235" s="6">
        <v>57.072000000000003</v>
      </c>
      <c r="I235" s="6"/>
      <c r="J235" s="6"/>
    </row>
    <row r="236" spans="1:10" x14ac:dyDescent="0.3">
      <c r="A236" t="s">
        <v>158</v>
      </c>
      <c r="B236" t="s">
        <v>153</v>
      </c>
      <c r="C236" t="s">
        <v>582</v>
      </c>
      <c r="D236">
        <v>2012</v>
      </c>
      <c r="E236" t="s">
        <v>573</v>
      </c>
      <c r="F236" s="6">
        <v>495.91699999999997</v>
      </c>
      <c r="G236" s="6">
        <v>575.178</v>
      </c>
      <c r="H236" s="6">
        <v>79.260999999999996</v>
      </c>
      <c r="I236" s="6"/>
      <c r="J236" s="6"/>
    </row>
    <row r="237" spans="1:10" x14ac:dyDescent="0.3">
      <c r="A237" t="s">
        <v>158</v>
      </c>
      <c r="B237" t="s">
        <v>153</v>
      </c>
      <c r="C237" t="s">
        <v>582</v>
      </c>
      <c r="D237">
        <v>2013</v>
      </c>
      <c r="E237" t="s">
        <v>573</v>
      </c>
      <c r="F237" s="6">
        <v>619.23</v>
      </c>
      <c r="G237" s="6">
        <v>653.16300000000001</v>
      </c>
      <c r="H237" s="6">
        <v>33.933</v>
      </c>
      <c r="I237" s="6"/>
      <c r="J237" s="6"/>
    </row>
    <row r="238" spans="1:10" x14ac:dyDescent="0.3">
      <c r="A238" t="s">
        <v>158</v>
      </c>
      <c r="B238" t="s">
        <v>153</v>
      </c>
      <c r="C238" t="s">
        <v>582</v>
      </c>
      <c r="D238">
        <v>2014</v>
      </c>
      <c r="E238" t="s">
        <v>573</v>
      </c>
      <c r="F238" s="6">
        <v>709.34900000000005</v>
      </c>
      <c r="G238" s="6">
        <v>746.73</v>
      </c>
      <c r="H238" s="6">
        <v>37.381</v>
      </c>
      <c r="I238" s="6"/>
      <c r="J238" s="6"/>
    </row>
    <row r="239" spans="1:10" x14ac:dyDescent="0.3">
      <c r="A239" t="s">
        <v>158</v>
      </c>
      <c r="B239" t="s">
        <v>153</v>
      </c>
      <c r="C239" t="s">
        <v>582</v>
      </c>
      <c r="D239">
        <v>2015</v>
      </c>
      <c r="E239" t="s">
        <v>573</v>
      </c>
      <c r="F239" s="6">
        <v>724.74199999999996</v>
      </c>
      <c r="G239" s="6">
        <v>813.76199999999994</v>
      </c>
      <c r="H239" s="6">
        <v>89.02</v>
      </c>
      <c r="I239" s="6"/>
      <c r="J239" s="6"/>
    </row>
    <row r="240" spans="1:10" x14ac:dyDescent="0.3">
      <c r="A240" t="s">
        <v>158</v>
      </c>
      <c r="B240" t="s">
        <v>153</v>
      </c>
      <c r="C240" t="s">
        <v>582</v>
      </c>
      <c r="D240">
        <v>2016</v>
      </c>
      <c r="E240" t="s">
        <v>573</v>
      </c>
      <c r="F240" s="6">
        <v>734.95600000000002</v>
      </c>
      <c r="G240" s="6">
        <v>813.51300000000003</v>
      </c>
      <c r="H240" s="6">
        <v>78.557000000000002</v>
      </c>
      <c r="I240" s="6"/>
      <c r="J240" s="6"/>
    </row>
    <row r="241" spans="1:10" x14ac:dyDescent="0.3">
      <c r="A241" t="s">
        <v>158</v>
      </c>
      <c r="B241" t="s">
        <v>153</v>
      </c>
      <c r="C241" t="s">
        <v>582</v>
      </c>
      <c r="D241">
        <v>2017</v>
      </c>
      <c r="E241" t="s">
        <v>573</v>
      </c>
      <c r="F241" s="6">
        <v>846.01400000000001</v>
      </c>
      <c r="G241" s="6">
        <v>941.41700000000003</v>
      </c>
      <c r="H241" s="6">
        <v>95.403000000000006</v>
      </c>
      <c r="I241" s="6"/>
      <c r="J241" s="6"/>
    </row>
    <row r="242" spans="1:10" x14ac:dyDescent="0.3">
      <c r="A242" t="s">
        <v>158</v>
      </c>
      <c r="B242" t="s">
        <v>153</v>
      </c>
      <c r="C242" t="s">
        <v>582</v>
      </c>
      <c r="D242">
        <v>2018</v>
      </c>
      <c r="E242" t="s">
        <v>573</v>
      </c>
      <c r="F242" s="6">
        <v>858.84500000000003</v>
      </c>
      <c r="G242" s="6">
        <v>940.60400000000004</v>
      </c>
      <c r="H242" s="6">
        <v>81.759</v>
      </c>
      <c r="I242" s="6"/>
      <c r="J242" s="6"/>
    </row>
    <row r="243" spans="1:10" x14ac:dyDescent="0.3">
      <c r="A243" t="s">
        <v>158</v>
      </c>
      <c r="B243" t="s">
        <v>153</v>
      </c>
      <c r="C243" t="s">
        <v>582</v>
      </c>
      <c r="D243">
        <v>2019</v>
      </c>
      <c r="E243" t="s">
        <v>573</v>
      </c>
      <c r="F243" s="6">
        <v>946.93399999999997</v>
      </c>
      <c r="G243" s="6">
        <v>1045.7149999999999</v>
      </c>
      <c r="H243" s="6">
        <v>98.781000000000006</v>
      </c>
      <c r="I243" s="6"/>
      <c r="J243" s="6"/>
    </row>
    <row r="244" spans="1:10" x14ac:dyDescent="0.3">
      <c r="A244" t="s">
        <v>158</v>
      </c>
      <c r="B244" t="s">
        <v>153</v>
      </c>
      <c r="C244" t="s">
        <v>582</v>
      </c>
      <c r="D244">
        <v>2020</v>
      </c>
      <c r="E244" t="s">
        <v>573</v>
      </c>
      <c r="F244" s="6">
        <v>1113.7260000000001</v>
      </c>
      <c r="G244" s="6">
        <v>1222.307</v>
      </c>
      <c r="H244" s="6">
        <v>108.581</v>
      </c>
      <c r="I244" s="6"/>
      <c r="J244" s="6"/>
    </row>
    <row r="245" spans="1:10" x14ac:dyDescent="0.3">
      <c r="A245" t="s">
        <v>158</v>
      </c>
      <c r="B245" t="s">
        <v>153</v>
      </c>
      <c r="C245" t="s">
        <v>582</v>
      </c>
      <c r="D245">
        <v>2021</v>
      </c>
      <c r="E245" t="s">
        <v>573</v>
      </c>
      <c r="F245" s="6">
        <v>1245.086</v>
      </c>
      <c r="G245" s="6">
        <v>1350.8630000000001</v>
      </c>
      <c r="H245" s="6">
        <v>105.777</v>
      </c>
      <c r="I245" s="6"/>
      <c r="J245" s="6"/>
    </row>
    <row r="246" spans="1:10" x14ac:dyDescent="0.3">
      <c r="A246" t="s">
        <v>158</v>
      </c>
      <c r="B246" t="s">
        <v>153</v>
      </c>
      <c r="C246" t="s">
        <v>582</v>
      </c>
      <c r="D246">
        <v>2022</v>
      </c>
      <c r="E246" t="s">
        <v>573</v>
      </c>
      <c r="F246" s="6">
        <v>1146.4690000000001</v>
      </c>
      <c r="G246" s="6">
        <v>1239.943</v>
      </c>
      <c r="H246" s="6">
        <v>93.474000000000004</v>
      </c>
      <c r="I246" s="6"/>
      <c r="J246" s="6"/>
    </row>
    <row r="247" spans="1:10" x14ac:dyDescent="0.3">
      <c r="A247" t="s">
        <v>158</v>
      </c>
      <c r="B247" t="s">
        <v>153</v>
      </c>
      <c r="C247" t="s">
        <v>582</v>
      </c>
      <c r="D247">
        <v>2023</v>
      </c>
      <c r="E247" t="s">
        <v>573</v>
      </c>
      <c r="F247" s="6">
        <v>1237.8430000000001</v>
      </c>
      <c r="G247" s="6">
        <v>1332.0709999999999</v>
      </c>
      <c r="H247" s="6">
        <v>94.227999999999994</v>
      </c>
      <c r="I247" s="6"/>
      <c r="J247" s="6"/>
    </row>
    <row r="248" spans="1:10" x14ac:dyDescent="0.3">
      <c r="A248" t="s">
        <v>158</v>
      </c>
      <c r="B248" t="s">
        <v>153</v>
      </c>
      <c r="C248" t="s">
        <v>582</v>
      </c>
      <c r="D248">
        <v>2024</v>
      </c>
      <c r="E248" t="s">
        <v>573</v>
      </c>
      <c r="F248" s="10">
        <v>1369.9590000000001</v>
      </c>
      <c r="G248" s="6">
        <v>1567.3340000000001</v>
      </c>
      <c r="H248" s="6">
        <v>197.375</v>
      </c>
      <c r="I248" s="6"/>
      <c r="J248" s="6"/>
    </row>
    <row r="249" spans="1:10" x14ac:dyDescent="0.3">
      <c r="A249" t="s">
        <v>167</v>
      </c>
      <c r="B249" t="s">
        <v>162</v>
      </c>
      <c r="C249" t="s">
        <v>583</v>
      </c>
      <c r="D249">
        <v>2012</v>
      </c>
      <c r="E249" t="s">
        <v>573</v>
      </c>
      <c r="F249" s="6"/>
      <c r="G249" s="6"/>
      <c r="H249" s="6"/>
      <c r="I249" s="6"/>
      <c r="J249" s="6"/>
    </row>
    <row r="250" spans="1:10" x14ac:dyDescent="0.3">
      <c r="A250" t="s">
        <v>167</v>
      </c>
      <c r="B250" t="s">
        <v>162</v>
      </c>
      <c r="C250" t="s">
        <v>583</v>
      </c>
      <c r="D250">
        <v>2013</v>
      </c>
      <c r="E250" t="s">
        <v>573</v>
      </c>
      <c r="F250" s="6"/>
      <c r="G250" s="6"/>
      <c r="H250" s="6"/>
      <c r="I250" s="6"/>
      <c r="J250" s="6"/>
    </row>
    <row r="251" spans="1:10" x14ac:dyDescent="0.3">
      <c r="A251" t="s">
        <v>167</v>
      </c>
      <c r="B251" t="s">
        <v>162</v>
      </c>
      <c r="C251" t="s">
        <v>583</v>
      </c>
      <c r="D251">
        <v>2014</v>
      </c>
      <c r="E251" t="s">
        <v>573</v>
      </c>
      <c r="F251" s="6"/>
      <c r="G251" s="6"/>
      <c r="H251" s="6"/>
      <c r="I251" s="6"/>
      <c r="J251" s="6"/>
    </row>
    <row r="252" spans="1:10" x14ac:dyDescent="0.3">
      <c r="A252" t="s">
        <v>167</v>
      </c>
      <c r="B252" t="s">
        <v>162</v>
      </c>
      <c r="C252" t="s">
        <v>583</v>
      </c>
      <c r="D252">
        <v>2015</v>
      </c>
      <c r="E252" t="s">
        <v>573</v>
      </c>
      <c r="F252" s="6"/>
      <c r="G252" s="6"/>
      <c r="H252" s="6"/>
      <c r="I252" s="6"/>
      <c r="J252" s="6"/>
    </row>
    <row r="253" spans="1:10" x14ac:dyDescent="0.3">
      <c r="A253" t="s">
        <v>167</v>
      </c>
      <c r="B253" t="s">
        <v>162</v>
      </c>
      <c r="C253" t="s">
        <v>583</v>
      </c>
      <c r="D253">
        <v>2016</v>
      </c>
      <c r="E253" t="s">
        <v>573</v>
      </c>
      <c r="F253" s="6"/>
      <c r="G253" s="6"/>
      <c r="H253" s="6"/>
      <c r="I253" s="6"/>
      <c r="J253" s="6"/>
    </row>
    <row r="254" spans="1:10" x14ac:dyDescent="0.3">
      <c r="A254" t="s">
        <v>167</v>
      </c>
      <c r="B254" t="s">
        <v>162</v>
      </c>
      <c r="C254" t="s">
        <v>583</v>
      </c>
      <c r="D254">
        <v>2017</v>
      </c>
      <c r="E254" t="s">
        <v>573</v>
      </c>
      <c r="F254" s="6"/>
      <c r="G254" s="6"/>
      <c r="H254" s="6"/>
      <c r="I254" s="6"/>
      <c r="J254" s="6"/>
    </row>
    <row r="255" spans="1:10" x14ac:dyDescent="0.3">
      <c r="A255" t="s">
        <v>167</v>
      </c>
      <c r="B255" t="s">
        <v>162</v>
      </c>
      <c r="C255" t="s">
        <v>583</v>
      </c>
      <c r="D255">
        <v>2018</v>
      </c>
      <c r="E255" t="s">
        <v>573</v>
      </c>
      <c r="F255" s="6"/>
      <c r="G255" s="6"/>
      <c r="H255" s="6"/>
      <c r="I255" s="6"/>
      <c r="J255" s="6"/>
    </row>
    <row r="256" spans="1:10" x14ac:dyDescent="0.3">
      <c r="A256" t="s">
        <v>167</v>
      </c>
      <c r="B256" t="s">
        <v>162</v>
      </c>
      <c r="C256" t="s">
        <v>583</v>
      </c>
      <c r="D256">
        <v>2019</v>
      </c>
      <c r="E256" t="s">
        <v>573</v>
      </c>
      <c r="F256">
        <v>3.5758000000000001</v>
      </c>
    </row>
    <row r="257" spans="1:6" x14ac:dyDescent="0.3">
      <c r="A257" t="s">
        <v>167</v>
      </c>
      <c r="B257" t="s">
        <v>162</v>
      </c>
      <c r="C257" t="s">
        <v>583</v>
      </c>
      <c r="D257">
        <v>2020</v>
      </c>
      <c r="E257" t="s">
        <v>573</v>
      </c>
      <c r="F257">
        <v>4.0054999999999996</v>
      </c>
    </row>
    <row r="258" spans="1:6" x14ac:dyDescent="0.3">
      <c r="A258" t="s">
        <v>167</v>
      </c>
      <c r="B258" t="s">
        <v>162</v>
      </c>
      <c r="C258" t="s">
        <v>583</v>
      </c>
      <c r="D258">
        <v>2021</v>
      </c>
      <c r="E258" t="s">
        <v>573</v>
      </c>
      <c r="F258">
        <v>3.69</v>
      </c>
    </row>
    <row r="259" spans="1:6" x14ac:dyDescent="0.3">
      <c r="A259" t="s">
        <v>167</v>
      </c>
      <c r="B259" t="s">
        <v>162</v>
      </c>
      <c r="C259" t="s">
        <v>583</v>
      </c>
      <c r="D259">
        <v>2022</v>
      </c>
      <c r="E259" t="s">
        <v>573</v>
      </c>
      <c r="F259">
        <v>3.6414</v>
      </c>
    </row>
    <row r="260" spans="1:6" x14ac:dyDescent="0.3">
      <c r="A260" t="s">
        <v>167</v>
      </c>
      <c r="B260" t="s">
        <v>162</v>
      </c>
      <c r="C260" t="s">
        <v>583</v>
      </c>
      <c r="D260">
        <v>2023</v>
      </c>
      <c r="E260" t="s">
        <v>573</v>
      </c>
      <c r="F260">
        <v>4.2088000000000001</v>
      </c>
    </row>
    <row r="261" spans="1:6" x14ac:dyDescent="0.3">
      <c r="A261" t="s">
        <v>167</v>
      </c>
      <c r="B261" t="s">
        <v>162</v>
      </c>
      <c r="C261" t="s">
        <v>583</v>
      </c>
      <c r="D261">
        <v>2024</v>
      </c>
      <c r="E261" t="s">
        <v>573</v>
      </c>
      <c r="F261">
        <v>4.4031000000000002</v>
      </c>
    </row>
    <row r="262" spans="1:6" x14ac:dyDescent="0.3">
      <c r="A262" t="s">
        <v>161</v>
      </c>
      <c r="B262" t="s">
        <v>162</v>
      </c>
      <c r="C262" t="s">
        <v>583</v>
      </c>
      <c r="D262">
        <v>1995</v>
      </c>
      <c r="E262" t="s">
        <v>573</v>
      </c>
    </row>
    <row r="263" spans="1:6" x14ac:dyDescent="0.3">
      <c r="A263" t="s">
        <v>161</v>
      </c>
      <c r="B263" t="s">
        <v>162</v>
      </c>
      <c r="C263" t="s">
        <v>583</v>
      </c>
      <c r="D263">
        <v>1996</v>
      </c>
      <c r="E263" t="s">
        <v>573</v>
      </c>
    </row>
    <row r="264" spans="1:6" x14ac:dyDescent="0.3">
      <c r="A264" t="s">
        <v>161</v>
      </c>
      <c r="B264" t="s">
        <v>162</v>
      </c>
      <c r="C264" t="s">
        <v>583</v>
      </c>
      <c r="D264">
        <v>1997</v>
      </c>
      <c r="E264" t="s">
        <v>573</v>
      </c>
    </row>
    <row r="265" spans="1:6" x14ac:dyDescent="0.3">
      <c r="A265" t="s">
        <v>161</v>
      </c>
      <c r="B265" t="s">
        <v>162</v>
      </c>
      <c r="C265" t="s">
        <v>583</v>
      </c>
      <c r="D265">
        <v>1998</v>
      </c>
      <c r="E265" t="s">
        <v>573</v>
      </c>
    </row>
    <row r="266" spans="1:6" x14ac:dyDescent="0.3">
      <c r="A266" t="s">
        <v>161</v>
      </c>
      <c r="B266" t="s">
        <v>162</v>
      </c>
      <c r="C266" t="s">
        <v>583</v>
      </c>
      <c r="D266">
        <v>1999</v>
      </c>
      <c r="E266" t="s">
        <v>573</v>
      </c>
    </row>
    <row r="267" spans="1:6" x14ac:dyDescent="0.3">
      <c r="A267" t="s">
        <v>161</v>
      </c>
      <c r="B267" t="s">
        <v>162</v>
      </c>
      <c r="C267" t="s">
        <v>583</v>
      </c>
      <c r="D267">
        <v>2000</v>
      </c>
      <c r="E267" t="s">
        <v>573</v>
      </c>
    </row>
    <row r="268" spans="1:6" x14ac:dyDescent="0.3">
      <c r="A268" t="s">
        <v>161</v>
      </c>
      <c r="B268" t="s">
        <v>162</v>
      </c>
      <c r="C268" t="s">
        <v>583</v>
      </c>
      <c r="D268">
        <v>2001</v>
      </c>
      <c r="E268" t="s">
        <v>573</v>
      </c>
    </row>
    <row r="269" spans="1:6" x14ac:dyDescent="0.3">
      <c r="A269" t="s">
        <v>161</v>
      </c>
      <c r="B269" t="s">
        <v>162</v>
      </c>
      <c r="C269" t="s">
        <v>583</v>
      </c>
      <c r="D269">
        <v>2002</v>
      </c>
      <c r="E269" t="s">
        <v>573</v>
      </c>
    </row>
    <row r="270" spans="1:6" x14ac:dyDescent="0.3">
      <c r="A270" t="s">
        <v>161</v>
      </c>
      <c r="B270" t="s">
        <v>162</v>
      </c>
      <c r="C270" t="s">
        <v>583</v>
      </c>
      <c r="D270">
        <v>2003</v>
      </c>
      <c r="E270" t="s">
        <v>573</v>
      </c>
    </row>
    <row r="271" spans="1:6" x14ac:dyDescent="0.3">
      <c r="A271" t="s">
        <v>161</v>
      </c>
      <c r="B271" t="s">
        <v>162</v>
      </c>
      <c r="C271" t="s">
        <v>583</v>
      </c>
      <c r="D271">
        <v>2004</v>
      </c>
      <c r="E271" t="s">
        <v>573</v>
      </c>
    </row>
    <row r="272" spans="1:6" ht="11.55" customHeight="1" x14ac:dyDescent="0.3">
      <c r="A272" t="s">
        <v>161</v>
      </c>
      <c r="B272" t="s">
        <v>162</v>
      </c>
      <c r="C272" t="s">
        <v>583</v>
      </c>
      <c r="D272">
        <v>2005</v>
      </c>
      <c r="E272" t="s">
        <v>573</v>
      </c>
    </row>
    <row r="273" spans="1:7" x14ac:dyDescent="0.3">
      <c r="A273" t="s">
        <v>161</v>
      </c>
      <c r="B273" t="s">
        <v>162</v>
      </c>
      <c r="C273" t="s">
        <v>583</v>
      </c>
      <c r="D273">
        <v>2006</v>
      </c>
      <c r="E273" t="s">
        <v>573</v>
      </c>
    </row>
    <row r="274" spans="1:7" x14ac:dyDescent="0.3">
      <c r="A274" t="s">
        <v>161</v>
      </c>
      <c r="B274" t="s">
        <v>162</v>
      </c>
      <c r="C274" t="s">
        <v>583</v>
      </c>
      <c r="D274">
        <v>2007</v>
      </c>
      <c r="E274" t="s">
        <v>573</v>
      </c>
    </row>
    <row r="275" spans="1:7" x14ac:dyDescent="0.3">
      <c r="A275" t="s">
        <v>161</v>
      </c>
      <c r="B275" t="s">
        <v>162</v>
      </c>
      <c r="C275" t="s">
        <v>583</v>
      </c>
      <c r="D275">
        <v>2008</v>
      </c>
      <c r="E275" t="s">
        <v>573</v>
      </c>
    </row>
    <row r="276" spans="1:7" x14ac:dyDescent="0.3">
      <c r="A276" t="s">
        <v>161</v>
      </c>
      <c r="B276" t="s">
        <v>162</v>
      </c>
      <c r="C276" t="s">
        <v>583</v>
      </c>
      <c r="D276">
        <v>2009</v>
      </c>
      <c r="E276" t="s">
        <v>573</v>
      </c>
    </row>
    <row r="277" spans="1:7" x14ac:dyDescent="0.3">
      <c r="A277" t="s">
        <v>161</v>
      </c>
      <c r="B277" t="s">
        <v>162</v>
      </c>
      <c r="C277" t="s">
        <v>583</v>
      </c>
      <c r="D277">
        <v>2010</v>
      </c>
      <c r="E277" t="s">
        <v>573</v>
      </c>
      <c r="G277" s="6">
        <v>0.907670054</v>
      </c>
    </row>
    <row r="278" spans="1:7" x14ac:dyDescent="0.3">
      <c r="A278" t="s">
        <v>161</v>
      </c>
      <c r="B278" t="s">
        <v>162</v>
      </c>
      <c r="C278" t="s">
        <v>583</v>
      </c>
      <c r="D278">
        <v>2011</v>
      </c>
      <c r="E278" t="s">
        <v>573</v>
      </c>
      <c r="G278" s="6">
        <v>0.88599306</v>
      </c>
    </row>
    <row r="279" spans="1:7" x14ac:dyDescent="0.3">
      <c r="A279" t="s">
        <v>161</v>
      </c>
      <c r="B279" t="s">
        <v>162</v>
      </c>
      <c r="C279" t="s">
        <v>583</v>
      </c>
      <c r="D279">
        <v>2012</v>
      </c>
      <c r="E279" t="s">
        <v>573</v>
      </c>
      <c r="G279" s="6">
        <v>0.79090367699999997</v>
      </c>
    </row>
    <row r="280" spans="1:7" x14ac:dyDescent="0.3">
      <c r="A280" t="s">
        <v>161</v>
      </c>
      <c r="B280" t="s">
        <v>162</v>
      </c>
      <c r="C280" t="s">
        <v>583</v>
      </c>
      <c r="D280">
        <v>2013</v>
      </c>
      <c r="E280" t="s">
        <v>573</v>
      </c>
      <c r="G280" s="6">
        <v>0.69804812299999996</v>
      </c>
    </row>
    <row r="281" spans="1:7" x14ac:dyDescent="0.3">
      <c r="A281" t="s">
        <v>161</v>
      </c>
      <c r="B281" t="s">
        <v>162</v>
      </c>
      <c r="C281" t="s">
        <v>583</v>
      </c>
      <c r="D281">
        <v>2014</v>
      </c>
      <c r="E281" t="s">
        <v>573</v>
      </c>
      <c r="G281" s="6">
        <v>0.55739090099999999</v>
      </c>
    </row>
    <row r="282" spans="1:7" x14ac:dyDescent="0.3">
      <c r="A282" t="s">
        <v>161</v>
      </c>
      <c r="B282" t="s">
        <v>162</v>
      </c>
      <c r="C282" t="s">
        <v>583</v>
      </c>
      <c r="D282">
        <v>2015</v>
      </c>
      <c r="E282" t="s">
        <v>573</v>
      </c>
      <c r="G282" s="6">
        <v>0.44465778700000003</v>
      </c>
    </row>
    <row r="283" spans="1:7" x14ac:dyDescent="0.3">
      <c r="A283" t="s">
        <v>161</v>
      </c>
      <c r="B283" t="s">
        <v>162</v>
      </c>
      <c r="C283" t="s">
        <v>583</v>
      </c>
      <c r="D283">
        <v>2016</v>
      </c>
      <c r="E283" t="s">
        <v>573</v>
      </c>
      <c r="G283" s="6">
        <v>0.33707452300000001</v>
      </c>
    </row>
    <row r="284" spans="1:7" x14ac:dyDescent="0.3">
      <c r="A284" t="s">
        <v>161</v>
      </c>
      <c r="B284" t="s">
        <v>162</v>
      </c>
      <c r="C284" t="s">
        <v>583</v>
      </c>
      <c r="D284">
        <v>2017</v>
      </c>
      <c r="E284" t="s">
        <v>573</v>
      </c>
      <c r="G284" s="6">
        <v>0.223632674</v>
      </c>
    </row>
    <row r="285" spans="1:7" x14ac:dyDescent="0.3">
      <c r="A285" t="s">
        <v>161</v>
      </c>
      <c r="B285" t="s">
        <v>162</v>
      </c>
      <c r="C285" t="s">
        <v>583</v>
      </c>
      <c r="D285">
        <v>2018</v>
      </c>
      <c r="E285" t="s">
        <v>573</v>
      </c>
      <c r="G285" s="6">
        <v>0.11335092300000001</v>
      </c>
    </row>
    <row r="286" spans="1:7" x14ac:dyDescent="0.3">
      <c r="A286" t="s">
        <v>161</v>
      </c>
      <c r="B286" t="s">
        <v>162</v>
      </c>
      <c r="C286" t="s">
        <v>583</v>
      </c>
      <c r="D286">
        <v>2019</v>
      </c>
      <c r="E286" t="s">
        <v>573</v>
      </c>
      <c r="G286" s="6">
        <v>1.8209540999999999E-2</v>
      </c>
    </row>
    <row r="287" spans="1:7" x14ac:dyDescent="0.3">
      <c r="A287" t="s">
        <v>176</v>
      </c>
      <c r="B287" t="s">
        <v>177</v>
      </c>
      <c r="C287" t="str">
        <f>VLOOKUP(B287,[1]country_codes!A:C,3,FALSE)</f>
        <v>DNK</v>
      </c>
      <c r="D287">
        <v>1992</v>
      </c>
      <c r="E287" t="s">
        <v>573</v>
      </c>
      <c r="G287" s="6"/>
    </row>
    <row r="288" spans="1:7" x14ac:dyDescent="0.3">
      <c r="A288" t="s">
        <v>176</v>
      </c>
      <c r="B288" t="s">
        <v>177</v>
      </c>
      <c r="C288" t="str">
        <f>VLOOKUP(B288,[1]country_codes!A:C,3,FALSE)</f>
        <v>DNK</v>
      </c>
      <c r="D288">
        <v>1993</v>
      </c>
      <c r="E288" t="s">
        <v>573</v>
      </c>
      <c r="G288" s="6"/>
    </row>
    <row r="289" spans="1:10" x14ac:dyDescent="0.3">
      <c r="A289" t="s">
        <v>176</v>
      </c>
      <c r="B289" t="s">
        <v>177</v>
      </c>
      <c r="C289" t="str">
        <f>VLOOKUP(B289,[1]country_codes!A:C,3,FALSE)</f>
        <v>DNK</v>
      </c>
      <c r="D289">
        <v>1994</v>
      </c>
      <c r="E289" t="s">
        <v>573</v>
      </c>
      <c r="G289" s="6"/>
    </row>
    <row r="290" spans="1:10" s="25" customFormat="1" x14ac:dyDescent="0.3">
      <c r="A290" t="s">
        <v>176</v>
      </c>
      <c r="B290" t="s">
        <v>177</v>
      </c>
      <c r="C290" t="str">
        <f>VLOOKUP(B290,[1]country_codes!A:C,3,FALSE)</f>
        <v>DNK</v>
      </c>
      <c r="D290">
        <v>1995</v>
      </c>
      <c r="E290" t="s">
        <v>573</v>
      </c>
      <c r="F290"/>
      <c r="G290" s="6"/>
      <c r="H290"/>
      <c r="I290"/>
      <c r="J290"/>
    </row>
    <row r="291" spans="1:10" s="25" customFormat="1" x14ac:dyDescent="0.3">
      <c r="A291" t="s">
        <v>176</v>
      </c>
      <c r="B291" t="s">
        <v>177</v>
      </c>
      <c r="C291" t="str">
        <f>VLOOKUP(B291,[1]country_codes!A:C,3,FALSE)</f>
        <v>DNK</v>
      </c>
      <c r="D291">
        <v>1996</v>
      </c>
      <c r="E291" t="s">
        <v>573</v>
      </c>
      <c r="F291"/>
      <c r="G291" s="6"/>
      <c r="H291"/>
      <c r="I291"/>
      <c r="J291"/>
    </row>
    <row r="292" spans="1:10" s="25" customFormat="1" x14ac:dyDescent="0.3">
      <c r="A292" t="s">
        <v>176</v>
      </c>
      <c r="B292" t="s">
        <v>177</v>
      </c>
      <c r="C292" t="str">
        <f>VLOOKUP(B292,[1]country_codes!A:C,3,FALSE)</f>
        <v>DNK</v>
      </c>
      <c r="D292">
        <v>1997</v>
      </c>
      <c r="E292" t="s">
        <v>573</v>
      </c>
      <c r="F292"/>
      <c r="G292" s="6"/>
      <c r="H292"/>
      <c r="I292"/>
      <c r="J292"/>
    </row>
    <row r="293" spans="1:10" s="25" customFormat="1" x14ac:dyDescent="0.3">
      <c r="A293" t="s">
        <v>176</v>
      </c>
      <c r="B293" t="s">
        <v>177</v>
      </c>
      <c r="C293" t="str">
        <f>VLOOKUP(B293,[1]country_codes!A:C,3,FALSE)</f>
        <v>DNK</v>
      </c>
      <c r="D293">
        <v>1998</v>
      </c>
      <c r="E293" t="s">
        <v>573</v>
      </c>
      <c r="F293"/>
      <c r="G293" s="6"/>
      <c r="H293"/>
      <c r="I293"/>
      <c r="J293"/>
    </row>
    <row r="294" spans="1:10" s="25" customFormat="1" x14ac:dyDescent="0.3">
      <c r="A294" t="s">
        <v>176</v>
      </c>
      <c r="B294" t="s">
        <v>177</v>
      </c>
      <c r="C294" t="str">
        <f>VLOOKUP(B294,[1]country_codes!A:C,3,FALSE)</f>
        <v>DNK</v>
      </c>
      <c r="D294">
        <v>1999</v>
      </c>
      <c r="E294" t="s">
        <v>573</v>
      </c>
      <c r="F294"/>
      <c r="G294" s="6"/>
      <c r="H294"/>
      <c r="I294"/>
      <c r="J294"/>
    </row>
    <row r="295" spans="1:10" s="25" customFormat="1" x14ac:dyDescent="0.3">
      <c r="A295" t="s">
        <v>176</v>
      </c>
      <c r="B295" t="s">
        <v>177</v>
      </c>
      <c r="C295" t="str">
        <f>VLOOKUP(B295,[1]country_codes!A:C,3,FALSE)</f>
        <v>DNK</v>
      </c>
      <c r="D295">
        <v>2000</v>
      </c>
      <c r="E295" t="s">
        <v>573</v>
      </c>
      <c r="F295"/>
      <c r="G295" s="6"/>
      <c r="H295"/>
      <c r="I295"/>
      <c r="J295"/>
    </row>
    <row r="296" spans="1:10" s="25" customFormat="1" x14ac:dyDescent="0.3">
      <c r="A296" t="s">
        <v>176</v>
      </c>
      <c r="B296" t="s">
        <v>177</v>
      </c>
      <c r="C296" t="str">
        <f>VLOOKUP(B296,[1]country_codes!A:C,3,FALSE)</f>
        <v>DNK</v>
      </c>
      <c r="D296">
        <v>2001</v>
      </c>
      <c r="E296" t="s">
        <v>573</v>
      </c>
      <c r="F296"/>
      <c r="G296" s="6"/>
      <c r="H296"/>
      <c r="I296"/>
      <c r="J296"/>
    </row>
    <row r="297" spans="1:10" s="25" customFormat="1" x14ac:dyDescent="0.3">
      <c r="A297" t="s">
        <v>176</v>
      </c>
      <c r="B297" t="s">
        <v>177</v>
      </c>
      <c r="C297" t="str">
        <f>VLOOKUP(B297,[1]country_codes!A:C,3,FALSE)</f>
        <v>DNK</v>
      </c>
      <c r="D297">
        <v>2002</v>
      </c>
      <c r="E297" t="s">
        <v>573</v>
      </c>
      <c r="F297"/>
      <c r="G297" s="6"/>
      <c r="H297"/>
      <c r="I297"/>
      <c r="J297"/>
    </row>
    <row r="298" spans="1:10" s="25" customFormat="1" x14ac:dyDescent="0.3">
      <c r="A298" t="s">
        <v>176</v>
      </c>
      <c r="B298" t="s">
        <v>177</v>
      </c>
      <c r="C298" t="str">
        <f>VLOOKUP(B298,[1]country_codes!A:C,3,FALSE)</f>
        <v>DNK</v>
      </c>
      <c r="D298">
        <v>2003</v>
      </c>
      <c r="E298" t="s">
        <v>573</v>
      </c>
      <c r="F298"/>
      <c r="G298" s="6"/>
      <c r="H298"/>
      <c r="I298"/>
      <c r="J298"/>
    </row>
    <row r="299" spans="1:10" s="25" customFormat="1" x14ac:dyDescent="0.3">
      <c r="A299" t="s">
        <v>176</v>
      </c>
      <c r="B299" t="s">
        <v>177</v>
      </c>
      <c r="C299" t="str">
        <f>VLOOKUP(B299,[1]country_codes!A:C,3,FALSE)</f>
        <v>DNK</v>
      </c>
      <c r="D299">
        <v>2004</v>
      </c>
      <c r="E299" t="s">
        <v>573</v>
      </c>
      <c r="F299"/>
      <c r="G299" s="6"/>
      <c r="H299"/>
      <c r="I299"/>
      <c r="J299"/>
    </row>
    <row r="300" spans="1:10" s="25" customFormat="1" x14ac:dyDescent="0.3">
      <c r="A300" t="s">
        <v>176</v>
      </c>
      <c r="B300" t="s">
        <v>177</v>
      </c>
      <c r="C300" t="str">
        <f>VLOOKUP(B300,[1]country_codes!A:C,3,FALSE)</f>
        <v>DNK</v>
      </c>
      <c r="D300">
        <v>2005</v>
      </c>
      <c r="E300" t="s">
        <v>573</v>
      </c>
      <c r="F300"/>
      <c r="G300" s="6"/>
      <c r="H300"/>
      <c r="I300"/>
      <c r="J300"/>
    </row>
    <row r="301" spans="1:10" s="25" customFormat="1" x14ac:dyDescent="0.3">
      <c r="A301" t="s">
        <v>176</v>
      </c>
      <c r="B301" t="s">
        <v>177</v>
      </c>
      <c r="C301" t="str">
        <f>VLOOKUP(B301,[1]country_codes!A:C,3,FALSE)</f>
        <v>DNK</v>
      </c>
      <c r="D301">
        <v>2006</v>
      </c>
      <c r="E301" t="s">
        <v>573</v>
      </c>
      <c r="F301"/>
      <c r="G301" s="6"/>
      <c r="H301"/>
      <c r="I301"/>
      <c r="J301"/>
    </row>
    <row r="302" spans="1:10" s="25" customFormat="1" x14ac:dyDescent="0.3">
      <c r="A302" t="s">
        <v>176</v>
      </c>
      <c r="B302" t="s">
        <v>177</v>
      </c>
      <c r="C302" t="str">
        <f>VLOOKUP(B302,[1]country_codes!A:C,3,FALSE)</f>
        <v>DNK</v>
      </c>
      <c r="D302">
        <v>2007</v>
      </c>
      <c r="E302" t="s">
        <v>573</v>
      </c>
      <c r="F302"/>
      <c r="G302" s="6"/>
      <c r="H302"/>
      <c r="I302"/>
      <c r="J302"/>
    </row>
    <row r="303" spans="1:10" s="25" customFormat="1" x14ac:dyDescent="0.3">
      <c r="A303" t="s">
        <v>176</v>
      </c>
      <c r="B303" t="s">
        <v>177</v>
      </c>
      <c r="C303" t="str">
        <f>VLOOKUP(B303,[1]country_codes!A:C,3,FALSE)</f>
        <v>DNK</v>
      </c>
      <c r="D303">
        <v>2008</v>
      </c>
      <c r="E303" t="s">
        <v>573</v>
      </c>
      <c r="F303"/>
      <c r="G303" s="6"/>
      <c r="H303"/>
      <c r="I303"/>
      <c r="J303"/>
    </row>
    <row r="304" spans="1:10" s="25" customFormat="1" x14ac:dyDescent="0.3">
      <c r="A304" t="s">
        <v>176</v>
      </c>
      <c r="B304" t="s">
        <v>177</v>
      </c>
      <c r="C304" t="str">
        <f>VLOOKUP(B304,[1]country_codes!A:C,3,FALSE)</f>
        <v>DNK</v>
      </c>
      <c r="D304">
        <v>2009</v>
      </c>
      <c r="E304" t="s">
        <v>573</v>
      </c>
      <c r="F304"/>
      <c r="G304" s="6"/>
      <c r="H304"/>
      <c r="I304"/>
      <c r="J304"/>
    </row>
    <row r="305" spans="1:10" s="25" customFormat="1" x14ac:dyDescent="0.3">
      <c r="A305" t="s">
        <v>176</v>
      </c>
      <c r="B305" t="s">
        <v>177</v>
      </c>
      <c r="C305" t="str">
        <f>VLOOKUP(B305,[1]country_codes!A:C,3,FALSE)</f>
        <v>DNK</v>
      </c>
      <c r="D305">
        <v>2010</v>
      </c>
      <c r="E305" t="s">
        <v>573</v>
      </c>
      <c r="F305"/>
      <c r="G305" s="6"/>
      <c r="H305"/>
      <c r="I305"/>
      <c r="J305"/>
    </row>
    <row r="306" spans="1:10" x14ac:dyDescent="0.3">
      <c r="A306" t="s">
        <v>176</v>
      </c>
      <c r="B306" t="s">
        <v>177</v>
      </c>
      <c r="C306" t="str">
        <f>VLOOKUP(B306,[1]country_codes!A:C,3,FALSE)</f>
        <v>DNK</v>
      </c>
      <c r="D306">
        <v>2011</v>
      </c>
      <c r="E306" t="s">
        <v>573</v>
      </c>
      <c r="G306" s="6"/>
    </row>
    <row r="307" spans="1:10" x14ac:dyDescent="0.3">
      <c r="A307" t="s">
        <v>176</v>
      </c>
      <c r="B307" t="s">
        <v>177</v>
      </c>
      <c r="C307" t="str">
        <f>VLOOKUP(B307,[1]country_codes!A:C,3,FALSE)</f>
        <v>DNK</v>
      </c>
      <c r="D307">
        <v>2012</v>
      </c>
      <c r="E307" t="s">
        <v>573</v>
      </c>
      <c r="G307" s="6"/>
    </row>
    <row r="308" spans="1:10" x14ac:dyDescent="0.3">
      <c r="A308" t="s">
        <v>176</v>
      </c>
      <c r="B308" t="s">
        <v>177</v>
      </c>
      <c r="C308" t="str">
        <f>VLOOKUP(B308,[1]country_codes!A:C,3,FALSE)</f>
        <v>DNK</v>
      </c>
      <c r="D308">
        <v>2013</v>
      </c>
      <c r="E308" t="s">
        <v>573</v>
      </c>
      <c r="G308" s="6"/>
    </row>
    <row r="309" spans="1:10" x14ac:dyDescent="0.3">
      <c r="A309" t="s">
        <v>176</v>
      </c>
      <c r="B309" t="s">
        <v>177</v>
      </c>
      <c r="C309" t="str">
        <f>VLOOKUP(B309,[1]country_codes!A:C,3,FALSE)</f>
        <v>DNK</v>
      </c>
      <c r="D309">
        <v>2014</v>
      </c>
      <c r="E309" t="s">
        <v>573</v>
      </c>
      <c r="G309" s="6"/>
    </row>
    <row r="310" spans="1:10" x14ac:dyDescent="0.3">
      <c r="A310" t="s">
        <v>176</v>
      </c>
      <c r="B310" t="s">
        <v>177</v>
      </c>
      <c r="C310" t="str">
        <f>VLOOKUP(B310,[1]country_codes!A:C,3,FALSE)</f>
        <v>DNK</v>
      </c>
      <c r="D310">
        <v>2015</v>
      </c>
      <c r="E310" t="s">
        <v>573</v>
      </c>
      <c r="G310" s="6"/>
    </row>
    <row r="311" spans="1:10" x14ac:dyDescent="0.3">
      <c r="A311" t="s">
        <v>176</v>
      </c>
      <c r="B311" t="s">
        <v>177</v>
      </c>
      <c r="C311" t="str">
        <f>VLOOKUP(B311,[1]country_codes!A:C,3,FALSE)</f>
        <v>DNK</v>
      </c>
      <c r="D311">
        <v>2016</v>
      </c>
      <c r="E311" t="s">
        <v>573</v>
      </c>
      <c r="G311" s="6"/>
    </row>
    <row r="312" spans="1:10" x14ac:dyDescent="0.3">
      <c r="A312" t="s">
        <v>176</v>
      </c>
      <c r="B312" t="s">
        <v>177</v>
      </c>
      <c r="C312" t="str">
        <f>VLOOKUP(B312,[1]country_codes!A:C,3,FALSE)</f>
        <v>DNK</v>
      </c>
      <c r="D312">
        <v>2017</v>
      </c>
      <c r="E312" t="s">
        <v>573</v>
      </c>
      <c r="G312" s="6"/>
    </row>
    <row r="313" spans="1:10" x14ac:dyDescent="0.3">
      <c r="A313" t="s">
        <v>176</v>
      </c>
      <c r="B313" t="s">
        <v>177</v>
      </c>
      <c r="C313" t="str">
        <f>VLOOKUP(B313,[1]country_codes!A:C,3,FALSE)</f>
        <v>DNK</v>
      </c>
      <c r="D313">
        <v>2018</v>
      </c>
      <c r="E313" t="s">
        <v>573</v>
      </c>
      <c r="F313" s="6">
        <v>0.8890480961717564</v>
      </c>
      <c r="G313" s="6">
        <v>1.9768413581246944</v>
      </c>
      <c r="H313" s="6"/>
    </row>
    <row r="314" spans="1:10" x14ac:dyDescent="0.3">
      <c r="A314" t="s">
        <v>176</v>
      </c>
      <c r="B314" t="s">
        <v>177</v>
      </c>
      <c r="C314" t="str">
        <f>VLOOKUP(B314,[1]country_codes!A:C,3,FALSE)</f>
        <v>DNK</v>
      </c>
      <c r="D314">
        <v>2019</v>
      </c>
      <c r="E314" t="s">
        <v>573</v>
      </c>
      <c r="F314" s="6">
        <v>0.91326925804632053</v>
      </c>
      <c r="G314" s="6">
        <v>2.0896788129029011</v>
      </c>
      <c r="H314" s="6"/>
    </row>
    <row r="315" spans="1:10" x14ac:dyDescent="0.3">
      <c r="A315" t="s">
        <v>176</v>
      </c>
      <c r="B315" t="s">
        <v>177</v>
      </c>
      <c r="C315" t="str">
        <f>VLOOKUP(B315,[1]country_codes!A:C,3,FALSE)</f>
        <v>DNK</v>
      </c>
      <c r="D315">
        <v>2020</v>
      </c>
      <c r="E315" t="s">
        <v>573</v>
      </c>
      <c r="F315" s="6">
        <v>1.7252732739930225</v>
      </c>
      <c r="G315" s="6">
        <v>3.4490179989703695</v>
      </c>
      <c r="H315" s="6"/>
    </row>
    <row r="316" spans="1:10" x14ac:dyDescent="0.3">
      <c r="A316" t="s">
        <v>176</v>
      </c>
      <c r="B316" t="s">
        <v>177</v>
      </c>
      <c r="C316" t="str">
        <f>VLOOKUP(B316,[1]country_codes!A:C,3,FALSE)</f>
        <v>DNK</v>
      </c>
      <c r="D316">
        <v>2021</v>
      </c>
      <c r="E316" t="s">
        <v>573</v>
      </c>
      <c r="F316" s="6">
        <v>2.7222351499010755</v>
      </c>
      <c r="G316" s="6">
        <v>4.8804594414002107</v>
      </c>
      <c r="H316" s="6"/>
    </row>
    <row r="317" spans="1:10" x14ac:dyDescent="0.3">
      <c r="A317" t="s">
        <v>176</v>
      </c>
      <c r="B317" t="s">
        <v>177</v>
      </c>
      <c r="C317" t="str">
        <f>VLOOKUP(B317,[1]country_codes!A:C,3,FALSE)</f>
        <v>DNK</v>
      </c>
      <c r="D317">
        <v>2022</v>
      </c>
      <c r="E317" t="s">
        <v>573</v>
      </c>
      <c r="F317" s="6">
        <v>2.3994679594220134</v>
      </c>
      <c r="G317" s="6">
        <v>3.9404184647248952</v>
      </c>
      <c r="H317" s="6"/>
    </row>
    <row r="318" spans="1:10" x14ac:dyDescent="0.3">
      <c r="A318" t="s">
        <v>176</v>
      </c>
      <c r="B318" t="s">
        <v>177</v>
      </c>
      <c r="C318" t="str">
        <f>VLOOKUP(B318,[1]country_codes!A:C,3,FALSE)</f>
        <v>DNK</v>
      </c>
      <c r="D318">
        <v>2023</v>
      </c>
      <c r="E318" t="s">
        <v>573</v>
      </c>
      <c r="F318" s="6">
        <v>3.7248340022784729</v>
      </c>
      <c r="G318" s="6">
        <v>10.618745104106811</v>
      </c>
      <c r="H318" s="6">
        <v>6.8939111018283379</v>
      </c>
    </row>
    <row r="319" spans="1:10" x14ac:dyDescent="0.3">
      <c r="A319" t="s">
        <v>176</v>
      </c>
      <c r="B319" t="s">
        <v>177</v>
      </c>
      <c r="C319" t="str">
        <f>VLOOKUP(B319,[1]country_codes!A:C,3,FALSE)</f>
        <v>DNK</v>
      </c>
      <c r="D319">
        <v>2024</v>
      </c>
      <c r="E319" t="s">
        <v>573</v>
      </c>
      <c r="F319" s="6">
        <v>3.978254490802136</v>
      </c>
      <c r="G319" s="6">
        <v>10.646196573752251</v>
      </c>
      <c r="H319" s="6">
        <v>6.6676519958500142</v>
      </c>
    </row>
    <row r="320" spans="1:10" x14ac:dyDescent="0.3">
      <c r="A320" t="s">
        <v>208</v>
      </c>
      <c r="B320" t="s">
        <v>203</v>
      </c>
      <c r="C320" t="str">
        <f>VLOOKUP(B320,[1]country_codes!A:C,3,FALSE)</f>
        <v>FRA</v>
      </c>
      <c r="D320">
        <v>2014</v>
      </c>
      <c r="E320" t="s">
        <v>573</v>
      </c>
      <c r="F320" s="6">
        <v>14.043847433907754</v>
      </c>
      <c r="G320" s="6">
        <v>23.170913485106578</v>
      </c>
      <c r="H320" s="6">
        <v>14.043847433907754</v>
      </c>
      <c r="I320" s="6"/>
      <c r="J320" s="6">
        <v>33.079669394610164</v>
      </c>
    </row>
    <row r="321" spans="1:10" x14ac:dyDescent="0.3">
      <c r="A321" t="s">
        <v>208</v>
      </c>
      <c r="B321" t="s">
        <v>203</v>
      </c>
      <c r="C321" t="str">
        <f>VLOOKUP(B321,[1]country_codes!A:C,3,FALSE)</f>
        <v>FRA</v>
      </c>
      <c r="D321">
        <v>2015</v>
      </c>
      <c r="E321" t="s">
        <v>573</v>
      </c>
      <c r="F321" s="6">
        <v>12.078157640483198</v>
      </c>
      <c r="G321" s="6">
        <v>19.916866415975921</v>
      </c>
      <c r="H321" s="6">
        <v>12.078157640483198</v>
      </c>
      <c r="I321" s="6"/>
      <c r="J321" s="6">
        <v>29.845897531600038</v>
      </c>
    </row>
    <row r="322" spans="1:10" x14ac:dyDescent="0.3">
      <c r="A322" t="s">
        <v>208</v>
      </c>
      <c r="B322" t="s">
        <v>203</v>
      </c>
      <c r="C322" t="str">
        <f>VLOOKUP(B322,[1]country_codes!A:C,3,FALSE)</f>
        <v>FRA</v>
      </c>
      <c r="D322">
        <v>2016</v>
      </c>
      <c r="E322" t="s">
        <v>573</v>
      </c>
      <c r="F322" s="6">
        <v>12.301566876590826</v>
      </c>
      <c r="G322" s="6">
        <v>18.743299777567834</v>
      </c>
      <c r="H322" s="6">
        <v>12.301566876590826</v>
      </c>
      <c r="I322" s="6"/>
      <c r="J322" s="6">
        <v>30.32914315189532</v>
      </c>
    </row>
    <row r="323" spans="1:10" x14ac:dyDescent="0.3">
      <c r="A323" t="s">
        <v>208</v>
      </c>
      <c r="B323" t="s">
        <v>203</v>
      </c>
      <c r="C323" t="str">
        <f>VLOOKUP(B323,[1]country_codes!A:C,3,FALSE)</f>
        <v>FRA</v>
      </c>
      <c r="D323">
        <v>2017</v>
      </c>
      <c r="E323" t="s">
        <v>573</v>
      </c>
      <c r="F323" s="6">
        <v>13.053579084178759</v>
      </c>
      <c r="G323" s="6">
        <v>19.58528273943169</v>
      </c>
      <c r="H323" s="6">
        <v>13.053579084178759</v>
      </c>
      <c r="I323" s="6"/>
      <c r="J323" s="6">
        <v>33.664499373309361</v>
      </c>
    </row>
    <row r="324" spans="1:10" x14ac:dyDescent="0.3">
      <c r="A324" t="s">
        <v>208</v>
      </c>
      <c r="B324" t="s">
        <v>203</v>
      </c>
      <c r="C324" t="str">
        <f>VLOOKUP(B324,[1]country_codes!A:C,3,FALSE)</f>
        <v>FRA</v>
      </c>
      <c r="D324">
        <v>2018</v>
      </c>
      <c r="E324" t="s">
        <v>573</v>
      </c>
      <c r="F324" s="6">
        <v>29.481111046683484</v>
      </c>
      <c r="G324" s="6">
        <v>36.247035361437604</v>
      </c>
      <c r="H324" s="6">
        <v>29.481111046683484</v>
      </c>
      <c r="I324" s="6"/>
      <c r="J324" s="6">
        <v>38.144829184974903</v>
      </c>
    </row>
    <row r="325" spans="1:10" x14ac:dyDescent="0.3">
      <c r="A325" t="s">
        <v>208</v>
      </c>
      <c r="B325" t="s">
        <v>203</v>
      </c>
      <c r="C325" t="str">
        <f>VLOOKUP(B325,[1]country_codes!A:C,3,FALSE)</f>
        <v>FRA</v>
      </c>
      <c r="D325">
        <v>2019</v>
      </c>
      <c r="E325" t="s">
        <v>573</v>
      </c>
      <c r="F325" s="6">
        <v>27.106058898013973</v>
      </c>
      <c r="G325" s="6">
        <v>33.457397224128748</v>
      </c>
      <c r="H325" s="6">
        <v>27.106058898013973</v>
      </c>
      <c r="I325" s="6"/>
      <c r="J325" s="6">
        <v>40.413027861592212</v>
      </c>
    </row>
    <row r="326" spans="1:10" x14ac:dyDescent="0.3">
      <c r="A326" t="s">
        <v>208</v>
      </c>
      <c r="B326" t="s">
        <v>203</v>
      </c>
      <c r="C326" t="str">
        <f>VLOOKUP(B326,[1]country_codes!A:C,3,FALSE)</f>
        <v>FRA</v>
      </c>
      <c r="D326">
        <v>2020</v>
      </c>
      <c r="E326" t="s">
        <v>573</v>
      </c>
      <c r="F326" s="6">
        <v>28.216812578411762</v>
      </c>
      <c r="G326" s="6">
        <v>34.654115606693459</v>
      </c>
      <c r="H326" s="6">
        <v>28.216812578411762</v>
      </c>
      <c r="I326" s="6"/>
      <c r="J326" s="6">
        <v>47.515357968828098</v>
      </c>
    </row>
    <row r="327" spans="1:10" x14ac:dyDescent="0.3">
      <c r="A327" t="s">
        <v>208</v>
      </c>
      <c r="B327" t="s">
        <v>203</v>
      </c>
      <c r="C327" t="s">
        <v>584</v>
      </c>
      <c r="D327">
        <v>2021</v>
      </c>
      <c r="E327" t="s">
        <v>573</v>
      </c>
      <c r="F327" s="6">
        <v>30.894120858546398</v>
      </c>
      <c r="G327" s="6">
        <v>43.52791538960291</v>
      </c>
      <c r="H327" s="6">
        <v>30.894120858546398</v>
      </c>
      <c r="I327" s="6"/>
      <c r="J327" s="6">
        <v>52.631939994384354</v>
      </c>
    </row>
    <row r="328" spans="1:10" x14ac:dyDescent="0.3">
      <c r="A328" t="s">
        <v>208</v>
      </c>
      <c r="B328" t="s">
        <v>203</v>
      </c>
      <c r="C328" t="s">
        <v>584</v>
      </c>
      <c r="D328">
        <v>2022</v>
      </c>
      <c r="E328" t="s">
        <v>573</v>
      </c>
      <c r="F328" s="6">
        <v>30.413938656550098</v>
      </c>
      <c r="G328" s="6">
        <v>55.92835815614562</v>
      </c>
      <c r="H328" s="6">
        <v>30.413938656550098</v>
      </c>
      <c r="I328" s="6"/>
      <c r="J328" s="6">
        <v>52.968343885231178</v>
      </c>
    </row>
    <row r="329" spans="1:10" x14ac:dyDescent="0.3">
      <c r="A329" t="s">
        <v>208</v>
      </c>
      <c r="B329" t="s">
        <v>203</v>
      </c>
      <c r="C329" t="s">
        <v>584</v>
      </c>
      <c r="D329">
        <v>2023</v>
      </c>
      <c r="E329" t="s">
        <v>573</v>
      </c>
      <c r="F329" s="6">
        <v>16.990189433929949</v>
      </c>
      <c r="G329" s="6">
        <v>44.986071098166647</v>
      </c>
      <c r="H329" s="6">
        <v>16.990189433929949</v>
      </c>
      <c r="I329" s="6"/>
      <c r="J329" s="6">
        <v>56.225966102662561</v>
      </c>
    </row>
    <row r="330" spans="1:10" x14ac:dyDescent="0.3">
      <c r="A330" t="s">
        <v>208</v>
      </c>
      <c r="B330" t="s">
        <v>203</v>
      </c>
      <c r="C330" t="s">
        <v>584</v>
      </c>
      <c r="D330">
        <v>2024</v>
      </c>
      <c r="E330" t="s">
        <v>573</v>
      </c>
      <c r="F330" s="6">
        <v>16.186243051793529</v>
      </c>
      <c r="G330" s="6">
        <v>40.456245037961786</v>
      </c>
      <c r="H330" s="6">
        <v>16.186243051793529</v>
      </c>
      <c r="I330" s="6"/>
      <c r="J330" s="6">
        <v>62.020403955234904</v>
      </c>
    </row>
    <row r="331" spans="1:10" x14ac:dyDescent="0.3">
      <c r="A331" t="s">
        <v>211</v>
      </c>
      <c r="B331" t="s">
        <v>212</v>
      </c>
      <c r="C331" t="str">
        <f>VLOOKUP(B331,[1]country_codes!A:C,3,FALSE)</f>
        <v>GAB</v>
      </c>
      <c r="D331">
        <v>2012</v>
      </c>
      <c r="E331" t="s">
        <v>573</v>
      </c>
      <c r="I331" s="6">
        <v>0.39368821812599314</v>
      </c>
    </row>
    <row r="332" spans="1:10" x14ac:dyDescent="0.3">
      <c r="A332" t="s">
        <v>211</v>
      </c>
      <c r="B332" t="s">
        <v>212</v>
      </c>
      <c r="C332" t="str">
        <f>VLOOKUP(B332,[1]country_codes!A:C,3,FALSE)</f>
        <v>GAB</v>
      </c>
      <c r="D332">
        <v>2013</v>
      </c>
      <c r="E332" t="s">
        <v>573</v>
      </c>
      <c r="I332" s="6">
        <v>0.42923703521930368</v>
      </c>
    </row>
    <row r="333" spans="1:10" x14ac:dyDescent="0.3">
      <c r="A333" t="s">
        <v>211</v>
      </c>
      <c r="B333" t="s">
        <v>212</v>
      </c>
      <c r="C333" t="str">
        <f>VLOOKUP(B333,[1]country_codes!A:C,3,FALSE)</f>
        <v>GAB</v>
      </c>
      <c r="D333">
        <v>2014</v>
      </c>
      <c r="E333" t="s">
        <v>573</v>
      </c>
      <c r="I333" s="6">
        <v>0.41113316198059252</v>
      </c>
    </row>
    <row r="334" spans="1:10" x14ac:dyDescent="0.3">
      <c r="A334" t="s">
        <v>211</v>
      </c>
      <c r="B334" t="s">
        <v>212</v>
      </c>
      <c r="C334" t="str">
        <f>VLOOKUP(B334,[1]country_codes!A:C,3,FALSE)</f>
        <v>GAB</v>
      </c>
      <c r="D334">
        <v>2015</v>
      </c>
      <c r="E334" t="s">
        <v>573</v>
      </c>
      <c r="I334" s="6">
        <v>0.34674550588224151</v>
      </c>
    </row>
    <row r="335" spans="1:10" x14ac:dyDescent="0.3">
      <c r="A335" t="s">
        <v>211</v>
      </c>
      <c r="B335" t="s">
        <v>212</v>
      </c>
      <c r="C335" t="str">
        <f>VLOOKUP(B335,[1]country_codes!A:C,3,FALSE)</f>
        <v>GAB</v>
      </c>
      <c r="D335">
        <v>2016</v>
      </c>
      <c r="E335" t="s">
        <v>573</v>
      </c>
      <c r="I335" s="6">
        <v>0.35267975867929702</v>
      </c>
    </row>
    <row r="336" spans="1:10" x14ac:dyDescent="0.3">
      <c r="A336" t="s">
        <v>211</v>
      </c>
      <c r="B336" t="s">
        <v>212</v>
      </c>
      <c r="C336" t="str">
        <f>VLOOKUP(B336,[1]country_codes!A:C,3,FALSE)</f>
        <v>GAB</v>
      </c>
      <c r="D336">
        <v>2017</v>
      </c>
      <c r="E336" t="s">
        <v>573</v>
      </c>
      <c r="I336" s="6">
        <v>0.27555007976313717</v>
      </c>
    </row>
    <row r="337" spans="1:9" x14ac:dyDescent="0.3">
      <c r="A337" t="s">
        <v>211</v>
      </c>
      <c r="B337" t="s">
        <v>212</v>
      </c>
      <c r="C337" t="str">
        <f>VLOOKUP(B337,[1]country_codes!A:C,3,FALSE)</f>
        <v>GAB</v>
      </c>
      <c r="D337">
        <v>2018</v>
      </c>
      <c r="E337" t="s">
        <v>573</v>
      </c>
      <c r="I337" s="6">
        <v>0.30966078641237277</v>
      </c>
    </row>
    <row r="338" spans="1:9" x14ac:dyDescent="0.3">
      <c r="A338" t="s">
        <v>211</v>
      </c>
      <c r="B338" t="s">
        <v>212</v>
      </c>
      <c r="C338" t="str">
        <f>VLOOKUP(B338,[1]country_codes!A:C,3,FALSE)</f>
        <v>GAB</v>
      </c>
      <c r="D338">
        <v>2019</v>
      </c>
      <c r="E338" t="s">
        <v>573</v>
      </c>
      <c r="I338" s="6">
        <v>0.29526668726137589</v>
      </c>
    </row>
    <row r="339" spans="1:9" x14ac:dyDescent="0.3">
      <c r="A339" t="s">
        <v>211</v>
      </c>
      <c r="B339" t="s">
        <v>212</v>
      </c>
      <c r="C339" t="str">
        <f>VLOOKUP(B339,[1]country_codes!A:C,3,FALSE)</f>
        <v>GAB</v>
      </c>
      <c r="D339">
        <v>2020</v>
      </c>
      <c r="E339" t="s">
        <v>573</v>
      </c>
      <c r="I339" s="6">
        <v>0.35268404721449098</v>
      </c>
    </row>
    <row r="340" spans="1:9" x14ac:dyDescent="0.3">
      <c r="A340" t="s">
        <v>211</v>
      </c>
      <c r="B340" t="s">
        <v>212</v>
      </c>
      <c r="C340" t="str">
        <f>VLOOKUP(B340,[1]country_codes!A:C,3,FALSE)</f>
        <v>GAB</v>
      </c>
      <c r="D340">
        <v>2021</v>
      </c>
      <c r="E340" t="s">
        <v>573</v>
      </c>
      <c r="I340" s="6">
        <v>0.55362128733359572</v>
      </c>
    </row>
    <row r="341" spans="1:9" x14ac:dyDescent="0.3">
      <c r="A341" t="s">
        <v>211</v>
      </c>
      <c r="B341" t="s">
        <v>212</v>
      </c>
      <c r="C341" t="str">
        <f>VLOOKUP(B341,[1]country_codes!A:C,3,FALSE)</f>
        <v>GAB</v>
      </c>
      <c r="D341">
        <v>2022</v>
      </c>
      <c r="E341" t="s">
        <v>573</v>
      </c>
      <c r="I341" s="6">
        <v>0.55149442966578321</v>
      </c>
    </row>
    <row r="342" spans="1:9" x14ac:dyDescent="0.3">
      <c r="A342" t="s">
        <v>211</v>
      </c>
      <c r="B342" t="s">
        <v>212</v>
      </c>
      <c r="C342" t="str">
        <f>VLOOKUP(B342,[1]country_codes!A:C,3,FALSE)</f>
        <v>GAB</v>
      </c>
      <c r="D342">
        <v>2023</v>
      </c>
      <c r="E342" t="s">
        <v>573</v>
      </c>
      <c r="I342" s="6">
        <v>0.5654749049491089</v>
      </c>
    </row>
    <row r="343" spans="1:9" x14ac:dyDescent="0.3">
      <c r="A343" t="s">
        <v>211</v>
      </c>
      <c r="B343" t="s">
        <v>212</v>
      </c>
      <c r="C343" t="str">
        <f>VLOOKUP(B343,[1]country_codes!A:C,3,FALSE)</f>
        <v>GAB</v>
      </c>
      <c r="D343">
        <v>2024</v>
      </c>
      <c r="E343" t="s">
        <v>573</v>
      </c>
      <c r="I343" s="6">
        <v>0.58382575077270338</v>
      </c>
    </row>
    <row r="344" spans="1:9" x14ac:dyDescent="0.3">
      <c r="A344" t="s">
        <v>199</v>
      </c>
      <c r="B344" t="s">
        <v>195</v>
      </c>
      <c r="C344" t="s">
        <v>585</v>
      </c>
      <c r="D344">
        <v>1996</v>
      </c>
      <c r="E344" t="s">
        <v>573</v>
      </c>
      <c r="I344" s="6"/>
    </row>
    <row r="345" spans="1:9" x14ac:dyDescent="0.3">
      <c r="A345" t="s">
        <v>199</v>
      </c>
      <c r="B345" t="s">
        <v>195</v>
      </c>
      <c r="C345" t="s">
        <v>585</v>
      </c>
      <c r="D345">
        <v>1997</v>
      </c>
      <c r="E345" t="s">
        <v>573</v>
      </c>
      <c r="I345" s="6"/>
    </row>
    <row r="346" spans="1:9" x14ac:dyDescent="0.3">
      <c r="A346" t="s">
        <v>199</v>
      </c>
      <c r="B346" t="s">
        <v>195</v>
      </c>
      <c r="C346" t="s">
        <v>585</v>
      </c>
      <c r="D346">
        <v>1998</v>
      </c>
      <c r="E346" t="s">
        <v>573</v>
      </c>
      <c r="I346" s="6"/>
    </row>
    <row r="347" spans="1:9" x14ac:dyDescent="0.3">
      <c r="A347" t="s">
        <v>199</v>
      </c>
      <c r="B347" t="s">
        <v>195</v>
      </c>
      <c r="C347" t="s">
        <v>585</v>
      </c>
      <c r="D347">
        <v>1999</v>
      </c>
      <c r="E347" t="s">
        <v>573</v>
      </c>
      <c r="I347" s="6"/>
    </row>
    <row r="348" spans="1:9" x14ac:dyDescent="0.3">
      <c r="A348" t="s">
        <v>199</v>
      </c>
      <c r="B348" t="s">
        <v>195</v>
      </c>
      <c r="C348" t="s">
        <v>585</v>
      </c>
      <c r="D348">
        <v>2000</v>
      </c>
      <c r="E348" t="s">
        <v>573</v>
      </c>
      <c r="I348" s="6"/>
    </row>
    <row r="349" spans="1:9" x14ac:dyDescent="0.3">
      <c r="A349" t="s">
        <v>199</v>
      </c>
      <c r="B349" t="s">
        <v>195</v>
      </c>
      <c r="C349" t="s">
        <v>585</v>
      </c>
      <c r="D349">
        <v>2001</v>
      </c>
      <c r="E349" t="s">
        <v>573</v>
      </c>
      <c r="I349" s="6"/>
    </row>
    <row r="350" spans="1:9" x14ac:dyDescent="0.3">
      <c r="A350" t="s">
        <v>199</v>
      </c>
      <c r="B350" t="s">
        <v>195</v>
      </c>
      <c r="C350" t="s">
        <v>585</v>
      </c>
      <c r="D350">
        <v>2002</v>
      </c>
      <c r="E350" t="s">
        <v>573</v>
      </c>
      <c r="I350" s="6"/>
    </row>
    <row r="351" spans="1:9" x14ac:dyDescent="0.3">
      <c r="A351" t="s">
        <v>199</v>
      </c>
      <c r="B351" t="s">
        <v>195</v>
      </c>
      <c r="C351" t="s">
        <v>585</v>
      </c>
      <c r="D351">
        <v>2003</v>
      </c>
      <c r="E351" t="s">
        <v>573</v>
      </c>
      <c r="I351" s="6"/>
    </row>
    <row r="352" spans="1:9" x14ac:dyDescent="0.3">
      <c r="A352" t="s">
        <v>199</v>
      </c>
      <c r="B352" t="s">
        <v>195</v>
      </c>
      <c r="C352" t="s">
        <v>585</v>
      </c>
      <c r="D352">
        <v>2004</v>
      </c>
      <c r="E352" t="s">
        <v>573</v>
      </c>
      <c r="I352" s="6"/>
    </row>
    <row r="353" spans="1:10" x14ac:dyDescent="0.3">
      <c r="A353" t="s">
        <v>199</v>
      </c>
      <c r="B353" t="s">
        <v>195</v>
      </c>
      <c r="C353" t="s">
        <v>585</v>
      </c>
      <c r="D353">
        <v>2005</v>
      </c>
      <c r="E353" t="s">
        <v>573</v>
      </c>
    </row>
    <row r="354" spans="1:10" x14ac:dyDescent="0.3">
      <c r="A354" t="s">
        <v>199</v>
      </c>
      <c r="B354" t="s">
        <v>195</v>
      </c>
      <c r="C354" t="s">
        <v>585</v>
      </c>
      <c r="D354">
        <v>2006</v>
      </c>
      <c r="E354" t="s">
        <v>573</v>
      </c>
    </row>
    <row r="355" spans="1:10" x14ac:dyDescent="0.3">
      <c r="A355" t="s">
        <v>199</v>
      </c>
      <c r="B355" t="s">
        <v>195</v>
      </c>
      <c r="C355" t="s">
        <v>585</v>
      </c>
      <c r="D355">
        <v>2007</v>
      </c>
      <c r="E355" t="s">
        <v>573</v>
      </c>
    </row>
    <row r="356" spans="1:10" x14ac:dyDescent="0.3">
      <c r="A356" t="s">
        <v>199</v>
      </c>
      <c r="B356" t="s">
        <v>195</v>
      </c>
      <c r="C356" t="s">
        <v>585</v>
      </c>
      <c r="D356">
        <v>2008</v>
      </c>
      <c r="E356" t="s">
        <v>573</v>
      </c>
    </row>
    <row r="357" spans="1:10" x14ac:dyDescent="0.3">
      <c r="A357" t="s">
        <v>199</v>
      </c>
      <c r="B357" t="s">
        <v>195</v>
      </c>
      <c r="C357" t="s">
        <v>585</v>
      </c>
      <c r="D357">
        <v>2009</v>
      </c>
      <c r="E357" t="s">
        <v>573</v>
      </c>
    </row>
    <row r="358" spans="1:10" x14ac:dyDescent="0.3">
      <c r="A358" t="s">
        <v>199</v>
      </c>
      <c r="B358" t="s">
        <v>195</v>
      </c>
      <c r="C358" t="s">
        <v>585</v>
      </c>
      <c r="D358">
        <v>2010</v>
      </c>
      <c r="E358" t="s">
        <v>573</v>
      </c>
    </row>
    <row r="359" spans="1:10" x14ac:dyDescent="0.3">
      <c r="A359" t="s">
        <v>199</v>
      </c>
      <c r="B359" t="s">
        <v>195</v>
      </c>
      <c r="C359" t="s">
        <v>585</v>
      </c>
      <c r="D359">
        <v>2011</v>
      </c>
      <c r="E359" t="s">
        <v>573</v>
      </c>
    </row>
    <row r="360" spans="1:10" x14ac:dyDescent="0.3">
      <c r="A360" t="s">
        <v>199</v>
      </c>
      <c r="B360" t="s">
        <v>195</v>
      </c>
      <c r="C360" t="s">
        <v>585</v>
      </c>
      <c r="D360">
        <v>2012</v>
      </c>
      <c r="E360" t="s">
        <v>573</v>
      </c>
    </row>
    <row r="361" spans="1:10" x14ac:dyDescent="0.3">
      <c r="A361" t="s">
        <v>199</v>
      </c>
      <c r="B361" t="s">
        <v>195</v>
      </c>
      <c r="C361" t="s">
        <v>585</v>
      </c>
      <c r="D361">
        <v>2013</v>
      </c>
      <c r="E361" t="s">
        <v>573</v>
      </c>
    </row>
    <row r="362" spans="1:10" x14ac:dyDescent="0.3">
      <c r="A362" t="s">
        <v>199</v>
      </c>
      <c r="B362" t="s">
        <v>195</v>
      </c>
      <c r="C362" t="s">
        <v>585</v>
      </c>
      <c r="D362">
        <v>2014</v>
      </c>
      <c r="E362" t="s">
        <v>573</v>
      </c>
    </row>
    <row r="363" spans="1:10" x14ac:dyDescent="0.3">
      <c r="A363" t="s">
        <v>199</v>
      </c>
      <c r="B363" t="s">
        <v>195</v>
      </c>
      <c r="C363" t="s">
        <v>585</v>
      </c>
      <c r="D363">
        <v>2015</v>
      </c>
      <c r="E363" t="s">
        <v>573</v>
      </c>
    </row>
    <row r="364" spans="1:10" x14ac:dyDescent="0.3">
      <c r="A364" t="s">
        <v>199</v>
      </c>
      <c r="B364" t="s">
        <v>195</v>
      </c>
      <c r="C364" t="s">
        <v>585</v>
      </c>
      <c r="D364">
        <v>2016</v>
      </c>
      <c r="E364" t="s">
        <v>573</v>
      </c>
    </row>
    <row r="365" spans="1:10" x14ac:dyDescent="0.3">
      <c r="A365" t="s">
        <v>199</v>
      </c>
      <c r="B365" t="s">
        <v>195</v>
      </c>
      <c r="C365" t="s">
        <v>585</v>
      </c>
      <c r="D365">
        <v>2017</v>
      </c>
      <c r="E365" t="s">
        <v>573</v>
      </c>
    </row>
    <row r="366" spans="1:10" x14ac:dyDescent="0.3">
      <c r="A366" t="s">
        <v>199</v>
      </c>
      <c r="B366" t="s">
        <v>195</v>
      </c>
      <c r="C366" t="s">
        <v>585</v>
      </c>
      <c r="D366">
        <v>2018</v>
      </c>
      <c r="E366" t="s">
        <v>573</v>
      </c>
    </row>
    <row r="367" spans="1:10" x14ac:dyDescent="0.3">
      <c r="A367" t="s">
        <v>199</v>
      </c>
      <c r="B367" t="s">
        <v>195</v>
      </c>
      <c r="C367" t="s">
        <v>585</v>
      </c>
      <c r="D367">
        <v>2019</v>
      </c>
      <c r="E367" t="s">
        <v>573</v>
      </c>
      <c r="F367" s="6">
        <v>1.2182221782890692</v>
      </c>
      <c r="G367" s="6">
        <v>1.2646344697603642</v>
      </c>
      <c r="H367" s="6">
        <v>4.6412291471295053E-2</v>
      </c>
      <c r="J367" s="6">
        <v>1.4933789243037119</v>
      </c>
    </row>
    <row r="368" spans="1:10" x14ac:dyDescent="0.3">
      <c r="A368" t="s">
        <v>199</v>
      </c>
      <c r="B368" t="s">
        <v>195</v>
      </c>
      <c r="C368" t="s">
        <v>585</v>
      </c>
      <c r="D368">
        <v>2020</v>
      </c>
      <c r="E368" t="s">
        <v>573</v>
      </c>
      <c r="F368" s="6">
        <v>1.6190013002760459</v>
      </c>
      <c r="G368" s="6">
        <v>1.7124946202563454</v>
      </c>
      <c r="H368" s="6">
        <v>9.3493319980299402E-2</v>
      </c>
      <c r="J368" s="6">
        <v>2.1267691475470651</v>
      </c>
    </row>
    <row r="369" spans="1:10" x14ac:dyDescent="0.3">
      <c r="A369" t="s">
        <v>199</v>
      </c>
      <c r="B369" t="s">
        <v>195</v>
      </c>
      <c r="C369" t="s">
        <v>585</v>
      </c>
      <c r="D369">
        <v>2021</v>
      </c>
      <c r="E369" t="s">
        <v>573</v>
      </c>
      <c r="F369" s="6">
        <v>2.0757966169371711</v>
      </c>
      <c r="G369" s="6">
        <v>2.2352997808855459</v>
      </c>
      <c r="H369" s="6">
        <v>0.15950434668859942</v>
      </c>
      <c r="J369" s="6">
        <v>2.7829877484671095</v>
      </c>
    </row>
    <row r="370" spans="1:10" x14ac:dyDescent="0.3">
      <c r="A370" t="s">
        <v>199</v>
      </c>
      <c r="B370" t="s">
        <v>195</v>
      </c>
      <c r="C370" t="s">
        <v>585</v>
      </c>
      <c r="D370">
        <v>2022</v>
      </c>
      <c r="E370" t="s">
        <v>573</v>
      </c>
      <c r="F370" s="6">
        <v>2.0314044361567181</v>
      </c>
      <c r="G370" s="6">
        <v>2.1644255335639224</v>
      </c>
      <c r="H370" s="6">
        <v>0.13302109740720483</v>
      </c>
      <c r="J370" s="6">
        <v>2.5904995220212466</v>
      </c>
    </row>
    <row r="371" spans="1:10" x14ac:dyDescent="0.3">
      <c r="A371" t="s">
        <v>199</v>
      </c>
      <c r="B371" t="s">
        <v>195</v>
      </c>
      <c r="C371" t="s">
        <v>585</v>
      </c>
      <c r="D371">
        <v>2023</v>
      </c>
      <c r="E371" t="s">
        <v>573</v>
      </c>
      <c r="F371" s="6">
        <v>1.9337266700085076</v>
      </c>
      <c r="G371" s="6">
        <v>2.0468576388813804</v>
      </c>
      <c r="H371" s="6">
        <v>0.11312988760429377</v>
      </c>
      <c r="J371" s="6">
        <v>2.7237155502424422</v>
      </c>
    </row>
    <row r="372" spans="1:10" x14ac:dyDescent="0.3">
      <c r="A372" t="s">
        <v>199</v>
      </c>
      <c r="B372" t="s">
        <v>195</v>
      </c>
      <c r="C372" t="s">
        <v>585</v>
      </c>
      <c r="D372">
        <v>2024</v>
      </c>
      <c r="E372" t="s">
        <v>573</v>
      </c>
      <c r="F372" s="6">
        <v>2.1142246989493874</v>
      </c>
      <c r="G372" s="6">
        <v>2.2475793912583701</v>
      </c>
      <c r="H372" s="6">
        <v>0.13335469230898284</v>
      </c>
      <c r="J372" s="6">
        <v>2.8520726775225826</v>
      </c>
    </row>
    <row r="373" spans="1:10" x14ac:dyDescent="0.3">
      <c r="A373" t="s">
        <v>194</v>
      </c>
      <c r="B373" t="s">
        <v>195</v>
      </c>
      <c r="C373" t="s">
        <v>585</v>
      </c>
      <c r="D373">
        <v>2008</v>
      </c>
      <c r="E373" t="s">
        <v>573</v>
      </c>
      <c r="F373" s="6"/>
      <c r="G373" s="6"/>
      <c r="H373" s="6"/>
      <c r="J373" s="6"/>
    </row>
    <row r="374" spans="1:10" x14ac:dyDescent="0.3">
      <c r="A374" t="s">
        <v>194</v>
      </c>
      <c r="B374" t="s">
        <v>195</v>
      </c>
      <c r="C374" t="s">
        <v>585</v>
      </c>
      <c r="D374">
        <v>2009</v>
      </c>
      <c r="E374" t="s">
        <v>573</v>
      </c>
      <c r="F374" s="6">
        <v>8.0053517383243111</v>
      </c>
      <c r="G374" s="6">
        <v>8.006186928461748</v>
      </c>
      <c r="H374" s="6">
        <v>8.351901374376758E-4</v>
      </c>
      <c r="I374" s="6"/>
      <c r="J374" s="6"/>
    </row>
    <row r="375" spans="1:10" x14ac:dyDescent="0.3">
      <c r="A375" t="s">
        <v>194</v>
      </c>
      <c r="B375" t="s">
        <v>195</v>
      </c>
      <c r="C375" t="s">
        <v>585</v>
      </c>
      <c r="D375">
        <v>2010</v>
      </c>
      <c r="E375" t="s">
        <v>573</v>
      </c>
      <c r="F375" s="6">
        <v>8.1356792892567906</v>
      </c>
      <c r="G375" s="6">
        <v>8.1407346511840633</v>
      </c>
      <c r="H375" s="6">
        <v>5.0553619272738362E-3</v>
      </c>
      <c r="I375" s="6"/>
      <c r="J375" s="6"/>
    </row>
    <row r="376" spans="1:10" x14ac:dyDescent="0.3">
      <c r="A376" t="s">
        <v>194</v>
      </c>
      <c r="B376" t="s">
        <v>195</v>
      </c>
      <c r="C376" t="s">
        <v>585</v>
      </c>
      <c r="D376">
        <v>2011</v>
      </c>
      <c r="E376" t="s">
        <v>573</v>
      </c>
      <c r="F376" s="6">
        <v>8.7857997402333101</v>
      </c>
      <c r="G376" s="6">
        <v>8.8383338476607971</v>
      </c>
      <c r="H376" s="6">
        <v>5.2534107427487133E-2</v>
      </c>
      <c r="I376" s="6"/>
      <c r="J376" s="6"/>
    </row>
    <row r="377" spans="1:10" x14ac:dyDescent="0.3">
      <c r="A377" t="s">
        <v>194</v>
      </c>
      <c r="B377" t="s">
        <v>195</v>
      </c>
      <c r="C377" t="s">
        <v>585</v>
      </c>
      <c r="D377">
        <v>2012</v>
      </c>
      <c r="E377" t="s">
        <v>573</v>
      </c>
      <c r="F377" s="6">
        <v>7.4300243968527298</v>
      </c>
      <c r="G377" s="6">
        <v>8.2045192969482024</v>
      </c>
      <c r="H377" s="6">
        <v>0.77449490009547262</v>
      </c>
      <c r="I377" s="6"/>
      <c r="J377" s="6"/>
    </row>
    <row r="378" spans="1:10" x14ac:dyDescent="0.3">
      <c r="A378" t="s">
        <v>194</v>
      </c>
      <c r="B378" t="s">
        <v>195</v>
      </c>
      <c r="C378" t="s">
        <v>585</v>
      </c>
      <c r="D378">
        <v>2013</v>
      </c>
      <c r="E378" t="s">
        <v>573</v>
      </c>
      <c r="F378" s="6">
        <v>6.3095985218577022</v>
      </c>
      <c r="G378" s="6">
        <v>7.132466352460491</v>
      </c>
      <c r="H378" s="6">
        <v>0.8228678306027889</v>
      </c>
      <c r="I378" s="6"/>
      <c r="J378" s="6"/>
    </row>
    <row r="379" spans="1:10" x14ac:dyDescent="0.3">
      <c r="A379" t="s">
        <v>194</v>
      </c>
      <c r="B379" t="s">
        <v>195</v>
      </c>
      <c r="C379" t="s">
        <v>585</v>
      </c>
      <c r="D379">
        <v>2014</v>
      </c>
      <c r="E379" t="s">
        <v>573</v>
      </c>
      <c r="F379" s="6">
        <v>7.1747960273044109</v>
      </c>
      <c r="G379" s="6">
        <v>8.5467183759024845</v>
      </c>
      <c r="H379" s="6">
        <v>1.3719223485980729</v>
      </c>
      <c r="I379" s="6"/>
      <c r="J379" s="6"/>
    </row>
    <row r="380" spans="1:10" x14ac:dyDescent="0.3">
      <c r="A380" t="s">
        <v>194</v>
      </c>
      <c r="B380" t="s">
        <v>195</v>
      </c>
      <c r="C380" t="s">
        <v>585</v>
      </c>
      <c r="D380">
        <v>2015</v>
      </c>
      <c r="E380" t="s">
        <v>573</v>
      </c>
      <c r="F380" s="6">
        <v>4.5382263226614468</v>
      </c>
      <c r="G380" s="6">
        <v>5.5958455409341479</v>
      </c>
      <c r="H380" s="6">
        <v>1.0576192193822143</v>
      </c>
      <c r="I380" s="6"/>
      <c r="J380" s="6"/>
    </row>
    <row r="381" spans="1:10" x14ac:dyDescent="0.3">
      <c r="A381" t="s">
        <v>194</v>
      </c>
      <c r="B381" t="s">
        <v>195</v>
      </c>
      <c r="C381" t="s">
        <v>585</v>
      </c>
      <c r="D381">
        <v>2016</v>
      </c>
      <c r="E381" t="s">
        <v>573</v>
      </c>
      <c r="F381" s="6">
        <v>4.2455276212930508</v>
      </c>
      <c r="G381" s="6">
        <v>4.6337717244940482</v>
      </c>
      <c r="H381" s="6">
        <v>0.388244103732311</v>
      </c>
      <c r="I381" s="6"/>
      <c r="J381" s="6"/>
    </row>
    <row r="382" spans="1:10" x14ac:dyDescent="0.3">
      <c r="A382" t="s">
        <v>194</v>
      </c>
      <c r="B382" t="s">
        <v>195</v>
      </c>
      <c r="C382" t="s">
        <v>585</v>
      </c>
      <c r="D382">
        <v>2017</v>
      </c>
      <c r="E382" t="s">
        <v>573</v>
      </c>
      <c r="F382" s="6">
        <v>8.6152498657091492</v>
      </c>
      <c r="G382" s="6">
        <v>10.076455255869964</v>
      </c>
      <c r="H382" s="6">
        <v>1.4612053901608157</v>
      </c>
      <c r="I382" s="6"/>
      <c r="J382" s="6"/>
    </row>
    <row r="383" spans="1:10" x14ac:dyDescent="0.3">
      <c r="A383" t="s">
        <v>194</v>
      </c>
      <c r="B383" t="s">
        <v>195</v>
      </c>
      <c r="C383" t="s">
        <v>585</v>
      </c>
      <c r="D383">
        <v>2018</v>
      </c>
      <c r="E383" t="s">
        <v>573</v>
      </c>
      <c r="F383" s="6">
        <v>9.459277061010587</v>
      </c>
      <c r="G383" s="6">
        <v>10.738343979441</v>
      </c>
      <c r="H383" s="6">
        <v>1.2790669184304122</v>
      </c>
      <c r="I383" s="6"/>
      <c r="J383" s="6"/>
    </row>
    <row r="384" spans="1:10" x14ac:dyDescent="0.3">
      <c r="A384" t="s">
        <v>194</v>
      </c>
      <c r="B384" t="s">
        <v>195</v>
      </c>
      <c r="C384" t="s">
        <v>585</v>
      </c>
      <c r="D384">
        <v>2019</v>
      </c>
      <c r="E384" t="s">
        <v>573</v>
      </c>
      <c r="F384" s="6">
        <v>8.2177827252329418</v>
      </c>
      <c r="G384" s="6">
        <v>9.1720828437964812</v>
      </c>
      <c r="H384" s="6">
        <v>0.95430011856353958</v>
      </c>
      <c r="I384" s="6"/>
      <c r="J384" s="6"/>
    </row>
    <row r="385" spans="1:10" x14ac:dyDescent="0.3">
      <c r="A385" t="s">
        <v>194</v>
      </c>
      <c r="B385" t="s">
        <v>195</v>
      </c>
      <c r="C385" t="s">
        <v>585</v>
      </c>
      <c r="D385">
        <v>2020</v>
      </c>
      <c r="E385" t="s">
        <v>573</v>
      </c>
      <c r="F385" s="6">
        <v>7.506574323157432</v>
      </c>
      <c r="G385" s="6">
        <v>7.9375806424716027</v>
      </c>
      <c r="H385" s="6">
        <v>0.43100631931417061</v>
      </c>
      <c r="I385" s="6"/>
      <c r="J385" s="6"/>
    </row>
    <row r="386" spans="1:10" x14ac:dyDescent="0.3">
      <c r="A386" t="s">
        <v>194</v>
      </c>
      <c r="B386" t="s">
        <v>195</v>
      </c>
      <c r="C386" t="s">
        <v>585</v>
      </c>
      <c r="D386">
        <v>2021</v>
      </c>
      <c r="E386" t="s">
        <v>573</v>
      </c>
      <c r="F386" s="6">
        <v>10.361498317788579</v>
      </c>
      <c r="G386" s="6">
        <v>11.347768209409361</v>
      </c>
      <c r="H386" s="6">
        <v>0.98626989280352251</v>
      </c>
      <c r="I386" s="6"/>
      <c r="J386" s="6"/>
    </row>
    <row r="387" spans="1:10" x14ac:dyDescent="0.3">
      <c r="A387" t="s">
        <v>194</v>
      </c>
      <c r="B387" t="s">
        <v>195</v>
      </c>
      <c r="C387" t="s">
        <v>585</v>
      </c>
      <c r="D387">
        <v>2022</v>
      </c>
      <c r="E387" t="s">
        <v>573</v>
      </c>
      <c r="F387" s="6">
        <v>7.6299489218783263</v>
      </c>
      <c r="G387" s="6">
        <v>8.2214236922031656</v>
      </c>
      <c r="H387" s="6">
        <v>0.59147477137788662</v>
      </c>
      <c r="I387" s="6"/>
      <c r="J387" s="6"/>
    </row>
    <row r="388" spans="1:10" x14ac:dyDescent="0.3">
      <c r="A388" t="s">
        <v>194</v>
      </c>
      <c r="B388" t="s">
        <v>195</v>
      </c>
      <c r="C388" t="s">
        <v>585</v>
      </c>
      <c r="D388">
        <v>2023</v>
      </c>
      <c r="E388" t="s">
        <v>573</v>
      </c>
      <c r="F388" s="6">
        <v>7.9566684904063365</v>
      </c>
      <c r="G388" s="6">
        <v>8.6402240183054442</v>
      </c>
      <c r="H388" s="6">
        <v>0.68355552789910812</v>
      </c>
      <c r="I388" s="6"/>
      <c r="J388" s="6"/>
    </row>
    <row r="389" spans="1:10" x14ac:dyDescent="0.3">
      <c r="A389" t="s">
        <v>194</v>
      </c>
      <c r="B389" t="s">
        <v>195</v>
      </c>
      <c r="C389" t="s">
        <v>585</v>
      </c>
      <c r="D389">
        <v>2024</v>
      </c>
      <c r="E389" t="s">
        <v>573</v>
      </c>
      <c r="F389" s="6">
        <v>7.360930967393827</v>
      </c>
      <c r="G389" s="6">
        <v>7.8942246329241756</v>
      </c>
      <c r="H389" s="6">
        <v>0.53329366553034752</v>
      </c>
      <c r="I389" s="6"/>
      <c r="J389" s="6"/>
    </row>
    <row r="390" spans="1:10" x14ac:dyDescent="0.3">
      <c r="A390" t="s">
        <v>219</v>
      </c>
      <c r="B390" t="s">
        <v>220</v>
      </c>
      <c r="C390" t="s">
        <v>586</v>
      </c>
      <c r="D390">
        <v>2011</v>
      </c>
      <c r="E390" t="s">
        <v>573</v>
      </c>
      <c r="F390" s="6">
        <v>0.16153264610923837</v>
      </c>
      <c r="G390" s="6">
        <v>0.17330024696189433</v>
      </c>
      <c r="H390" s="6">
        <v>1.1767600852655951E-2</v>
      </c>
    </row>
    <row r="391" spans="1:10" x14ac:dyDescent="0.3">
      <c r="A391" t="s">
        <v>219</v>
      </c>
      <c r="B391" t="s">
        <v>220</v>
      </c>
      <c r="C391" t="s">
        <v>586</v>
      </c>
      <c r="D391">
        <v>2012</v>
      </c>
      <c r="E391" t="s">
        <v>573</v>
      </c>
      <c r="F391" s="6">
        <v>1.4225130173479856</v>
      </c>
      <c r="G391" s="6">
        <v>2.973713374893566</v>
      </c>
      <c r="H391" s="6">
        <v>1.5512003575455804</v>
      </c>
    </row>
    <row r="392" spans="1:10" x14ac:dyDescent="0.3">
      <c r="A392" t="s">
        <v>219</v>
      </c>
      <c r="B392" t="s">
        <v>220</v>
      </c>
      <c r="C392" t="s">
        <v>586</v>
      </c>
      <c r="D392">
        <v>2013</v>
      </c>
      <c r="E392" t="s">
        <v>573</v>
      </c>
      <c r="F392" s="6">
        <v>1.4544647849219947</v>
      </c>
      <c r="G392" s="6">
        <v>3.0419262332040762</v>
      </c>
      <c r="H392" s="6">
        <v>1.5874614482820812</v>
      </c>
    </row>
    <row r="393" spans="1:10" x14ac:dyDescent="0.3">
      <c r="A393" t="s">
        <v>219</v>
      </c>
      <c r="B393" t="s">
        <v>220</v>
      </c>
      <c r="C393" t="s">
        <v>586</v>
      </c>
      <c r="D393">
        <v>2014</v>
      </c>
      <c r="E393" t="s">
        <v>573</v>
      </c>
      <c r="F393" s="6">
        <v>1.4963025304318425</v>
      </c>
      <c r="G393" s="6">
        <v>3.0875601118444189</v>
      </c>
      <c r="H393" s="6">
        <v>1.5912575814125767</v>
      </c>
    </row>
    <row r="394" spans="1:10" x14ac:dyDescent="0.3">
      <c r="A394" t="s">
        <v>219</v>
      </c>
      <c r="B394" t="s">
        <v>220</v>
      </c>
      <c r="C394" t="s">
        <v>586</v>
      </c>
      <c r="D394">
        <v>2015</v>
      </c>
      <c r="E394" t="s">
        <v>573</v>
      </c>
      <c r="F394" s="6">
        <v>1.1265904389906853</v>
      </c>
      <c r="G394" s="6">
        <v>2.76754936012289</v>
      </c>
      <c r="H394" s="6">
        <v>1.6409589211322049</v>
      </c>
    </row>
    <row r="395" spans="1:10" x14ac:dyDescent="0.3">
      <c r="A395" t="s">
        <v>219</v>
      </c>
      <c r="B395" t="s">
        <v>220</v>
      </c>
      <c r="C395" t="s">
        <v>586</v>
      </c>
      <c r="D395">
        <v>2016</v>
      </c>
      <c r="E395" t="s">
        <v>573</v>
      </c>
      <c r="F395" s="6">
        <v>1.1540462030865435</v>
      </c>
      <c r="G395" s="6">
        <v>2.901281306446672</v>
      </c>
      <c r="H395" s="6">
        <v>1.7472351033601283</v>
      </c>
    </row>
    <row r="396" spans="1:10" x14ac:dyDescent="0.3">
      <c r="A396" t="s">
        <v>219</v>
      </c>
      <c r="B396" t="s">
        <v>220</v>
      </c>
      <c r="C396" t="s">
        <v>586</v>
      </c>
      <c r="D396">
        <v>2017</v>
      </c>
      <c r="E396" t="s">
        <v>573</v>
      </c>
      <c r="F396" s="6">
        <v>0.91335590318870929</v>
      </c>
      <c r="G396" s="6">
        <v>2.5250902355888045</v>
      </c>
      <c r="H396" s="6">
        <v>1.6117343324000952</v>
      </c>
    </row>
    <row r="397" spans="1:10" x14ac:dyDescent="0.3">
      <c r="A397" t="s">
        <v>219</v>
      </c>
      <c r="B397" t="s">
        <v>220</v>
      </c>
      <c r="C397" t="s">
        <v>586</v>
      </c>
      <c r="D397">
        <v>2018</v>
      </c>
      <c r="E397" t="s">
        <v>573</v>
      </c>
      <c r="F397" s="6">
        <v>0.69882416358241617</v>
      </c>
      <c r="G397" s="6">
        <v>2.2945218263919775</v>
      </c>
      <c r="H397" s="6">
        <v>1.5956976628095614</v>
      </c>
    </row>
    <row r="398" spans="1:10" x14ac:dyDescent="0.3">
      <c r="A398" t="s">
        <v>219</v>
      </c>
      <c r="B398" t="s">
        <v>220</v>
      </c>
      <c r="C398" t="s">
        <v>586</v>
      </c>
      <c r="D398">
        <v>2019</v>
      </c>
      <c r="E398" t="s">
        <v>573</v>
      </c>
      <c r="F398" s="6">
        <v>0.68803131137680995</v>
      </c>
      <c r="G398" s="6">
        <v>2.1420430815305811</v>
      </c>
      <c r="H398" s="6">
        <v>1.4540117701537714</v>
      </c>
    </row>
    <row r="399" spans="1:10" x14ac:dyDescent="0.3">
      <c r="A399" t="s">
        <v>219</v>
      </c>
      <c r="B399" t="s">
        <v>220</v>
      </c>
      <c r="C399" t="s">
        <v>586</v>
      </c>
      <c r="D399">
        <v>2020</v>
      </c>
      <c r="E399" t="s">
        <v>573</v>
      </c>
      <c r="F399" s="6">
        <v>0.45880353822446124</v>
      </c>
      <c r="G399" s="6">
        <v>1.4797178658077457</v>
      </c>
      <c r="H399" s="6">
        <v>1.0209143275832844</v>
      </c>
    </row>
    <row r="400" spans="1:10" x14ac:dyDescent="0.3">
      <c r="A400" t="s">
        <v>219</v>
      </c>
      <c r="B400" t="s">
        <v>220</v>
      </c>
      <c r="C400" t="s">
        <v>586</v>
      </c>
      <c r="D400">
        <v>2021</v>
      </c>
      <c r="E400" t="s">
        <v>573</v>
      </c>
      <c r="F400" s="6">
        <v>0.49388029021982532</v>
      </c>
      <c r="G400" s="6">
        <v>1.4021790077968486</v>
      </c>
      <c r="H400" s="6">
        <v>0.9082987175770233</v>
      </c>
    </row>
    <row r="401" spans="1:10" x14ac:dyDescent="0.3">
      <c r="A401" t="s">
        <v>219</v>
      </c>
      <c r="B401" t="s">
        <v>220</v>
      </c>
      <c r="C401" t="s">
        <v>586</v>
      </c>
      <c r="D401">
        <v>2022</v>
      </c>
      <c r="E401" t="s">
        <v>573</v>
      </c>
      <c r="F401" s="6">
        <v>6.4833344763733633E-2</v>
      </c>
      <c r="G401" s="6">
        <v>0.11521397709347782</v>
      </c>
      <c r="H401" s="6">
        <v>5.0380632329744192E-2</v>
      </c>
    </row>
    <row r="402" spans="1:10" x14ac:dyDescent="0.3">
      <c r="A402" t="s">
        <v>219</v>
      </c>
      <c r="B402" t="s">
        <v>220</v>
      </c>
      <c r="C402" t="s">
        <v>586</v>
      </c>
      <c r="D402">
        <v>2023</v>
      </c>
      <c r="E402" t="s">
        <v>573</v>
      </c>
      <c r="F402" s="6">
        <v>0.14812793811773248</v>
      </c>
      <c r="G402" s="6">
        <v>0.20663686405947126</v>
      </c>
      <c r="H402" s="6">
        <v>5.8508925941738794E-2</v>
      </c>
    </row>
    <row r="403" spans="1:10" x14ac:dyDescent="0.3">
      <c r="A403" t="s">
        <v>219</v>
      </c>
      <c r="B403" t="s">
        <v>220</v>
      </c>
      <c r="C403" t="s">
        <v>586</v>
      </c>
      <c r="D403">
        <v>2024</v>
      </c>
      <c r="E403" t="s">
        <v>573</v>
      </c>
      <c r="F403" s="6">
        <v>0.14144218021132707</v>
      </c>
      <c r="G403" s="6">
        <v>0.1834536062959248</v>
      </c>
      <c r="H403" s="6">
        <v>4.2011426084597729E-2</v>
      </c>
    </row>
    <row r="404" spans="1:10" x14ac:dyDescent="0.3">
      <c r="A404" t="s">
        <v>223</v>
      </c>
      <c r="B404" t="s">
        <v>224</v>
      </c>
      <c r="C404" t="s">
        <v>587</v>
      </c>
      <c r="D404">
        <v>2017</v>
      </c>
      <c r="E404" t="s">
        <v>573</v>
      </c>
      <c r="F404" s="6">
        <v>26.917914540747883</v>
      </c>
      <c r="G404" s="6">
        <v>26.957125774749482</v>
      </c>
      <c r="H404" s="6">
        <v>3.9211234001596242E-2</v>
      </c>
      <c r="I404" s="6"/>
      <c r="J404" s="6"/>
    </row>
    <row r="405" spans="1:10" x14ac:dyDescent="0.3">
      <c r="A405" t="s">
        <v>223</v>
      </c>
      <c r="B405" t="s">
        <v>224</v>
      </c>
      <c r="C405" t="s">
        <v>587</v>
      </c>
      <c r="D405">
        <v>2018</v>
      </c>
      <c r="E405" t="s">
        <v>573</v>
      </c>
      <c r="F405" s="6">
        <v>27.841881298251582</v>
      </c>
      <c r="G405" s="6">
        <v>27.843614939404635</v>
      </c>
      <c r="H405" s="6">
        <v>1.7348221075148031E-3</v>
      </c>
      <c r="I405" s="6"/>
      <c r="J405" s="6"/>
    </row>
    <row r="406" spans="1:10" x14ac:dyDescent="0.3">
      <c r="A406" t="s">
        <v>223</v>
      </c>
      <c r="B406" t="s">
        <v>224</v>
      </c>
      <c r="C406" t="s">
        <v>587</v>
      </c>
      <c r="D406">
        <v>2019</v>
      </c>
      <c r="E406" t="s">
        <v>573</v>
      </c>
      <c r="F406" s="6">
        <v>25.997752319187242</v>
      </c>
      <c r="G406" s="6">
        <v>26.000272256187699</v>
      </c>
      <c r="H406" s="6">
        <v>2.521056474911514E-3</v>
      </c>
      <c r="I406" s="6"/>
      <c r="J406" s="6"/>
    </row>
    <row r="407" spans="1:10" x14ac:dyDescent="0.3">
      <c r="A407" t="s">
        <v>223</v>
      </c>
      <c r="B407" t="s">
        <v>224</v>
      </c>
      <c r="C407" t="s">
        <v>587</v>
      </c>
      <c r="D407">
        <v>2020</v>
      </c>
      <c r="E407" t="s">
        <v>573</v>
      </c>
      <c r="F407" s="6">
        <v>26.077796804226676</v>
      </c>
      <c r="G407" s="6">
        <v>26.079869890157287</v>
      </c>
      <c r="H407" s="6">
        <v>2.0730859306111295E-3</v>
      </c>
      <c r="I407" s="6"/>
      <c r="J407" s="6"/>
    </row>
    <row r="408" spans="1:10" x14ac:dyDescent="0.3">
      <c r="A408" t="s">
        <v>223</v>
      </c>
      <c r="B408" t="s">
        <v>224</v>
      </c>
      <c r="C408" t="s">
        <v>587</v>
      </c>
      <c r="D408">
        <v>2021</v>
      </c>
      <c r="E408" t="s">
        <v>573</v>
      </c>
      <c r="F408" s="6">
        <v>26.063116695537357</v>
      </c>
      <c r="G408" s="6">
        <v>26.065899683285824</v>
      </c>
      <c r="H408" s="6">
        <v>2.7829877484671097E-3</v>
      </c>
      <c r="I408" s="6"/>
      <c r="J408" s="6"/>
    </row>
    <row r="409" spans="1:10" x14ac:dyDescent="0.3">
      <c r="A409" t="s">
        <v>223</v>
      </c>
      <c r="B409" t="s">
        <v>224</v>
      </c>
      <c r="C409" t="s">
        <v>587</v>
      </c>
      <c r="D409">
        <v>2022</v>
      </c>
      <c r="E409" t="s">
        <v>573</v>
      </c>
      <c r="F409" s="6">
        <v>22.836169438887271</v>
      </c>
      <c r="G409" s="6">
        <v>22.838663057939364</v>
      </c>
      <c r="H409" s="6">
        <v>2.4936190520919968E-3</v>
      </c>
      <c r="I409" s="6"/>
      <c r="J409" s="6"/>
    </row>
    <row r="410" spans="1:10" x14ac:dyDescent="0.3">
      <c r="A410" t="s">
        <v>223</v>
      </c>
      <c r="B410" t="s">
        <v>224</v>
      </c>
      <c r="C410" t="s">
        <v>587</v>
      </c>
      <c r="D410">
        <v>2023</v>
      </c>
      <c r="E410" t="s">
        <v>573</v>
      </c>
      <c r="F410" s="6">
        <v>23.14876547241273</v>
      </c>
      <c r="G410" s="6">
        <v>23.151871957039905</v>
      </c>
      <c r="H410" s="6">
        <v>3.1064846271721064E-3</v>
      </c>
      <c r="I410" s="6"/>
      <c r="J410" s="6"/>
    </row>
    <row r="411" spans="1:10" x14ac:dyDescent="0.3">
      <c r="A411" t="s">
        <v>223</v>
      </c>
      <c r="B411" t="s">
        <v>224</v>
      </c>
      <c r="C411" t="s">
        <v>587</v>
      </c>
      <c r="D411">
        <v>2024</v>
      </c>
      <c r="E411" t="s">
        <v>573</v>
      </c>
      <c r="F411" s="6">
        <v>22.744975454315693</v>
      </c>
      <c r="G411" s="6">
        <v>22.749113395054277</v>
      </c>
      <c r="H411" s="6">
        <v>4.1379407385839975E-3</v>
      </c>
      <c r="I411" s="6"/>
      <c r="J411" s="6"/>
    </row>
    <row r="412" spans="1:10" x14ac:dyDescent="0.3">
      <c r="A412" t="s">
        <v>227</v>
      </c>
      <c r="B412" t="s">
        <v>228</v>
      </c>
      <c r="C412" t="str">
        <f>VLOOKUP(B412,[1]country_codes!A:C,3,FALSE)</f>
        <v>GHA</v>
      </c>
      <c r="D412">
        <v>2011</v>
      </c>
      <c r="E412" t="s">
        <v>573</v>
      </c>
      <c r="F412" s="6"/>
      <c r="G412" s="6"/>
      <c r="H412" s="6"/>
      <c r="I412" s="6"/>
      <c r="J412" s="6"/>
    </row>
    <row r="413" spans="1:10" x14ac:dyDescent="0.3">
      <c r="A413" t="s">
        <v>227</v>
      </c>
      <c r="B413" t="s">
        <v>228</v>
      </c>
      <c r="C413" t="str">
        <f>VLOOKUP(B413,[1]country_codes!A:C,3,FALSE)</f>
        <v>GHA</v>
      </c>
      <c r="D413">
        <v>2012</v>
      </c>
      <c r="E413" t="s">
        <v>573</v>
      </c>
      <c r="F413" s="6"/>
      <c r="G413" s="6"/>
      <c r="H413" s="6"/>
      <c r="I413" s="6"/>
      <c r="J413" s="6"/>
    </row>
    <row r="414" spans="1:10" x14ac:dyDescent="0.3">
      <c r="A414" t="s">
        <v>227</v>
      </c>
      <c r="B414" t="s">
        <v>228</v>
      </c>
      <c r="C414" t="str">
        <f>VLOOKUP(B414,[1]country_codes!A:C,3,FALSE)</f>
        <v>GHA</v>
      </c>
      <c r="D414">
        <v>2013</v>
      </c>
      <c r="E414" t="s">
        <v>573</v>
      </c>
      <c r="F414" s="6"/>
      <c r="G414" s="6">
        <v>0.12812593899999999</v>
      </c>
      <c r="H414" s="6"/>
      <c r="I414" s="6"/>
    </row>
    <row r="415" spans="1:10" x14ac:dyDescent="0.3">
      <c r="A415" t="s">
        <v>227</v>
      </c>
      <c r="B415" t="s">
        <v>228</v>
      </c>
      <c r="C415" t="str">
        <f>VLOOKUP(B415,[1]country_codes!A:C,3,FALSE)</f>
        <v>GHA</v>
      </c>
      <c r="D415">
        <v>2014</v>
      </c>
      <c r="E415" t="s">
        <v>573</v>
      </c>
      <c r="F415" s="6"/>
      <c r="G415" s="6">
        <v>0.24891521699999999</v>
      </c>
      <c r="H415" s="6"/>
      <c r="I415" s="6"/>
    </row>
    <row r="416" spans="1:10" x14ac:dyDescent="0.3">
      <c r="A416" t="s">
        <v>227</v>
      </c>
      <c r="B416" t="s">
        <v>228</v>
      </c>
      <c r="C416" t="str">
        <f>VLOOKUP(B416,[1]country_codes!A:C,3,FALSE)</f>
        <v>GHA</v>
      </c>
      <c r="D416">
        <v>2015</v>
      </c>
      <c r="E416" t="s">
        <v>573</v>
      </c>
      <c r="F416" s="6"/>
      <c r="G416" s="6">
        <v>0.25938347</v>
      </c>
      <c r="H416" s="6"/>
      <c r="I416" s="6"/>
    </row>
    <row r="417" spans="1:9" x14ac:dyDescent="0.3">
      <c r="A417" t="s">
        <v>227</v>
      </c>
      <c r="B417" t="s">
        <v>228</v>
      </c>
      <c r="C417" t="str">
        <f>VLOOKUP(B417,[1]country_codes!A:C,3,FALSE)</f>
        <v>GHA</v>
      </c>
      <c r="D417">
        <v>2016</v>
      </c>
      <c r="E417" t="s">
        <v>573</v>
      </c>
      <c r="F417" s="6"/>
      <c r="G417" s="6">
        <v>0.27696228899999997</v>
      </c>
      <c r="H417" s="6"/>
      <c r="I417" s="6"/>
    </row>
    <row r="418" spans="1:9" x14ac:dyDescent="0.3">
      <c r="A418" t="s">
        <v>227</v>
      </c>
      <c r="B418" t="s">
        <v>228</v>
      </c>
      <c r="C418" t="str">
        <f>VLOOKUP(B418,[1]country_codes!A:C,3,FALSE)</f>
        <v>GHA</v>
      </c>
      <c r="D418">
        <v>2017</v>
      </c>
      <c r="E418" t="s">
        <v>573</v>
      </c>
      <c r="F418" s="6"/>
      <c r="G418" s="6">
        <v>0.344792659</v>
      </c>
      <c r="H418" s="6"/>
      <c r="I418" s="6"/>
    </row>
    <row r="419" spans="1:9" x14ac:dyDescent="0.3">
      <c r="A419" t="s">
        <v>227</v>
      </c>
      <c r="B419" t="s">
        <v>228</v>
      </c>
      <c r="C419" t="str">
        <f>VLOOKUP(B419,[1]country_codes!A:C,3,FALSE)</f>
        <v>GHA</v>
      </c>
      <c r="D419">
        <v>2018</v>
      </c>
      <c r="E419" t="s">
        <v>573</v>
      </c>
      <c r="F419" s="6"/>
      <c r="G419" s="6">
        <v>0.48517243300000001</v>
      </c>
      <c r="H419" s="6"/>
      <c r="I419" s="6"/>
    </row>
    <row r="420" spans="1:9" x14ac:dyDescent="0.3">
      <c r="A420" t="s">
        <v>227</v>
      </c>
      <c r="B420" t="s">
        <v>228</v>
      </c>
      <c r="C420" t="str">
        <f>VLOOKUP(B420,[1]country_codes!A:C,3,FALSE)</f>
        <v>GHA</v>
      </c>
      <c r="D420">
        <v>2019</v>
      </c>
      <c r="E420" t="s">
        <v>573</v>
      </c>
      <c r="F420" s="6"/>
      <c r="G420" s="6">
        <v>0.57961232900000004</v>
      </c>
      <c r="H420" s="6"/>
      <c r="I420" s="6"/>
    </row>
    <row r="421" spans="1:9" x14ac:dyDescent="0.3">
      <c r="A421" t="s">
        <v>227</v>
      </c>
      <c r="B421" t="s">
        <v>228</v>
      </c>
      <c r="C421" t="str">
        <f>VLOOKUP(B421,[1]country_codes!A:C,3,FALSE)</f>
        <v>GHA</v>
      </c>
      <c r="D421">
        <v>2020</v>
      </c>
      <c r="E421" t="s">
        <v>573</v>
      </c>
      <c r="F421" s="6"/>
      <c r="G421" s="6">
        <v>0.64478718700000004</v>
      </c>
      <c r="H421" s="6"/>
      <c r="I421" s="6"/>
    </row>
    <row r="422" spans="1:9" x14ac:dyDescent="0.3">
      <c r="A422" t="s">
        <v>227</v>
      </c>
      <c r="B422" t="s">
        <v>228</v>
      </c>
      <c r="C422" t="str">
        <f>VLOOKUP(B422,[1]country_codes!A:C,3,FALSE)</f>
        <v>GHA</v>
      </c>
      <c r="D422">
        <v>2021</v>
      </c>
      <c r="E422" t="s">
        <v>573</v>
      </c>
      <c r="F422" s="6"/>
      <c r="G422" s="6">
        <v>0.72653795099999996</v>
      </c>
      <c r="H422" s="6"/>
      <c r="I422" s="6"/>
    </row>
    <row r="423" spans="1:9" x14ac:dyDescent="0.3">
      <c r="A423" t="s">
        <v>227</v>
      </c>
      <c r="B423" t="s">
        <v>228</v>
      </c>
      <c r="C423" t="str">
        <f>VLOOKUP(B423,[1]country_codes!A:C,3,FALSE)</f>
        <v>GHA</v>
      </c>
      <c r="D423">
        <v>2022</v>
      </c>
      <c r="E423" t="s">
        <v>573</v>
      </c>
      <c r="F423" s="6"/>
      <c r="G423" s="6">
        <v>0.918223452</v>
      </c>
      <c r="H423" s="6"/>
      <c r="I423" s="6"/>
    </row>
    <row r="424" spans="1:9" x14ac:dyDescent="0.3">
      <c r="A424" t="s">
        <v>227</v>
      </c>
      <c r="B424" t="s">
        <v>228</v>
      </c>
      <c r="C424" t="str">
        <f>VLOOKUP(B424,[1]country_codes!A:C,3,FALSE)</f>
        <v>GHA</v>
      </c>
      <c r="D424">
        <v>2023</v>
      </c>
      <c r="E424" t="s">
        <v>573</v>
      </c>
      <c r="F424" s="6"/>
      <c r="G424" s="6">
        <v>1.046376406</v>
      </c>
      <c r="H424" s="6"/>
      <c r="I424" s="6"/>
    </row>
    <row r="425" spans="1:9" x14ac:dyDescent="0.3">
      <c r="A425" t="s">
        <v>227</v>
      </c>
      <c r="B425" t="s">
        <v>228</v>
      </c>
      <c r="C425" t="str">
        <f>VLOOKUP(B425,[1]country_codes!A:C,3,FALSE)</f>
        <v>GHA</v>
      </c>
      <c r="D425">
        <v>2024</v>
      </c>
      <c r="E425" t="s">
        <v>573</v>
      </c>
      <c r="F425" s="6"/>
      <c r="G425" s="6">
        <v>1.2588600219999999</v>
      </c>
      <c r="H425" s="6"/>
      <c r="I425" s="6"/>
    </row>
    <row r="426" spans="1:9" x14ac:dyDescent="0.3">
      <c r="A426" t="s">
        <v>231</v>
      </c>
      <c r="B426" t="s">
        <v>228</v>
      </c>
      <c r="C426" t="str">
        <f>VLOOKUP(B426,[1]country_codes!A:C,3,FALSE)</f>
        <v>GHA</v>
      </c>
      <c r="D426">
        <v>2011</v>
      </c>
      <c r="E426" t="s">
        <v>573</v>
      </c>
      <c r="F426" s="6"/>
      <c r="G426" s="6"/>
      <c r="H426" s="6"/>
      <c r="I426" s="6"/>
    </row>
    <row r="427" spans="1:9" x14ac:dyDescent="0.3">
      <c r="A427" t="s">
        <v>231</v>
      </c>
      <c r="B427" t="s">
        <v>228</v>
      </c>
      <c r="C427" t="str">
        <f>VLOOKUP(B427,[1]country_codes!A:C,3,FALSE)</f>
        <v>GHA</v>
      </c>
      <c r="D427">
        <v>2012</v>
      </c>
      <c r="E427" t="s">
        <v>573</v>
      </c>
      <c r="F427" s="6"/>
      <c r="G427" s="6"/>
      <c r="H427" s="6"/>
      <c r="I427" s="6"/>
    </row>
    <row r="428" spans="1:9" x14ac:dyDescent="0.3">
      <c r="A428" t="s">
        <v>231</v>
      </c>
      <c r="B428" t="s">
        <v>228</v>
      </c>
      <c r="C428" t="str">
        <f>VLOOKUP(B428,[1]country_codes!A:C,3,FALSE)</f>
        <v>GHA</v>
      </c>
      <c r="D428">
        <v>2013</v>
      </c>
      <c r="E428" t="s">
        <v>573</v>
      </c>
      <c r="G428" s="6">
        <v>0.31903415000000002</v>
      </c>
    </row>
    <row r="429" spans="1:9" x14ac:dyDescent="0.3">
      <c r="A429" t="s">
        <v>231</v>
      </c>
      <c r="B429" t="s">
        <v>228</v>
      </c>
      <c r="C429" t="str">
        <f>VLOOKUP(B429,[1]country_codes!A:C,3,FALSE)</f>
        <v>GHA</v>
      </c>
      <c r="D429">
        <v>2014</v>
      </c>
      <c r="E429" t="s">
        <v>573</v>
      </c>
      <c r="G429" s="6">
        <v>0.28664404100000002</v>
      </c>
    </row>
    <row r="430" spans="1:9" x14ac:dyDescent="0.3">
      <c r="A430" t="s">
        <v>231</v>
      </c>
      <c r="B430" t="s">
        <v>228</v>
      </c>
      <c r="C430" t="str">
        <f>VLOOKUP(B430,[1]country_codes!A:C,3,FALSE)</f>
        <v>GHA</v>
      </c>
      <c r="D430">
        <v>2015</v>
      </c>
      <c r="E430" t="s">
        <v>573</v>
      </c>
      <c r="G430" s="6">
        <v>0.17739612399999999</v>
      </c>
    </row>
    <row r="431" spans="1:9" x14ac:dyDescent="0.3">
      <c r="A431" t="s">
        <v>231</v>
      </c>
      <c r="B431" t="s">
        <v>228</v>
      </c>
      <c r="C431" t="str">
        <f>VLOOKUP(B431,[1]country_codes!A:C,3,FALSE)</f>
        <v>GHA</v>
      </c>
      <c r="D431">
        <v>2016</v>
      </c>
      <c r="E431" t="s">
        <v>573</v>
      </c>
      <c r="G431" s="6">
        <v>0.207748661</v>
      </c>
    </row>
    <row r="432" spans="1:9" x14ac:dyDescent="0.3">
      <c r="A432" t="s">
        <v>231</v>
      </c>
      <c r="B432" t="s">
        <v>228</v>
      </c>
      <c r="C432" t="str">
        <f>VLOOKUP(B432,[1]country_codes!A:C,3,FALSE)</f>
        <v>GHA</v>
      </c>
      <c r="D432">
        <v>2017</v>
      </c>
      <c r="E432" t="s">
        <v>573</v>
      </c>
      <c r="G432" s="6">
        <v>0.35305203499999999</v>
      </c>
    </row>
    <row r="433" spans="1:10" x14ac:dyDescent="0.3">
      <c r="A433" t="s">
        <v>231</v>
      </c>
      <c r="B433" t="s">
        <v>228</v>
      </c>
      <c r="C433" t="str">
        <f>VLOOKUP(B433,[1]country_codes!A:C,3,FALSE)</f>
        <v>GHA</v>
      </c>
      <c r="D433">
        <v>2018</v>
      </c>
      <c r="E433" t="s">
        <v>573</v>
      </c>
      <c r="G433" s="6">
        <v>0.38120322899999998</v>
      </c>
    </row>
    <row r="434" spans="1:10" x14ac:dyDescent="0.3">
      <c r="A434" t="s">
        <v>231</v>
      </c>
      <c r="B434" t="s">
        <v>228</v>
      </c>
      <c r="C434" t="str">
        <f>VLOOKUP(B434,[1]country_codes!A:C,3,FALSE)</f>
        <v>GHA</v>
      </c>
      <c r="D434">
        <v>2019</v>
      </c>
      <c r="E434" t="s">
        <v>573</v>
      </c>
      <c r="G434" s="6">
        <v>0.38859194200000002</v>
      </c>
    </row>
    <row r="435" spans="1:10" x14ac:dyDescent="0.3">
      <c r="A435" t="s">
        <v>231</v>
      </c>
      <c r="B435" t="s">
        <v>228</v>
      </c>
      <c r="C435" t="str">
        <f>VLOOKUP(B435,[1]country_codes!A:C,3,FALSE)</f>
        <v>GHA</v>
      </c>
      <c r="D435">
        <v>2020</v>
      </c>
      <c r="E435" t="s">
        <v>573</v>
      </c>
      <c r="G435" s="6">
        <v>0.19998912099999999</v>
      </c>
    </row>
    <row r="436" spans="1:10" x14ac:dyDescent="0.3">
      <c r="A436" t="s">
        <v>231</v>
      </c>
      <c r="B436" t="s">
        <v>228</v>
      </c>
      <c r="C436" t="str">
        <f>VLOOKUP(B436,[1]country_codes!A:C,3,FALSE)</f>
        <v>GHA</v>
      </c>
      <c r="D436">
        <v>2021</v>
      </c>
      <c r="E436" t="s">
        <v>573</v>
      </c>
      <c r="G436" s="6">
        <v>0.244888359</v>
      </c>
    </row>
    <row r="437" spans="1:10" x14ac:dyDescent="0.3">
      <c r="A437" t="s">
        <v>231</v>
      </c>
      <c r="B437" t="s">
        <v>228</v>
      </c>
      <c r="C437" t="str">
        <f>VLOOKUP(B437,[1]country_codes!A:C,3,FALSE)</f>
        <v>GHA</v>
      </c>
      <c r="D437">
        <v>2022</v>
      </c>
      <c r="E437" t="s">
        <v>573</v>
      </c>
      <c r="G437" s="6">
        <v>0.14366156699999999</v>
      </c>
    </row>
    <row r="438" spans="1:10" x14ac:dyDescent="0.3">
      <c r="A438" t="s">
        <v>231</v>
      </c>
      <c r="B438" t="s">
        <v>228</v>
      </c>
      <c r="C438" t="str">
        <f>VLOOKUP(B438,[1]country_codes!A:C,3,FALSE)</f>
        <v>GHA</v>
      </c>
      <c r="D438">
        <v>2023</v>
      </c>
      <c r="E438" t="s">
        <v>573</v>
      </c>
      <c r="G438" s="6">
        <v>0.19038144400000001</v>
      </c>
    </row>
    <row r="439" spans="1:10" x14ac:dyDescent="0.3">
      <c r="A439" t="s">
        <v>231</v>
      </c>
      <c r="B439" t="s">
        <v>228</v>
      </c>
      <c r="C439" t="str">
        <f>VLOOKUP(B439,[1]country_codes!A:C,3,FALSE)</f>
        <v>GHA</v>
      </c>
      <c r="D439">
        <v>2024</v>
      </c>
      <c r="E439" t="s">
        <v>573</v>
      </c>
      <c r="G439" s="6">
        <v>0.19691518199999999</v>
      </c>
    </row>
    <row r="440" spans="1:10" x14ac:dyDescent="0.3">
      <c r="A440" t="s">
        <v>240</v>
      </c>
      <c r="B440" t="s">
        <v>241</v>
      </c>
      <c r="C440" t="s">
        <v>588</v>
      </c>
      <c r="D440">
        <v>2016</v>
      </c>
      <c r="E440" t="s">
        <v>573</v>
      </c>
      <c r="F440" s="6">
        <v>0.51782282910025945</v>
      </c>
      <c r="G440" s="6">
        <v>1.0507453619379215</v>
      </c>
      <c r="H440" s="6">
        <v>0.21649093806158032</v>
      </c>
      <c r="I440" s="6"/>
      <c r="J440" s="6"/>
    </row>
    <row r="441" spans="1:10" x14ac:dyDescent="0.3">
      <c r="A441" t="s">
        <v>240</v>
      </c>
      <c r="B441" t="s">
        <v>241</v>
      </c>
      <c r="C441" t="s">
        <v>588</v>
      </c>
      <c r="D441">
        <v>2017</v>
      </c>
      <c r="E441" t="s">
        <v>573</v>
      </c>
      <c r="F441" s="6">
        <v>1.023189565586748</v>
      </c>
      <c r="G441" s="6">
        <v>1.4667041268948284</v>
      </c>
      <c r="H441" s="6">
        <v>0.14906652523058206</v>
      </c>
      <c r="I441" s="6"/>
      <c r="J441" s="6"/>
    </row>
    <row r="442" spans="1:10" x14ac:dyDescent="0.3">
      <c r="A442" t="s">
        <v>240</v>
      </c>
      <c r="B442" t="s">
        <v>241</v>
      </c>
      <c r="C442" t="s">
        <v>588</v>
      </c>
      <c r="D442">
        <v>2018</v>
      </c>
      <c r="E442" t="s">
        <v>573</v>
      </c>
      <c r="F442" s="6">
        <v>4.1814391890527407</v>
      </c>
      <c r="G442" s="6">
        <v>6.5933709920029306</v>
      </c>
      <c r="H442" s="6">
        <v>0.91116739710668515</v>
      </c>
      <c r="I442" s="6"/>
      <c r="J442" s="6"/>
    </row>
    <row r="443" spans="1:10" x14ac:dyDescent="0.3">
      <c r="A443" t="s">
        <v>240</v>
      </c>
      <c r="B443" t="s">
        <v>241</v>
      </c>
      <c r="C443" t="s">
        <v>588</v>
      </c>
      <c r="D443">
        <v>2019</v>
      </c>
      <c r="E443" t="s">
        <v>573</v>
      </c>
      <c r="F443" s="6">
        <v>4.15158772935093</v>
      </c>
      <c r="G443" s="6">
        <v>6.4769541809180433</v>
      </c>
      <c r="H443" s="6">
        <v>0.91099622927418988</v>
      </c>
      <c r="I443" s="6"/>
      <c r="J443" s="6"/>
    </row>
    <row r="444" spans="1:10" x14ac:dyDescent="0.3">
      <c r="A444" t="s">
        <v>240</v>
      </c>
      <c r="B444" t="s">
        <v>241</v>
      </c>
      <c r="C444" t="s">
        <v>588</v>
      </c>
      <c r="D444">
        <v>2020</v>
      </c>
      <c r="E444" t="s">
        <v>573</v>
      </c>
      <c r="F444" s="6">
        <v>4.4392337691649084</v>
      </c>
      <c r="G444" s="6">
        <v>6.9321256166716765</v>
      </c>
      <c r="H444" s="6">
        <v>1.173487160116705</v>
      </c>
      <c r="I444" s="6"/>
      <c r="J444" s="6"/>
    </row>
    <row r="445" spans="1:10" x14ac:dyDescent="0.3">
      <c r="A445" t="s">
        <v>240</v>
      </c>
      <c r="B445" t="s">
        <v>241</v>
      </c>
      <c r="C445" t="s">
        <v>588</v>
      </c>
      <c r="D445">
        <v>2021</v>
      </c>
      <c r="E445" t="s">
        <v>573</v>
      </c>
      <c r="F445" s="6">
        <v>5.1136757129735493</v>
      </c>
      <c r="G445" s="6">
        <v>8.595867634573958</v>
      </c>
      <c r="H445" s="6">
        <v>1.2498180318682257</v>
      </c>
      <c r="I445" s="6"/>
      <c r="J445" s="6"/>
    </row>
    <row r="446" spans="1:10" x14ac:dyDescent="0.3">
      <c r="A446" t="s">
        <v>240</v>
      </c>
      <c r="B446" t="s">
        <v>241</v>
      </c>
      <c r="C446" t="s">
        <v>588</v>
      </c>
      <c r="D446">
        <v>2022</v>
      </c>
      <c r="E446" t="s">
        <v>573</v>
      </c>
      <c r="F446" s="6">
        <v>4.1229052567974813</v>
      </c>
      <c r="G446" s="6">
        <v>7.510196511502766</v>
      </c>
      <c r="H446" s="6">
        <v>1.3281729859761306</v>
      </c>
      <c r="I446" s="6"/>
      <c r="J446" s="6"/>
    </row>
    <row r="447" spans="1:10" x14ac:dyDescent="0.3">
      <c r="A447" t="s">
        <v>240</v>
      </c>
      <c r="B447" t="s">
        <v>241</v>
      </c>
      <c r="C447" t="s">
        <v>588</v>
      </c>
      <c r="D447">
        <v>2023</v>
      </c>
      <c r="E447" t="s">
        <v>573</v>
      </c>
      <c r="F447" s="6">
        <v>4.0722768629284474</v>
      </c>
      <c r="G447" s="6">
        <v>6.5531918410500589</v>
      </c>
      <c r="H447" s="6">
        <v>1.1442839169084023</v>
      </c>
      <c r="I447" s="6"/>
      <c r="J447" s="6"/>
    </row>
    <row r="448" spans="1:10" x14ac:dyDescent="0.3">
      <c r="A448" t="s">
        <v>240</v>
      </c>
      <c r="B448" t="s">
        <v>241</v>
      </c>
      <c r="C448" t="s">
        <v>588</v>
      </c>
      <c r="D448">
        <v>2024</v>
      </c>
      <c r="E448" t="s">
        <v>573</v>
      </c>
      <c r="F448" s="6">
        <v>6.6173432612882817</v>
      </c>
      <c r="G448" s="6">
        <v>8.6941442629232171</v>
      </c>
      <c r="H448" s="6">
        <v>1.4615174671862814</v>
      </c>
      <c r="I448" s="6"/>
      <c r="J448" s="6"/>
    </row>
    <row r="449" spans="1:8" x14ac:dyDescent="0.3">
      <c r="A449" t="s">
        <v>245</v>
      </c>
      <c r="B449" t="s">
        <v>246</v>
      </c>
      <c r="C449" t="s">
        <v>589</v>
      </c>
      <c r="D449">
        <v>2020</v>
      </c>
      <c r="E449" t="s">
        <v>573</v>
      </c>
      <c r="F449" s="6">
        <v>0.19831460431654677</v>
      </c>
      <c r="G449" s="6">
        <v>0.19831460431654677</v>
      </c>
      <c r="H449" s="6">
        <v>0</v>
      </c>
    </row>
    <row r="450" spans="1:8" x14ac:dyDescent="0.3">
      <c r="A450" t="s">
        <v>245</v>
      </c>
      <c r="B450" t="s">
        <v>246</v>
      </c>
      <c r="C450" t="s">
        <v>589</v>
      </c>
      <c r="D450">
        <v>2021</v>
      </c>
      <c r="E450" t="s">
        <v>573</v>
      </c>
      <c r="F450" s="6">
        <v>0.60764657074340522</v>
      </c>
      <c r="G450" s="6">
        <v>0.60764657074340522</v>
      </c>
      <c r="H450" s="6">
        <v>0</v>
      </c>
    </row>
    <row r="451" spans="1:8" x14ac:dyDescent="0.3">
      <c r="A451" t="s">
        <v>245</v>
      </c>
      <c r="B451" t="s">
        <v>246</v>
      </c>
      <c r="C451" t="s">
        <v>589</v>
      </c>
      <c r="D451">
        <v>2022</v>
      </c>
      <c r="E451" t="s">
        <v>573</v>
      </c>
      <c r="F451" s="6">
        <v>1.4294536882494007</v>
      </c>
      <c r="G451" s="6">
        <v>1.4294536882494007</v>
      </c>
      <c r="H451" s="6">
        <v>0</v>
      </c>
    </row>
    <row r="452" spans="1:8" x14ac:dyDescent="0.3">
      <c r="A452" t="s">
        <v>245</v>
      </c>
      <c r="B452" t="s">
        <v>246</v>
      </c>
      <c r="C452" t="s">
        <v>589</v>
      </c>
      <c r="D452">
        <v>2023</v>
      </c>
      <c r="E452" t="s">
        <v>573</v>
      </c>
      <c r="F452" s="6">
        <v>2.1223795395683456</v>
      </c>
      <c r="G452" s="6">
        <v>2.1223795395683456</v>
      </c>
      <c r="H452" s="6">
        <v>0</v>
      </c>
    </row>
    <row r="453" spans="1:8" x14ac:dyDescent="0.3">
      <c r="A453" t="s">
        <v>245</v>
      </c>
      <c r="B453" t="s">
        <v>246</v>
      </c>
      <c r="C453" t="s">
        <v>589</v>
      </c>
      <c r="D453">
        <v>2024</v>
      </c>
      <c r="E453" t="s">
        <v>573</v>
      </c>
      <c r="F453" s="6">
        <v>3.2456861774580332</v>
      </c>
      <c r="G453" s="6">
        <v>3.2456861774580332</v>
      </c>
      <c r="H453" s="6">
        <v>0</v>
      </c>
    </row>
    <row r="454" spans="1:8" x14ac:dyDescent="0.3">
      <c r="A454" t="s">
        <v>273</v>
      </c>
      <c r="B454" t="s">
        <v>274</v>
      </c>
      <c r="C454" t="s">
        <v>590</v>
      </c>
      <c r="D454">
        <v>2001</v>
      </c>
      <c r="E454" t="s">
        <v>573</v>
      </c>
      <c r="F454" s="6">
        <v>6.9094164122332256</v>
      </c>
      <c r="G454" s="6"/>
    </row>
    <row r="455" spans="1:8" x14ac:dyDescent="0.3">
      <c r="A455" t="s">
        <v>273</v>
      </c>
      <c r="B455" t="s">
        <v>274</v>
      </c>
      <c r="C455" t="s">
        <v>590</v>
      </c>
      <c r="D455">
        <v>2002</v>
      </c>
      <c r="E455" t="s">
        <v>573</v>
      </c>
      <c r="F455" s="6">
        <v>7.0215161574909777</v>
      </c>
    </row>
    <row r="456" spans="1:8" x14ac:dyDescent="0.3">
      <c r="A456" t="s">
        <v>273</v>
      </c>
      <c r="B456" t="s">
        <v>274</v>
      </c>
      <c r="C456" t="s">
        <v>590</v>
      </c>
      <c r="D456">
        <v>2003</v>
      </c>
      <c r="E456" t="s">
        <v>573</v>
      </c>
      <c r="F456" s="6">
        <v>10.814853526601896</v>
      </c>
    </row>
    <row r="457" spans="1:8" x14ac:dyDescent="0.3">
      <c r="A457" t="s">
        <v>273</v>
      </c>
      <c r="B457" t="s">
        <v>274</v>
      </c>
      <c r="C457" t="s">
        <v>590</v>
      </c>
      <c r="D457">
        <v>2004</v>
      </c>
      <c r="E457" t="s">
        <v>573</v>
      </c>
      <c r="F457" s="6">
        <v>14.539971946269386</v>
      </c>
    </row>
    <row r="458" spans="1:8" x14ac:dyDescent="0.3">
      <c r="A458" t="s">
        <v>273</v>
      </c>
      <c r="B458" t="s">
        <v>274</v>
      </c>
      <c r="C458" t="s">
        <v>590</v>
      </c>
      <c r="D458">
        <v>2005</v>
      </c>
      <c r="E458" t="s">
        <v>573</v>
      </c>
      <c r="F458" s="6">
        <v>19.182168438126791</v>
      </c>
    </row>
    <row r="459" spans="1:8" x14ac:dyDescent="0.3">
      <c r="A459" t="s">
        <v>273</v>
      </c>
      <c r="B459" t="s">
        <v>274</v>
      </c>
      <c r="C459" t="s">
        <v>590</v>
      </c>
      <c r="D459">
        <v>2006</v>
      </c>
      <c r="E459" t="s">
        <v>573</v>
      </c>
      <c r="F459" s="6">
        <v>23.7305706345307</v>
      </c>
    </row>
    <row r="460" spans="1:8" x14ac:dyDescent="0.3">
      <c r="A460" t="s">
        <v>273</v>
      </c>
      <c r="B460" t="s">
        <v>274</v>
      </c>
      <c r="C460" t="s">
        <v>590</v>
      </c>
      <c r="D460">
        <v>2007</v>
      </c>
      <c r="E460" t="s">
        <v>573</v>
      </c>
      <c r="F460" s="6">
        <v>28.989648727291861</v>
      </c>
    </row>
    <row r="461" spans="1:8" x14ac:dyDescent="0.3">
      <c r="A461" t="s">
        <v>273</v>
      </c>
      <c r="B461" t="s">
        <v>274</v>
      </c>
      <c r="C461" t="s">
        <v>590</v>
      </c>
      <c r="D461">
        <v>2008</v>
      </c>
      <c r="E461" t="s">
        <v>573</v>
      </c>
      <c r="F461" s="6">
        <v>23.741106113974425</v>
      </c>
    </row>
    <row r="462" spans="1:8" x14ac:dyDescent="0.3">
      <c r="A462" t="s">
        <v>273</v>
      </c>
      <c r="B462" t="s">
        <v>274</v>
      </c>
      <c r="C462" t="s">
        <v>590</v>
      </c>
      <c r="D462">
        <v>2009</v>
      </c>
      <c r="E462" t="s">
        <v>573</v>
      </c>
      <c r="F462" s="6">
        <v>31.15316252827747</v>
      </c>
    </row>
    <row r="463" spans="1:8" x14ac:dyDescent="0.3">
      <c r="A463" t="s">
        <v>273</v>
      </c>
      <c r="B463" t="s">
        <v>274</v>
      </c>
      <c r="C463" t="s">
        <v>590</v>
      </c>
      <c r="D463">
        <v>2010</v>
      </c>
      <c r="E463" t="s">
        <v>573</v>
      </c>
      <c r="F463" s="6">
        <v>30.076198215850532</v>
      </c>
    </row>
    <row r="464" spans="1:8" x14ac:dyDescent="0.3">
      <c r="A464" t="s">
        <v>273</v>
      </c>
      <c r="B464" t="s">
        <v>274</v>
      </c>
      <c r="C464" t="s">
        <v>590</v>
      </c>
      <c r="D464">
        <v>2011</v>
      </c>
      <c r="E464" t="s">
        <v>573</v>
      </c>
      <c r="F464" s="6">
        <v>18.673079682895889</v>
      </c>
    </row>
    <row r="465" spans="1:10" x14ac:dyDescent="0.3">
      <c r="A465" t="s">
        <v>273</v>
      </c>
      <c r="B465" t="s">
        <v>274</v>
      </c>
      <c r="C465" t="s">
        <v>590</v>
      </c>
      <c r="D465">
        <v>2012</v>
      </c>
      <c r="E465" t="s">
        <v>573</v>
      </c>
      <c r="F465" s="6">
        <v>18.865837352687734</v>
      </c>
    </row>
    <row r="466" spans="1:10" x14ac:dyDescent="0.3">
      <c r="A466" t="s">
        <v>273</v>
      </c>
      <c r="B466" t="s">
        <v>274</v>
      </c>
      <c r="C466" t="s">
        <v>590</v>
      </c>
      <c r="D466">
        <v>2013</v>
      </c>
      <c r="E466" t="s">
        <v>573</v>
      </c>
      <c r="F466" s="6">
        <v>26.399003061444983</v>
      </c>
    </row>
    <row r="467" spans="1:10" x14ac:dyDescent="0.3">
      <c r="A467" t="s">
        <v>273</v>
      </c>
      <c r="B467" t="s">
        <v>274</v>
      </c>
      <c r="C467" t="s">
        <v>590</v>
      </c>
      <c r="D467">
        <v>2014</v>
      </c>
      <c r="E467" t="s">
        <v>573</v>
      </c>
      <c r="F467" s="6"/>
    </row>
    <row r="468" spans="1:10" x14ac:dyDescent="0.3">
      <c r="A468" t="s">
        <v>278</v>
      </c>
      <c r="B468" t="s">
        <v>274</v>
      </c>
      <c r="C468" t="s">
        <v>590</v>
      </c>
      <c r="D468">
        <v>2014</v>
      </c>
      <c r="E468" t="s">
        <v>573</v>
      </c>
      <c r="F468" s="6">
        <v>16.6872314658</v>
      </c>
      <c r="G468" s="6">
        <v>16.732395157799999</v>
      </c>
      <c r="H468" s="6">
        <v>4.5163691999999998E-2</v>
      </c>
      <c r="I468" s="6"/>
      <c r="J468" s="6"/>
    </row>
    <row r="469" spans="1:10" x14ac:dyDescent="0.3">
      <c r="A469" t="s">
        <v>278</v>
      </c>
      <c r="B469" t="s">
        <v>274</v>
      </c>
      <c r="C469" t="s">
        <v>590</v>
      </c>
      <c r="D469">
        <v>2015</v>
      </c>
      <c r="E469" t="s">
        <v>573</v>
      </c>
      <c r="F469" s="6">
        <v>19.700536711199998</v>
      </c>
      <c r="G469" s="6">
        <v>19.7194639356</v>
      </c>
      <c r="H469" s="6">
        <v>1.8927224400000001E-2</v>
      </c>
      <c r="I469" s="6"/>
      <c r="J469" s="6"/>
    </row>
    <row r="470" spans="1:10" x14ac:dyDescent="0.3">
      <c r="A470" t="s">
        <v>278</v>
      </c>
      <c r="B470" t="s">
        <v>274</v>
      </c>
      <c r="C470" t="s">
        <v>590</v>
      </c>
      <c r="D470">
        <v>2016</v>
      </c>
      <c r="E470" t="s">
        <v>573</v>
      </c>
      <c r="F470" s="6">
        <v>18.955589913000001</v>
      </c>
      <c r="G470" s="6">
        <v>19.015215732000001</v>
      </c>
      <c r="H470" s="6">
        <v>5.9625818999999997E-2</v>
      </c>
      <c r="I470" s="6"/>
      <c r="J470" s="6"/>
    </row>
    <row r="471" spans="1:10" x14ac:dyDescent="0.3">
      <c r="A471" t="s">
        <v>278</v>
      </c>
      <c r="B471" t="s">
        <v>274</v>
      </c>
      <c r="C471" t="s">
        <v>590</v>
      </c>
      <c r="D471">
        <v>2017</v>
      </c>
      <c r="E471" t="s">
        <v>573</v>
      </c>
      <c r="F471" s="6">
        <v>18.091830009000002</v>
      </c>
      <c r="G471" s="6">
        <v>18.121041790499998</v>
      </c>
      <c r="H471" s="6">
        <v>2.9211781500000002E-2</v>
      </c>
      <c r="I471" s="6"/>
      <c r="J471" s="6"/>
    </row>
    <row r="472" spans="1:10" x14ac:dyDescent="0.3">
      <c r="A472" t="s">
        <v>278</v>
      </c>
      <c r="B472" t="s">
        <v>274</v>
      </c>
      <c r="C472" t="s">
        <v>590</v>
      </c>
      <c r="D472">
        <v>2018</v>
      </c>
      <c r="E472" t="s">
        <v>573</v>
      </c>
      <c r="F472" s="6">
        <v>14.247797450200002</v>
      </c>
      <c r="G472" s="6">
        <v>14.275740949300001</v>
      </c>
      <c r="H472" s="6">
        <v>2.7943499100000001E-2</v>
      </c>
      <c r="I472" s="6"/>
      <c r="J472" s="6"/>
    </row>
    <row r="473" spans="1:10" x14ac:dyDescent="0.3">
      <c r="A473" t="s">
        <v>278</v>
      </c>
      <c r="B473" t="s">
        <v>274</v>
      </c>
      <c r="C473" t="s">
        <v>590</v>
      </c>
      <c r="D473">
        <v>2019</v>
      </c>
      <c r="E473" t="s">
        <v>573</v>
      </c>
      <c r="F473" s="6">
        <v>13.4589940121</v>
      </c>
      <c r="G473" s="6">
        <v>13.4813259196</v>
      </c>
      <c r="H473" s="6">
        <v>2.2331907500000001E-2</v>
      </c>
      <c r="I473" s="6"/>
      <c r="J473" s="6"/>
    </row>
    <row r="474" spans="1:10" x14ac:dyDescent="0.3">
      <c r="A474" t="s">
        <v>278</v>
      </c>
      <c r="B474" t="s">
        <v>274</v>
      </c>
      <c r="C474" t="s">
        <v>590</v>
      </c>
      <c r="D474">
        <v>2020</v>
      </c>
      <c r="E474" t="s">
        <v>573</v>
      </c>
      <c r="F474" s="6">
        <v>11.1513250168</v>
      </c>
      <c r="G474" s="6">
        <v>11.1880962856</v>
      </c>
      <c r="H474" s="6">
        <v>3.67712688E-2</v>
      </c>
      <c r="I474" s="6"/>
      <c r="J474" s="6"/>
    </row>
    <row r="475" spans="1:10" x14ac:dyDescent="0.3">
      <c r="A475" t="s">
        <v>278</v>
      </c>
      <c r="B475" t="s">
        <v>274</v>
      </c>
      <c r="C475" t="s">
        <v>590</v>
      </c>
      <c r="D475">
        <v>2021</v>
      </c>
      <c r="E475" t="s">
        <v>573</v>
      </c>
      <c r="F475" s="6">
        <v>12.234301073999999</v>
      </c>
      <c r="G475" s="6">
        <v>12.2757302898</v>
      </c>
      <c r="H475" s="6">
        <v>4.1429215800000002E-2</v>
      </c>
      <c r="I475" s="6"/>
      <c r="J475" s="6"/>
    </row>
    <row r="476" spans="1:10" x14ac:dyDescent="0.3">
      <c r="A476" t="s">
        <v>278</v>
      </c>
      <c r="B476" t="s">
        <v>274</v>
      </c>
      <c r="C476" t="s">
        <v>590</v>
      </c>
      <c r="D476">
        <v>2022</v>
      </c>
      <c r="E476" t="s">
        <v>573</v>
      </c>
      <c r="F476" s="6">
        <v>14.256702109400001</v>
      </c>
      <c r="G476" s="6">
        <v>14.375405084399999</v>
      </c>
      <c r="H476" s="6">
        <v>0.11870297500000002</v>
      </c>
      <c r="I476" s="6"/>
      <c r="J476" s="6"/>
    </row>
    <row r="477" spans="1:10" x14ac:dyDescent="0.3">
      <c r="A477" t="s">
        <v>278</v>
      </c>
      <c r="B477" t="s">
        <v>274</v>
      </c>
      <c r="C477" t="s">
        <v>590</v>
      </c>
      <c r="D477">
        <v>2023</v>
      </c>
      <c r="E477" t="s">
        <v>573</v>
      </c>
      <c r="F477" s="6">
        <v>13.4462429444</v>
      </c>
      <c r="G477" s="6">
        <v>13.5202301124</v>
      </c>
      <c r="H477" s="6">
        <v>7.3987167999999992E-2</v>
      </c>
      <c r="I477" s="6"/>
      <c r="J477" s="6"/>
    </row>
    <row r="478" spans="1:10" x14ac:dyDescent="0.3">
      <c r="A478" t="s">
        <v>278</v>
      </c>
      <c r="B478" t="s">
        <v>274</v>
      </c>
      <c r="C478" t="s">
        <v>590</v>
      </c>
      <c r="D478">
        <v>2024</v>
      </c>
      <c r="E478" t="s">
        <v>573</v>
      </c>
      <c r="F478" s="6">
        <v>15.296838451499999</v>
      </c>
      <c r="G478" s="6">
        <v>15.407705191500002</v>
      </c>
      <c r="H478" s="6">
        <v>0.11086674000000001</v>
      </c>
      <c r="I478" s="6"/>
      <c r="J478" s="6"/>
    </row>
    <row r="479" spans="1:10" x14ac:dyDescent="0.3">
      <c r="A479" t="s">
        <v>281</v>
      </c>
      <c r="B479" t="s">
        <v>282</v>
      </c>
      <c r="C479" t="s">
        <v>591</v>
      </c>
      <c r="D479">
        <v>2022</v>
      </c>
      <c r="E479" t="s">
        <v>573</v>
      </c>
      <c r="F479" s="10">
        <v>0.60578799999999999</v>
      </c>
      <c r="G479" s="10">
        <v>0.61778200000000005</v>
      </c>
      <c r="H479" s="10">
        <v>1.1993999999999999E-2</v>
      </c>
      <c r="I479" s="10"/>
      <c r="J479" s="10"/>
    </row>
    <row r="480" spans="1:10" x14ac:dyDescent="0.3">
      <c r="A480" t="s">
        <v>281</v>
      </c>
      <c r="B480" t="s">
        <v>282</v>
      </c>
      <c r="C480" t="s">
        <v>591</v>
      </c>
      <c r="D480">
        <v>2023</v>
      </c>
      <c r="E480" t="s">
        <v>573</v>
      </c>
      <c r="F480" s="10">
        <v>1.478227</v>
      </c>
      <c r="G480" s="10">
        <v>1.478243</v>
      </c>
      <c r="H480" s="10">
        <v>1.5999999999999999E-5</v>
      </c>
      <c r="I480" s="10"/>
      <c r="J480" s="10"/>
    </row>
    <row r="481" spans="1:10" x14ac:dyDescent="0.3">
      <c r="A481" t="s">
        <v>281</v>
      </c>
      <c r="B481" t="s">
        <v>282</v>
      </c>
      <c r="C481" t="s">
        <v>591</v>
      </c>
      <c r="D481">
        <v>2024</v>
      </c>
      <c r="E481" t="s">
        <v>573</v>
      </c>
      <c r="F481" s="10">
        <v>2.0278839999999998</v>
      </c>
      <c r="G481" s="10">
        <v>2.0796420000000002</v>
      </c>
      <c r="H481" s="10">
        <v>5.1757999999999998E-2</v>
      </c>
      <c r="I481" s="10"/>
      <c r="J481" s="10"/>
    </row>
    <row r="482" spans="1:10" x14ac:dyDescent="0.3">
      <c r="A482" t="s">
        <v>285</v>
      </c>
      <c r="B482" t="s">
        <v>286</v>
      </c>
      <c r="C482" t="s">
        <v>592</v>
      </c>
      <c r="D482">
        <v>2011</v>
      </c>
      <c r="E482" t="s">
        <v>573</v>
      </c>
      <c r="F482" s="6">
        <v>0.83670569291601948</v>
      </c>
      <c r="G482" s="6">
        <v>0.83670569291601948</v>
      </c>
      <c r="H482" s="6">
        <v>0</v>
      </c>
      <c r="I482" s="6"/>
      <c r="J482" s="6"/>
    </row>
    <row r="483" spans="1:10" x14ac:dyDescent="0.3">
      <c r="A483" t="s">
        <v>285</v>
      </c>
      <c r="B483" t="s">
        <v>286</v>
      </c>
      <c r="C483" t="s">
        <v>592</v>
      </c>
      <c r="D483">
        <v>2012</v>
      </c>
      <c r="E483" t="s">
        <v>573</v>
      </c>
      <c r="F483" s="6">
        <v>1.3047466133290917</v>
      </c>
      <c r="G483" s="6">
        <v>1.3171885071538962</v>
      </c>
      <c r="H483" s="6">
        <v>1.2441893824804413E-2</v>
      </c>
      <c r="I483" s="6"/>
      <c r="J483" s="6"/>
    </row>
    <row r="484" spans="1:10" x14ac:dyDescent="0.3">
      <c r="A484" t="s">
        <v>285</v>
      </c>
      <c r="B484" t="s">
        <v>286</v>
      </c>
      <c r="C484" t="s">
        <v>592</v>
      </c>
      <c r="D484">
        <v>2013</v>
      </c>
      <c r="E484" t="s">
        <v>573</v>
      </c>
      <c r="F484" s="6">
        <v>6.3617759116833348</v>
      </c>
      <c r="G484" s="6">
        <v>6.4328714005841858</v>
      </c>
      <c r="H484" s="6">
        <v>7.1095488900850809E-2</v>
      </c>
      <c r="I484" s="6"/>
      <c r="J484" s="6"/>
    </row>
    <row r="485" spans="1:10" x14ac:dyDescent="0.3">
      <c r="A485" t="s">
        <v>285</v>
      </c>
      <c r="B485" t="s">
        <v>286</v>
      </c>
      <c r="C485" t="s">
        <v>592</v>
      </c>
      <c r="D485">
        <v>2014</v>
      </c>
      <c r="E485" t="s">
        <v>573</v>
      </c>
      <c r="F485" s="6">
        <v>6.4213005438085098</v>
      </c>
      <c r="G485" s="6">
        <v>7.3921954830442118</v>
      </c>
      <c r="H485" s="6">
        <v>0.97089493923570303</v>
      </c>
      <c r="I485" s="6"/>
      <c r="J485" s="6"/>
    </row>
    <row r="486" spans="1:10" x14ac:dyDescent="0.3">
      <c r="A486" t="s">
        <v>285</v>
      </c>
      <c r="B486" t="s">
        <v>286</v>
      </c>
      <c r="C486" t="s">
        <v>592</v>
      </c>
      <c r="D486">
        <v>2015</v>
      </c>
      <c r="E486" t="s">
        <v>573</v>
      </c>
      <c r="F486" s="6">
        <v>5.0728683704938797</v>
      </c>
      <c r="G486" s="6">
        <v>5.1371679727113078</v>
      </c>
      <c r="H486" s="6">
        <v>6.4299602217428142E-2</v>
      </c>
      <c r="I486" s="6"/>
      <c r="J486" s="6"/>
    </row>
    <row r="487" spans="1:10" x14ac:dyDescent="0.3">
      <c r="A487" t="s">
        <v>285</v>
      </c>
      <c r="B487" t="s">
        <v>286</v>
      </c>
      <c r="C487" t="s">
        <v>592</v>
      </c>
      <c r="D487">
        <v>2016</v>
      </c>
      <c r="E487" t="s">
        <v>573</v>
      </c>
      <c r="F487" s="6">
        <v>3.6728708880627705</v>
      </c>
      <c r="G487" s="6">
        <v>3.7028520563214404</v>
      </c>
      <c r="H487" s="6">
        <v>2.9981168258669956E-2</v>
      </c>
      <c r="I487" s="6"/>
      <c r="J487" s="6"/>
    </row>
    <row r="488" spans="1:10" x14ac:dyDescent="0.3">
      <c r="A488" t="s">
        <v>285</v>
      </c>
      <c r="B488" t="s">
        <v>286</v>
      </c>
      <c r="C488" t="s">
        <v>592</v>
      </c>
      <c r="D488">
        <v>2017</v>
      </c>
      <c r="E488" t="s">
        <v>573</v>
      </c>
      <c r="F488" s="6">
        <v>3.8112530276867913</v>
      </c>
      <c r="G488" s="6">
        <v>3.8263812741787078</v>
      </c>
      <c r="H488" s="6">
        <v>1.5128246491916283E-2</v>
      </c>
      <c r="I488" s="6"/>
      <c r="J488" s="6"/>
    </row>
    <row r="489" spans="1:10" x14ac:dyDescent="0.3">
      <c r="A489" t="s">
        <v>285</v>
      </c>
      <c r="B489" t="s">
        <v>286</v>
      </c>
      <c r="C489" t="s">
        <v>592</v>
      </c>
      <c r="D489">
        <v>2018</v>
      </c>
      <c r="E489" t="s">
        <v>573</v>
      </c>
      <c r="F489" s="6">
        <v>3.8462105119827315</v>
      </c>
      <c r="G489" s="6">
        <v>3.8631827584899701</v>
      </c>
      <c r="H489" s="6">
        <v>1.6972246507238602E-2</v>
      </c>
      <c r="I489" s="6"/>
      <c r="J489" s="6"/>
    </row>
    <row r="490" spans="1:10" x14ac:dyDescent="0.3">
      <c r="A490" t="s">
        <v>285</v>
      </c>
      <c r="B490" t="s">
        <v>286</v>
      </c>
      <c r="C490" t="s">
        <v>592</v>
      </c>
      <c r="D490">
        <v>2019</v>
      </c>
      <c r="E490" t="s">
        <v>573</v>
      </c>
      <c r="F490" s="6">
        <v>2.9903058393019046</v>
      </c>
      <c r="G490" s="6">
        <v>3.0177582244149992</v>
      </c>
      <c r="H490" s="6">
        <v>2.7452385113094346E-2</v>
      </c>
      <c r="I490" s="6"/>
      <c r="J490" s="6"/>
    </row>
    <row r="491" spans="1:10" x14ac:dyDescent="0.3">
      <c r="A491" t="s">
        <v>285</v>
      </c>
      <c r="B491" t="s">
        <v>286</v>
      </c>
      <c r="C491" t="s">
        <v>592</v>
      </c>
      <c r="D491">
        <v>2020</v>
      </c>
      <c r="E491" t="s">
        <v>573</v>
      </c>
      <c r="F491" s="6">
        <v>4.3770517439963887</v>
      </c>
      <c r="G491" s="6">
        <v>4.4146785780206743</v>
      </c>
      <c r="H491" s="6">
        <v>3.7626834024285828E-2</v>
      </c>
      <c r="I491" s="6"/>
      <c r="J491" s="6"/>
    </row>
    <row r="492" spans="1:10" x14ac:dyDescent="0.3">
      <c r="A492" t="s">
        <v>285</v>
      </c>
      <c r="B492" t="s">
        <v>286</v>
      </c>
      <c r="C492" t="s">
        <v>592</v>
      </c>
      <c r="D492">
        <v>2021</v>
      </c>
      <c r="E492" t="s">
        <v>573</v>
      </c>
      <c r="F492" s="6">
        <v>7.00249552155414</v>
      </c>
      <c r="G492" s="6">
        <v>7.0276665990139264</v>
      </c>
      <c r="H492" s="6">
        <v>2.517107745978624E-2</v>
      </c>
      <c r="I492" s="6"/>
      <c r="J492" s="6"/>
    </row>
    <row r="493" spans="1:10" x14ac:dyDescent="0.3">
      <c r="A493" t="s">
        <v>285</v>
      </c>
      <c r="B493" t="s">
        <v>286</v>
      </c>
      <c r="C493" t="s">
        <v>592</v>
      </c>
      <c r="D493">
        <v>2022</v>
      </c>
      <c r="E493" t="s">
        <v>573</v>
      </c>
      <c r="F493" s="6">
        <v>10.667306856673138</v>
      </c>
      <c r="G493" s="6">
        <v>10.685000948796775</v>
      </c>
      <c r="H493" s="6">
        <v>1.7694092123638858E-2</v>
      </c>
      <c r="I493" s="6"/>
      <c r="J493" s="6"/>
    </row>
    <row r="494" spans="1:10" x14ac:dyDescent="0.3">
      <c r="A494" t="s">
        <v>285</v>
      </c>
      <c r="B494" t="s">
        <v>286</v>
      </c>
      <c r="C494" t="s">
        <v>592</v>
      </c>
      <c r="D494">
        <v>2023</v>
      </c>
      <c r="E494" t="s">
        <v>573</v>
      </c>
      <c r="F494" s="6">
        <v>11.030262883423244</v>
      </c>
      <c r="G494" s="6">
        <v>11.0436403782883</v>
      </c>
      <c r="H494" s="6">
        <v>1.3377494865055519E-2</v>
      </c>
      <c r="I494" s="6"/>
      <c r="J494" s="6"/>
    </row>
    <row r="495" spans="1:10" x14ac:dyDescent="0.3">
      <c r="A495" t="s">
        <v>285</v>
      </c>
      <c r="B495" t="s">
        <v>286</v>
      </c>
      <c r="C495" t="s">
        <v>592</v>
      </c>
      <c r="D495">
        <v>2024</v>
      </c>
      <c r="E495" t="s">
        <v>573</v>
      </c>
      <c r="F495" s="6">
        <v>12.119357457791217</v>
      </c>
      <c r="G495" s="6">
        <v>12.139435263632716</v>
      </c>
      <c r="H495" s="6">
        <v>2.0077805841499444E-2</v>
      </c>
      <c r="I495" s="6"/>
      <c r="J495" s="6"/>
    </row>
    <row r="496" spans="1:10" x14ac:dyDescent="0.3">
      <c r="A496" t="s">
        <v>288</v>
      </c>
      <c r="B496" t="s">
        <v>289</v>
      </c>
      <c r="C496" t="s">
        <v>593</v>
      </c>
      <c r="D496">
        <v>2018</v>
      </c>
      <c r="E496" t="s">
        <v>573</v>
      </c>
      <c r="F496" s="6">
        <v>4.5351827695629181</v>
      </c>
      <c r="G496" s="6">
        <v>7.4041599681950903</v>
      </c>
      <c r="H496" s="6">
        <v>2.8689771986321717</v>
      </c>
      <c r="I496" s="6"/>
      <c r="J496" s="6"/>
    </row>
    <row r="497" spans="1:10" x14ac:dyDescent="0.3">
      <c r="A497" t="s">
        <v>288</v>
      </c>
      <c r="B497" t="s">
        <v>289</v>
      </c>
      <c r="C497" t="s">
        <v>593</v>
      </c>
      <c r="D497">
        <v>2019</v>
      </c>
      <c r="E497" t="s">
        <v>573</v>
      </c>
      <c r="F497" s="6">
        <v>4.060606423098128</v>
      </c>
      <c r="G497" s="6">
        <v>7.377721340394479</v>
      </c>
      <c r="H497" s="6">
        <v>3.3171149081228553</v>
      </c>
    </row>
    <row r="498" spans="1:10" x14ac:dyDescent="0.3">
      <c r="A498" t="s">
        <v>288</v>
      </c>
      <c r="B498" t="s">
        <v>289</v>
      </c>
      <c r="C498" t="s">
        <v>593</v>
      </c>
      <c r="D498">
        <v>2020</v>
      </c>
      <c r="E498" t="s">
        <v>573</v>
      </c>
      <c r="F498" s="6">
        <v>4.878830564572473</v>
      </c>
      <c r="G498" s="6">
        <v>7.4119428684350019</v>
      </c>
      <c r="H498" s="6">
        <v>2.5331122944970055</v>
      </c>
    </row>
    <row r="499" spans="1:10" x14ac:dyDescent="0.3">
      <c r="A499" t="s">
        <v>288</v>
      </c>
      <c r="B499" t="s">
        <v>289</v>
      </c>
      <c r="C499" t="s">
        <v>593</v>
      </c>
      <c r="D499">
        <v>2021</v>
      </c>
      <c r="E499" t="s">
        <v>573</v>
      </c>
      <c r="F499" s="6">
        <v>4.7067450295797064</v>
      </c>
      <c r="G499" s="6">
        <v>7.1168083072827217</v>
      </c>
      <c r="H499" s="6">
        <v>2.4100632685917547</v>
      </c>
    </row>
    <row r="500" spans="1:10" x14ac:dyDescent="0.3">
      <c r="A500" t="s">
        <v>288</v>
      </c>
      <c r="B500" t="s">
        <v>289</v>
      </c>
      <c r="C500" t="s">
        <v>593</v>
      </c>
      <c r="D500">
        <v>2022</v>
      </c>
      <c r="E500" t="s">
        <v>573</v>
      </c>
      <c r="F500" s="6">
        <v>3.8679144261399978</v>
      </c>
      <c r="G500" s="6">
        <v>5.7944097823466647</v>
      </c>
      <c r="H500" s="6">
        <v>1.9264953486019951</v>
      </c>
    </row>
    <row r="501" spans="1:10" x14ac:dyDescent="0.3">
      <c r="A501" t="s">
        <v>288</v>
      </c>
      <c r="B501" t="s">
        <v>289</v>
      </c>
      <c r="C501" t="s">
        <v>593</v>
      </c>
      <c r="D501">
        <v>2023</v>
      </c>
      <c r="E501" t="s">
        <v>573</v>
      </c>
      <c r="F501" s="6">
        <v>3.656621309107837</v>
      </c>
      <c r="G501" s="6">
        <v>13.135233605545121</v>
      </c>
      <c r="H501" s="6">
        <v>9.4786122893193951</v>
      </c>
    </row>
    <row r="502" spans="1:10" x14ac:dyDescent="0.3">
      <c r="A502" t="s">
        <v>288</v>
      </c>
      <c r="B502" t="s">
        <v>289</v>
      </c>
      <c r="C502" t="s">
        <v>593</v>
      </c>
      <c r="D502">
        <v>2024</v>
      </c>
      <c r="E502" t="s">
        <v>573</v>
      </c>
      <c r="F502" s="6">
        <v>3.6856537815881079</v>
      </c>
      <c r="G502" s="6">
        <v>15.158543394401528</v>
      </c>
      <c r="H502" s="6">
        <v>11.472889606206929</v>
      </c>
    </row>
    <row r="503" spans="1:10" x14ac:dyDescent="0.3">
      <c r="A503" t="s">
        <v>292</v>
      </c>
      <c r="B503" t="s">
        <v>293</v>
      </c>
      <c r="C503" t="s">
        <v>594</v>
      </c>
      <c r="D503">
        <v>2001</v>
      </c>
      <c r="E503" t="s">
        <v>573</v>
      </c>
      <c r="F503" s="6"/>
      <c r="G503" s="6"/>
      <c r="H503" s="6"/>
    </row>
    <row r="504" spans="1:10" x14ac:dyDescent="0.3">
      <c r="A504" t="s">
        <v>292</v>
      </c>
      <c r="B504" t="s">
        <v>293</v>
      </c>
      <c r="C504" t="s">
        <v>594</v>
      </c>
      <c r="D504">
        <v>2002</v>
      </c>
      <c r="E504" t="s">
        <v>573</v>
      </c>
      <c r="F504" s="6"/>
      <c r="G504" s="6"/>
      <c r="H504" s="6"/>
    </row>
    <row r="505" spans="1:10" x14ac:dyDescent="0.3">
      <c r="A505" t="s">
        <v>292</v>
      </c>
      <c r="B505" t="s">
        <v>293</v>
      </c>
      <c r="C505" t="s">
        <v>594</v>
      </c>
      <c r="D505">
        <v>2003</v>
      </c>
      <c r="E505" t="s">
        <v>573</v>
      </c>
      <c r="F505" s="6"/>
      <c r="G505" s="6"/>
      <c r="H505" s="6"/>
    </row>
    <row r="506" spans="1:10" x14ac:dyDescent="0.3">
      <c r="A506" t="s">
        <v>292</v>
      </c>
      <c r="B506" t="s">
        <v>293</v>
      </c>
      <c r="C506" t="s">
        <v>594</v>
      </c>
      <c r="D506">
        <v>2004</v>
      </c>
      <c r="E506" t="s">
        <v>573</v>
      </c>
      <c r="I506" s="6">
        <v>5.0999999999999996</v>
      </c>
      <c r="J506" s="6"/>
    </row>
    <row r="507" spans="1:10" x14ac:dyDescent="0.3">
      <c r="A507" t="s">
        <v>292</v>
      </c>
      <c r="B507" t="s">
        <v>293</v>
      </c>
      <c r="C507" t="s">
        <v>594</v>
      </c>
      <c r="D507">
        <v>2005</v>
      </c>
      <c r="E507" t="s">
        <v>573</v>
      </c>
      <c r="I507" s="6">
        <v>8.1</v>
      </c>
      <c r="J507" s="6"/>
    </row>
    <row r="508" spans="1:10" x14ac:dyDescent="0.3">
      <c r="A508" t="s">
        <v>292</v>
      </c>
      <c r="B508" t="s">
        <v>293</v>
      </c>
      <c r="C508" t="s">
        <v>594</v>
      </c>
      <c r="D508">
        <v>2006</v>
      </c>
      <c r="E508" t="s">
        <v>573</v>
      </c>
      <c r="I508" s="6">
        <v>14.1</v>
      </c>
      <c r="J508" s="6"/>
    </row>
    <row r="509" spans="1:10" x14ac:dyDescent="0.3">
      <c r="A509" t="s">
        <v>292</v>
      </c>
      <c r="B509" t="s">
        <v>293</v>
      </c>
      <c r="C509" t="s">
        <v>594</v>
      </c>
      <c r="D509">
        <v>2007</v>
      </c>
      <c r="E509" t="s">
        <v>573</v>
      </c>
      <c r="I509" s="6">
        <v>21</v>
      </c>
      <c r="J509" s="6"/>
    </row>
    <row r="510" spans="1:10" x14ac:dyDescent="0.3">
      <c r="A510" t="s">
        <v>292</v>
      </c>
      <c r="B510" t="s">
        <v>293</v>
      </c>
      <c r="C510" t="s">
        <v>594</v>
      </c>
      <c r="D510">
        <v>2008</v>
      </c>
      <c r="E510" t="s">
        <v>573</v>
      </c>
      <c r="I510" s="6">
        <v>27.4</v>
      </c>
      <c r="J510" s="6"/>
    </row>
    <row r="511" spans="1:10" x14ac:dyDescent="0.3">
      <c r="A511" t="s">
        <v>292</v>
      </c>
      <c r="B511" t="s">
        <v>293</v>
      </c>
      <c r="C511" t="s">
        <v>594</v>
      </c>
      <c r="D511">
        <v>2009</v>
      </c>
      <c r="E511" t="s">
        <v>573</v>
      </c>
      <c r="I511" s="6">
        <v>26.216799999999999</v>
      </c>
      <c r="J511" s="6"/>
    </row>
    <row r="512" spans="1:10" x14ac:dyDescent="0.3">
      <c r="A512" t="s">
        <v>292</v>
      </c>
      <c r="B512" t="s">
        <v>293</v>
      </c>
      <c r="C512" t="s">
        <v>594</v>
      </c>
      <c r="D512">
        <v>2010</v>
      </c>
      <c r="E512" t="s">
        <v>573</v>
      </c>
      <c r="I512" s="6">
        <v>33.75582</v>
      </c>
      <c r="J512" s="6"/>
    </row>
    <row r="513" spans="1:10" x14ac:dyDescent="0.3">
      <c r="A513" t="s">
        <v>292</v>
      </c>
      <c r="B513" t="s">
        <v>293</v>
      </c>
      <c r="C513" t="s">
        <v>594</v>
      </c>
      <c r="D513">
        <v>2011</v>
      </c>
      <c r="E513" t="s">
        <v>573</v>
      </c>
      <c r="I513" s="6">
        <v>46.584499999999998</v>
      </c>
      <c r="J513" s="6"/>
    </row>
    <row r="514" spans="1:10" x14ac:dyDescent="0.3">
      <c r="A514" t="s">
        <v>292</v>
      </c>
      <c r="B514" t="s">
        <v>293</v>
      </c>
      <c r="C514" t="s">
        <v>594</v>
      </c>
      <c r="D514">
        <v>2012</v>
      </c>
      <c r="E514" t="s">
        <v>573</v>
      </c>
      <c r="I514" s="6">
        <v>58.539281175339994</v>
      </c>
      <c r="J514" s="6"/>
    </row>
    <row r="515" spans="1:10" x14ac:dyDescent="0.3">
      <c r="A515" t="s">
        <v>292</v>
      </c>
      <c r="B515" t="s">
        <v>293</v>
      </c>
      <c r="C515" t="s">
        <v>594</v>
      </c>
      <c r="D515">
        <v>2013</v>
      </c>
      <c r="E515" t="s">
        <v>573</v>
      </c>
      <c r="I515" s="6">
        <v>71.5</v>
      </c>
      <c r="J515" s="6"/>
    </row>
    <row r="516" spans="1:10" x14ac:dyDescent="0.3">
      <c r="A516" t="s">
        <v>292</v>
      </c>
      <c r="B516" t="s">
        <v>293</v>
      </c>
      <c r="C516" t="s">
        <v>594</v>
      </c>
      <c r="D516">
        <v>2014</v>
      </c>
      <c r="E516" t="s">
        <v>573</v>
      </c>
      <c r="I516" s="6">
        <v>75.2</v>
      </c>
      <c r="J516" s="6"/>
    </row>
    <row r="517" spans="1:10" x14ac:dyDescent="0.3">
      <c r="A517" t="s">
        <v>292</v>
      </c>
      <c r="B517" t="s">
        <v>293</v>
      </c>
      <c r="C517" t="s">
        <v>594</v>
      </c>
      <c r="D517">
        <v>2015</v>
      </c>
      <c r="E517" t="s">
        <v>573</v>
      </c>
      <c r="I517" s="6">
        <v>65.7</v>
      </c>
      <c r="J517" s="6"/>
    </row>
    <row r="518" spans="1:10" x14ac:dyDescent="0.3">
      <c r="A518" t="s">
        <v>292</v>
      </c>
      <c r="B518" t="s">
        <v>293</v>
      </c>
      <c r="C518" t="s">
        <v>594</v>
      </c>
      <c r="D518">
        <v>2016</v>
      </c>
      <c r="E518" t="s">
        <v>573</v>
      </c>
      <c r="I518" s="6">
        <v>64.2</v>
      </c>
      <c r="J518" s="6"/>
    </row>
    <row r="519" spans="1:10" x14ac:dyDescent="0.3">
      <c r="A519" t="s">
        <v>292</v>
      </c>
      <c r="B519" t="s">
        <v>293</v>
      </c>
      <c r="C519" t="s">
        <v>594</v>
      </c>
      <c r="D519">
        <v>2017</v>
      </c>
      <c r="E519" t="s">
        <v>573</v>
      </c>
      <c r="I519" s="6">
        <v>61.8</v>
      </c>
      <c r="J519" s="6"/>
    </row>
    <row r="520" spans="1:10" x14ac:dyDescent="0.3">
      <c r="A520" t="s">
        <v>292</v>
      </c>
      <c r="B520" t="s">
        <v>293</v>
      </c>
      <c r="C520" t="s">
        <v>594</v>
      </c>
      <c r="D520">
        <v>2018</v>
      </c>
      <c r="E520" t="s">
        <v>573</v>
      </c>
      <c r="I520" s="6">
        <v>61.6</v>
      </c>
      <c r="J520" s="6"/>
    </row>
    <row r="521" spans="1:10" x14ac:dyDescent="0.3">
      <c r="A521" t="s">
        <v>292</v>
      </c>
      <c r="B521" t="s">
        <v>293</v>
      </c>
      <c r="C521" t="s">
        <v>594</v>
      </c>
      <c r="D521">
        <v>2019</v>
      </c>
      <c r="E521" t="s">
        <v>573</v>
      </c>
      <c r="I521" s="6">
        <v>65.5</v>
      </c>
      <c r="J521" s="6"/>
    </row>
    <row r="522" spans="1:10" x14ac:dyDescent="0.3">
      <c r="A522" t="s">
        <v>292</v>
      </c>
      <c r="B522" t="s">
        <v>293</v>
      </c>
      <c r="C522" t="s">
        <v>594</v>
      </c>
      <c r="D522">
        <v>2020</v>
      </c>
      <c r="E522" t="s">
        <v>573</v>
      </c>
      <c r="I522" s="6">
        <v>61.4</v>
      </c>
      <c r="J522" s="6"/>
    </row>
    <row r="523" spans="1:10" x14ac:dyDescent="0.3">
      <c r="A523" t="s">
        <v>292</v>
      </c>
      <c r="B523" t="s">
        <v>293</v>
      </c>
      <c r="C523" t="s">
        <v>594</v>
      </c>
      <c r="D523">
        <v>2021</v>
      </c>
      <c r="E523" t="s">
        <v>573</v>
      </c>
      <c r="I523" s="6">
        <v>59.5</v>
      </c>
      <c r="J523" s="6"/>
    </row>
    <row r="524" spans="1:10" x14ac:dyDescent="0.3">
      <c r="A524" t="s">
        <v>292</v>
      </c>
      <c r="B524" t="s">
        <v>293</v>
      </c>
      <c r="C524" t="s">
        <v>594</v>
      </c>
      <c r="D524">
        <v>2022</v>
      </c>
      <c r="E524" t="s">
        <v>573</v>
      </c>
      <c r="I524" s="6">
        <v>57.9</v>
      </c>
      <c r="J524" s="6"/>
    </row>
    <row r="525" spans="1:10" x14ac:dyDescent="0.3">
      <c r="A525" t="s">
        <v>292</v>
      </c>
      <c r="B525" t="s">
        <v>293</v>
      </c>
      <c r="C525" t="s">
        <v>594</v>
      </c>
      <c r="D525">
        <v>2023</v>
      </c>
      <c r="E525" t="s">
        <v>573</v>
      </c>
      <c r="I525" s="6">
        <v>65.7</v>
      </c>
      <c r="J525" s="6"/>
    </row>
    <row r="526" spans="1:10" x14ac:dyDescent="0.3">
      <c r="A526" t="s">
        <v>292</v>
      </c>
      <c r="B526" t="s">
        <v>293</v>
      </c>
      <c r="C526" t="s">
        <v>594</v>
      </c>
      <c r="D526">
        <v>2024</v>
      </c>
      <c r="E526" t="s">
        <v>573</v>
      </c>
      <c r="I526" s="6">
        <v>66.2</v>
      </c>
      <c r="J526" s="6"/>
    </row>
    <row r="527" spans="1:10" x14ac:dyDescent="0.3">
      <c r="A527" t="s">
        <v>301</v>
      </c>
      <c r="B527" t="s">
        <v>293</v>
      </c>
      <c r="C527" t="s">
        <v>594</v>
      </c>
      <c r="D527">
        <v>2012</v>
      </c>
      <c r="E527" t="s">
        <v>573</v>
      </c>
      <c r="F527" s="6">
        <v>6.3392874507502721E-3</v>
      </c>
      <c r="G527" s="6">
        <v>6.3539743482270098E-3</v>
      </c>
      <c r="H527" s="6">
        <v>1.4686897476737361E-5</v>
      </c>
      <c r="I527" s="6"/>
      <c r="J527" s="6"/>
    </row>
    <row r="528" spans="1:10" x14ac:dyDescent="0.3">
      <c r="A528" t="s">
        <v>301</v>
      </c>
      <c r="B528" t="s">
        <v>293</v>
      </c>
      <c r="C528" t="s">
        <v>594</v>
      </c>
      <c r="D528">
        <v>2013</v>
      </c>
      <c r="E528" t="s">
        <v>573</v>
      </c>
      <c r="F528" s="6">
        <v>5.2581095542473116E-3</v>
      </c>
      <c r="G528" s="6">
        <v>5.7263365612913236E-3</v>
      </c>
      <c r="H528" s="6">
        <v>4.682270070440126E-4</v>
      </c>
      <c r="I528" s="6"/>
      <c r="J528" s="6"/>
    </row>
    <row r="529" spans="1:10" x14ac:dyDescent="0.3">
      <c r="A529" t="s">
        <v>301</v>
      </c>
      <c r="B529" t="s">
        <v>293</v>
      </c>
      <c r="C529" t="s">
        <v>594</v>
      </c>
      <c r="D529">
        <v>2014</v>
      </c>
      <c r="E529" t="s">
        <v>573</v>
      </c>
      <c r="F529" s="6">
        <v>0.22245732363719969</v>
      </c>
      <c r="G529" s="6">
        <v>0.22364219436502919</v>
      </c>
      <c r="H529" s="6">
        <v>1.1848707278294698E-3</v>
      </c>
      <c r="I529" s="6"/>
      <c r="J529" s="6"/>
    </row>
    <row r="530" spans="1:10" x14ac:dyDescent="0.3">
      <c r="A530" t="s">
        <v>301</v>
      </c>
      <c r="B530" t="s">
        <v>293</v>
      </c>
      <c r="C530" t="s">
        <v>594</v>
      </c>
      <c r="D530">
        <v>2015</v>
      </c>
      <c r="E530" t="s">
        <v>573</v>
      </c>
      <c r="F530" s="6">
        <v>0.18510749868194543</v>
      </c>
      <c r="G530" s="6">
        <v>0.18651313792601126</v>
      </c>
      <c r="H530" s="6">
        <v>1.4056392440658231E-3</v>
      </c>
      <c r="I530" s="6"/>
      <c r="J530" s="6"/>
    </row>
    <row r="531" spans="1:10" x14ac:dyDescent="0.3">
      <c r="A531" t="s">
        <v>301</v>
      </c>
      <c r="B531" t="s">
        <v>293</v>
      </c>
      <c r="C531" t="s">
        <v>594</v>
      </c>
      <c r="D531">
        <v>2016</v>
      </c>
      <c r="E531" t="s">
        <v>573</v>
      </c>
      <c r="F531" s="6">
        <v>0.12114059796586391</v>
      </c>
      <c r="G531" s="6">
        <v>0.12262629179331307</v>
      </c>
      <c r="H531" s="6">
        <v>1.4856938274491465E-3</v>
      </c>
      <c r="I531" s="6"/>
      <c r="J531" s="6"/>
    </row>
    <row r="532" spans="1:10" x14ac:dyDescent="0.3">
      <c r="A532" t="s">
        <v>301</v>
      </c>
      <c r="B532" t="s">
        <v>293</v>
      </c>
      <c r="C532" t="s">
        <v>594</v>
      </c>
      <c r="D532">
        <v>2017</v>
      </c>
      <c r="E532" t="s">
        <v>573</v>
      </c>
      <c r="F532" s="6">
        <v>0.12687692675789339</v>
      </c>
      <c r="G532" s="6">
        <v>0.12803992319041965</v>
      </c>
      <c r="H532" s="6">
        <v>1.1629964325262805E-3</v>
      </c>
      <c r="I532" s="6"/>
      <c r="J532" s="6"/>
    </row>
    <row r="533" spans="1:10" x14ac:dyDescent="0.3">
      <c r="A533" t="s">
        <v>301</v>
      </c>
      <c r="B533" t="s">
        <v>293</v>
      </c>
      <c r="C533" t="s">
        <v>594</v>
      </c>
      <c r="D533">
        <v>2018</v>
      </c>
      <c r="E533" t="s">
        <v>573</v>
      </c>
      <c r="F533" s="6">
        <v>0.11850341073460324</v>
      </c>
      <c r="G533" s="6">
        <v>0.1197022475397861</v>
      </c>
      <c r="H533" s="6">
        <v>1.1988890236253639E-3</v>
      </c>
      <c r="I533" s="6"/>
      <c r="J533" s="6"/>
    </row>
    <row r="534" spans="1:10" x14ac:dyDescent="0.3">
      <c r="A534" t="s">
        <v>301</v>
      </c>
      <c r="B534" t="s">
        <v>293</v>
      </c>
      <c r="C534" t="s">
        <v>594</v>
      </c>
      <c r="D534">
        <v>2019</v>
      </c>
      <c r="E534" t="s">
        <v>573</v>
      </c>
      <c r="F534" s="6">
        <v>0.10732810917281455</v>
      </c>
      <c r="G534" s="6">
        <v>0.10827668020127118</v>
      </c>
      <c r="H534" s="6">
        <v>9.4857102845663456E-4</v>
      </c>
      <c r="I534" s="6"/>
      <c r="J534" s="6"/>
    </row>
    <row r="535" spans="1:10" x14ac:dyDescent="0.3">
      <c r="A535" t="s">
        <v>301</v>
      </c>
      <c r="B535" t="s">
        <v>293</v>
      </c>
      <c r="C535" t="s">
        <v>594</v>
      </c>
      <c r="D535">
        <v>2020</v>
      </c>
      <c r="E535" t="s">
        <v>573</v>
      </c>
      <c r="F535" s="6">
        <v>0.1006682184159807</v>
      </c>
      <c r="G535" s="6">
        <v>0.10156300482403216</v>
      </c>
      <c r="H535" s="6">
        <v>8.9478640805146735E-4</v>
      </c>
      <c r="I535" s="6"/>
      <c r="J535" s="6"/>
    </row>
    <row r="536" spans="1:10" x14ac:dyDescent="0.3">
      <c r="A536" t="s">
        <v>301</v>
      </c>
      <c r="B536" t="s">
        <v>293</v>
      </c>
      <c r="C536" t="s">
        <v>594</v>
      </c>
      <c r="D536">
        <v>2021</v>
      </c>
      <c r="E536" t="s">
        <v>573</v>
      </c>
      <c r="F536" s="6">
        <v>9.8304486302777008E-2</v>
      </c>
      <c r="G536" s="6">
        <v>9.9149122755527883E-2</v>
      </c>
      <c r="H536" s="6">
        <v>8.4463645275089077E-4</v>
      </c>
      <c r="I536" s="6"/>
      <c r="J536" s="6"/>
    </row>
    <row r="537" spans="1:10" x14ac:dyDescent="0.3">
      <c r="A537" t="s">
        <v>301</v>
      </c>
      <c r="B537" t="s">
        <v>293</v>
      </c>
      <c r="C537" t="s">
        <v>594</v>
      </c>
      <c r="D537">
        <v>2022</v>
      </c>
      <c r="E537" t="s">
        <v>573</v>
      </c>
      <c r="F537" s="6">
        <v>9.1498727630306517E-2</v>
      </c>
      <c r="G537" s="6">
        <v>9.2363802114458937E-2</v>
      </c>
      <c r="H537" s="6">
        <v>8.6507448415242352E-4</v>
      </c>
      <c r="I537" s="6"/>
      <c r="J537" s="6"/>
    </row>
    <row r="538" spans="1:10" x14ac:dyDescent="0.3">
      <c r="A538" t="s">
        <v>301</v>
      </c>
      <c r="B538" t="s">
        <v>293</v>
      </c>
      <c r="C538" t="s">
        <v>594</v>
      </c>
      <c r="D538">
        <v>2023</v>
      </c>
      <c r="E538" t="s">
        <v>573</v>
      </c>
      <c r="F538" s="6">
        <v>9.1832198875406917E-2</v>
      </c>
      <c r="G538" s="6">
        <v>9.2828432694310167E-2</v>
      </c>
      <c r="H538" s="6">
        <v>9.9623381890324774E-4</v>
      </c>
      <c r="I538" s="6"/>
      <c r="J538" s="6"/>
    </row>
    <row r="539" spans="1:10" x14ac:dyDescent="0.3">
      <c r="A539" t="s">
        <v>301</v>
      </c>
      <c r="B539" t="s">
        <v>293</v>
      </c>
      <c r="C539" t="s">
        <v>594</v>
      </c>
      <c r="D539">
        <v>2024</v>
      </c>
      <c r="E539" t="s">
        <v>573</v>
      </c>
      <c r="F539" s="6">
        <v>8.9098902364261531E-2</v>
      </c>
      <c r="G539" s="6">
        <v>9.0230496041794395E-2</v>
      </c>
      <c r="H539" s="6">
        <v>1.1315936775328518E-3</v>
      </c>
      <c r="I539" s="6"/>
      <c r="J539" s="6"/>
    </row>
    <row r="540" spans="1:10" x14ac:dyDescent="0.3">
      <c r="A540" t="s">
        <v>298</v>
      </c>
      <c r="B540" t="s">
        <v>293</v>
      </c>
      <c r="C540" t="s">
        <v>594</v>
      </c>
      <c r="D540">
        <v>2008</v>
      </c>
      <c r="E540" t="s">
        <v>573</v>
      </c>
      <c r="F540" s="6">
        <v>37.371021586178458</v>
      </c>
      <c r="G540" s="6">
        <v>61.417075092768698</v>
      </c>
      <c r="H540" s="6">
        <v>24.046053506590237</v>
      </c>
      <c r="I540" s="6"/>
      <c r="J540" s="6"/>
    </row>
    <row r="541" spans="1:10" x14ac:dyDescent="0.3">
      <c r="A541" t="s">
        <v>298</v>
      </c>
      <c r="B541" t="s">
        <v>293</v>
      </c>
      <c r="C541" t="s">
        <v>594</v>
      </c>
      <c r="D541">
        <v>2009</v>
      </c>
      <c r="E541" t="s">
        <v>573</v>
      </c>
      <c r="F541" s="6">
        <v>32.170258724432479</v>
      </c>
      <c r="G541" s="6">
        <v>75.079978060526102</v>
      </c>
      <c r="H541" s="6">
        <v>42.909719336093623</v>
      </c>
      <c r="I541" s="6"/>
      <c r="J541" s="6"/>
    </row>
    <row r="542" spans="1:10" x14ac:dyDescent="0.3">
      <c r="A542" t="s">
        <v>298</v>
      </c>
      <c r="B542" t="s">
        <v>293</v>
      </c>
      <c r="C542" t="s">
        <v>594</v>
      </c>
      <c r="D542">
        <v>2010</v>
      </c>
      <c r="E542" t="s">
        <v>573</v>
      </c>
      <c r="F542" s="6">
        <v>36.79830341691833</v>
      </c>
      <c r="G542" s="6">
        <v>86.968938956940718</v>
      </c>
      <c r="H542" s="6">
        <v>50.170635540022396</v>
      </c>
      <c r="I542" s="6"/>
      <c r="J542" s="6"/>
    </row>
    <row r="543" spans="1:10" x14ac:dyDescent="0.3">
      <c r="A543" t="s">
        <v>298</v>
      </c>
      <c r="B543" t="s">
        <v>293</v>
      </c>
      <c r="C543" t="s">
        <v>594</v>
      </c>
      <c r="D543">
        <v>2011</v>
      </c>
      <c r="E543" t="s">
        <v>573</v>
      </c>
      <c r="F543" s="6">
        <v>39.077695661188592</v>
      </c>
      <c r="G543" s="6">
        <v>91.483643521246648</v>
      </c>
      <c r="H543" s="6">
        <v>52.405947860058056</v>
      </c>
      <c r="I543" s="6"/>
      <c r="J543" s="6"/>
    </row>
    <row r="544" spans="1:10" x14ac:dyDescent="0.3">
      <c r="A544" t="s">
        <v>298</v>
      </c>
      <c r="B544" t="s">
        <v>293</v>
      </c>
      <c r="C544" t="s">
        <v>594</v>
      </c>
      <c r="D544">
        <v>2012</v>
      </c>
      <c r="E544" t="s">
        <v>573</v>
      </c>
      <c r="F544" s="6">
        <v>49.972061363064796</v>
      </c>
      <c r="G544" s="6">
        <v>102.43409506245284</v>
      </c>
      <c r="H544" s="6">
        <v>52.703462151060435</v>
      </c>
      <c r="I544" s="6"/>
      <c r="J544" s="6"/>
    </row>
    <row r="545" spans="1:10" x14ac:dyDescent="0.3">
      <c r="A545" t="s">
        <v>298</v>
      </c>
      <c r="B545" t="s">
        <v>293</v>
      </c>
      <c r="C545" t="s">
        <v>594</v>
      </c>
      <c r="D545">
        <v>2013</v>
      </c>
      <c r="E545" t="s">
        <v>573</v>
      </c>
      <c r="F545" s="6">
        <v>49.343531682280592</v>
      </c>
      <c r="G545" s="6">
        <v>100.5361824028523</v>
      </c>
      <c r="H545" s="6">
        <v>51.192650720571727</v>
      </c>
      <c r="I545" s="6"/>
      <c r="J545" s="6"/>
    </row>
    <row r="546" spans="1:10" x14ac:dyDescent="0.3">
      <c r="A546" t="s">
        <v>298</v>
      </c>
      <c r="B546" t="s">
        <v>293</v>
      </c>
      <c r="C546" t="s">
        <v>594</v>
      </c>
      <c r="D546">
        <v>2014</v>
      </c>
      <c r="E546" t="s">
        <v>573</v>
      </c>
      <c r="F546" s="6">
        <v>45.382001510114591</v>
      </c>
      <c r="G546" s="6">
        <v>92.84846340539211</v>
      </c>
      <c r="H546" s="6">
        <v>47.466461895277519</v>
      </c>
      <c r="I546" s="6"/>
      <c r="J546" s="6"/>
    </row>
    <row r="547" spans="1:10" x14ac:dyDescent="0.3">
      <c r="A547" t="s">
        <v>298</v>
      </c>
      <c r="B547" t="s">
        <v>293</v>
      </c>
      <c r="C547" t="s">
        <v>594</v>
      </c>
      <c r="D547">
        <v>2015</v>
      </c>
      <c r="E547" t="s">
        <v>573</v>
      </c>
      <c r="F547" s="6">
        <v>46.910439488328741</v>
      </c>
      <c r="G547" s="6">
        <v>94.212980481066239</v>
      </c>
      <c r="H547" s="6">
        <v>47.302540992737505</v>
      </c>
      <c r="I547" s="6"/>
      <c r="J547" s="6"/>
    </row>
    <row r="548" spans="1:10" x14ac:dyDescent="0.3">
      <c r="A548" t="s">
        <v>298</v>
      </c>
      <c r="B548" t="s">
        <v>293</v>
      </c>
      <c r="C548" t="s">
        <v>594</v>
      </c>
      <c r="D548">
        <v>2016</v>
      </c>
      <c r="E548" t="s">
        <v>573</v>
      </c>
      <c r="F548" s="6">
        <v>32.124368716389995</v>
      </c>
      <c r="G548" s="6">
        <v>65.644318447509932</v>
      </c>
      <c r="H548" s="6">
        <v>33.519949731119944</v>
      </c>
      <c r="I548" s="6"/>
      <c r="J548" s="6"/>
    </row>
    <row r="549" spans="1:10" x14ac:dyDescent="0.3">
      <c r="A549" t="s">
        <v>298</v>
      </c>
      <c r="B549" t="s">
        <v>293</v>
      </c>
      <c r="C549" t="s">
        <v>594</v>
      </c>
      <c r="D549">
        <v>2017</v>
      </c>
      <c r="E549" t="s">
        <v>573</v>
      </c>
      <c r="F549" s="6">
        <v>36.270962359011172</v>
      </c>
      <c r="G549" s="6">
        <v>74.622801770546715</v>
      </c>
      <c r="H549" s="6">
        <v>38.351839411535551</v>
      </c>
      <c r="I549" s="6"/>
      <c r="J549" s="6"/>
    </row>
    <row r="550" spans="1:10" x14ac:dyDescent="0.3">
      <c r="A550" t="s">
        <v>298</v>
      </c>
      <c r="B550" t="s">
        <v>293</v>
      </c>
      <c r="C550" t="s">
        <v>594</v>
      </c>
      <c r="D550">
        <v>2018</v>
      </c>
      <c r="E550" t="s">
        <v>573</v>
      </c>
      <c r="F550" s="6">
        <v>37.577769216531898</v>
      </c>
      <c r="G550" s="6">
        <v>74.686660334697009</v>
      </c>
      <c r="H550" s="6">
        <v>37.108891118165111</v>
      </c>
      <c r="I550" s="6"/>
      <c r="J550" s="6"/>
    </row>
    <row r="551" spans="1:10" x14ac:dyDescent="0.3">
      <c r="A551" t="s">
        <v>298</v>
      </c>
      <c r="B551" t="s">
        <v>293</v>
      </c>
      <c r="C551" t="s">
        <v>594</v>
      </c>
      <c r="D551">
        <v>2019</v>
      </c>
      <c r="E551" t="s">
        <v>573</v>
      </c>
      <c r="F551" s="6">
        <v>37.473688253320141</v>
      </c>
      <c r="G551" s="6">
        <v>69.019454872705822</v>
      </c>
      <c r="H551" s="6">
        <v>31.545766619385688</v>
      </c>
      <c r="I551" s="6"/>
      <c r="J551" s="6"/>
    </row>
    <row r="552" spans="1:10" x14ac:dyDescent="0.3">
      <c r="A552" t="s">
        <v>298</v>
      </c>
      <c r="B552" t="s">
        <v>293</v>
      </c>
      <c r="C552" t="s">
        <v>594</v>
      </c>
      <c r="D552">
        <v>2020</v>
      </c>
      <c r="E552" t="s">
        <v>573</v>
      </c>
      <c r="F552" s="6">
        <v>36.690870372025117</v>
      </c>
      <c r="G552" s="6">
        <v>66.551946672904648</v>
      </c>
      <c r="H552" s="6">
        <v>29.861078722460867</v>
      </c>
      <c r="I552" s="6"/>
      <c r="J552" s="6"/>
    </row>
    <row r="553" spans="1:10" x14ac:dyDescent="0.3">
      <c r="A553" t="s">
        <v>298</v>
      </c>
      <c r="B553" t="s">
        <v>293</v>
      </c>
      <c r="C553" t="s">
        <v>594</v>
      </c>
      <c r="D553">
        <v>2021</v>
      </c>
      <c r="E553" t="s">
        <v>573</v>
      </c>
      <c r="F553" s="6">
        <v>40.321177720514434</v>
      </c>
      <c r="G553" s="6">
        <v>71.165119186677856</v>
      </c>
      <c r="H553" s="6">
        <v>30.843941466163425</v>
      </c>
      <c r="I553" s="6"/>
      <c r="J553" s="6"/>
    </row>
    <row r="554" spans="1:10" x14ac:dyDescent="0.3">
      <c r="A554" t="s">
        <v>298</v>
      </c>
      <c r="B554" t="s">
        <v>293</v>
      </c>
      <c r="C554" t="s">
        <v>594</v>
      </c>
      <c r="D554">
        <v>2022</v>
      </c>
      <c r="E554" t="s">
        <v>573</v>
      </c>
      <c r="F554" s="6">
        <v>43.013749415970359</v>
      </c>
      <c r="G554" s="6">
        <v>73.085478035052645</v>
      </c>
      <c r="H554" s="6">
        <v>30.071728619082286</v>
      </c>
      <c r="I554" s="6"/>
      <c r="J554" s="6"/>
    </row>
    <row r="555" spans="1:10" x14ac:dyDescent="0.3">
      <c r="A555" t="s">
        <v>298</v>
      </c>
      <c r="B555" t="s">
        <v>293</v>
      </c>
      <c r="C555" t="s">
        <v>594</v>
      </c>
      <c r="D555">
        <v>2023</v>
      </c>
      <c r="E555" t="s">
        <v>573</v>
      </c>
      <c r="F555" s="6">
        <v>47.657167910734053</v>
      </c>
      <c r="G555" s="6">
        <v>80.946004187081428</v>
      </c>
      <c r="H555" s="6">
        <v>33.288836276347368</v>
      </c>
      <c r="I555" s="6"/>
      <c r="J555" s="6"/>
    </row>
    <row r="556" spans="1:10" x14ac:dyDescent="0.3">
      <c r="A556" t="s">
        <v>298</v>
      </c>
      <c r="B556" t="s">
        <v>293</v>
      </c>
      <c r="C556" t="s">
        <v>594</v>
      </c>
      <c r="D556">
        <v>2024</v>
      </c>
      <c r="E556" t="s">
        <v>573</v>
      </c>
      <c r="F556" s="6">
        <v>54.574692006290483</v>
      </c>
      <c r="G556" s="6">
        <v>87.639536210251364</v>
      </c>
      <c r="H556" s="6">
        <v>33.064844203960874</v>
      </c>
      <c r="I556" s="6"/>
      <c r="J556" s="6"/>
    </row>
    <row r="557" spans="1:10" x14ac:dyDescent="0.3">
      <c r="A557" t="s">
        <v>304</v>
      </c>
      <c r="B557" t="s">
        <v>305</v>
      </c>
      <c r="C557" t="str">
        <f>VLOOKUP(B557,[1]country_codes!A:C,3,FALSE)</f>
        <v>KIR</v>
      </c>
      <c r="D557">
        <v>1956</v>
      </c>
      <c r="E557" t="s">
        <v>573</v>
      </c>
      <c r="F557" s="6"/>
      <c r="G557" s="6"/>
      <c r="H557" s="6"/>
      <c r="I557" s="6"/>
      <c r="J557" s="6"/>
    </row>
    <row r="558" spans="1:10" x14ac:dyDescent="0.3">
      <c r="A558" t="s">
        <v>304</v>
      </c>
      <c r="B558" t="s">
        <v>305</v>
      </c>
      <c r="C558" t="str">
        <f>VLOOKUP(B558,[1]country_codes!A:C,3,FALSE)</f>
        <v>KIR</v>
      </c>
      <c r="D558">
        <v>1957</v>
      </c>
      <c r="E558" t="s">
        <v>573</v>
      </c>
      <c r="F558" s="6"/>
      <c r="G558" s="6"/>
      <c r="H558" s="6"/>
      <c r="I558" s="6"/>
      <c r="J558" s="6"/>
    </row>
    <row r="559" spans="1:10" x14ac:dyDescent="0.3">
      <c r="A559" t="s">
        <v>304</v>
      </c>
      <c r="B559" t="s">
        <v>305</v>
      </c>
      <c r="C559" t="str">
        <f>VLOOKUP(B559,[1]country_codes!A:C,3,FALSE)</f>
        <v>KIR</v>
      </c>
      <c r="D559">
        <v>1958</v>
      </c>
      <c r="E559" t="s">
        <v>573</v>
      </c>
      <c r="F559" s="6"/>
      <c r="G559" s="6"/>
      <c r="H559" s="6"/>
      <c r="I559" s="6"/>
      <c r="J559" s="6"/>
    </row>
    <row r="560" spans="1:10" x14ac:dyDescent="0.3">
      <c r="A560" t="s">
        <v>304</v>
      </c>
      <c r="B560" t="s">
        <v>305</v>
      </c>
      <c r="C560" t="str">
        <f>VLOOKUP(B560,[1]country_codes!A:C,3,FALSE)</f>
        <v>KIR</v>
      </c>
      <c r="D560">
        <v>1959</v>
      </c>
      <c r="E560" t="s">
        <v>573</v>
      </c>
      <c r="F560" s="6"/>
      <c r="G560" s="6"/>
      <c r="H560" s="6"/>
      <c r="I560" s="6"/>
      <c r="J560" s="6"/>
    </row>
    <row r="561" spans="1:10" x14ac:dyDescent="0.3">
      <c r="A561" t="s">
        <v>304</v>
      </c>
      <c r="B561" t="s">
        <v>305</v>
      </c>
      <c r="C561" t="str">
        <f>VLOOKUP(B561,[1]country_codes!A:C,3,FALSE)</f>
        <v>KIR</v>
      </c>
      <c r="D561">
        <v>1960</v>
      </c>
      <c r="E561" t="s">
        <v>573</v>
      </c>
      <c r="F561" s="6"/>
      <c r="G561" s="6"/>
      <c r="H561" s="6"/>
      <c r="I561" s="6"/>
      <c r="J561" s="6"/>
    </row>
    <row r="562" spans="1:10" x14ac:dyDescent="0.3">
      <c r="A562" t="s">
        <v>304</v>
      </c>
      <c r="B562" t="s">
        <v>305</v>
      </c>
      <c r="C562" t="str">
        <f>VLOOKUP(B562,[1]country_codes!A:C,3,FALSE)</f>
        <v>KIR</v>
      </c>
      <c r="D562">
        <v>1961</v>
      </c>
      <c r="E562" t="s">
        <v>573</v>
      </c>
      <c r="F562" s="6"/>
      <c r="G562" s="6"/>
      <c r="H562" s="6"/>
      <c r="I562" s="6"/>
      <c r="J562" s="6"/>
    </row>
    <row r="563" spans="1:10" x14ac:dyDescent="0.3">
      <c r="A563" t="s">
        <v>304</v>
      </c>
      <c r="B563" t="s">
        <v>305</v>
      </c>
      <c r="C563" t="str">
        <f>VLOOKUP(B563,[1]country_codes!A:C,3,FALSE)</f>
        <v>KIR</v>
      </c>
      <c r="D563">
        <v>1962</v>
      </c>
      <c r="E563" t="s">
        <v>573</v>
      </c>
      <c r="F563" s="6"/>
      <c r="G563" s="6"/>
      <c r="H563" s="6"/>
      <c r="I563" s="6"/>
      <c r="J563" s="6"/>
    </row>
    <row r="564" spans="1:10" x14ac:dyDescent="0.3">
      <c r="A564" t="s">
        <v>304</v>
      </c>
      <c r="B564" t="s">
        <v>305</v>
      </c>
      <c r="C564" t="str">
        <f>VLOOKUP(B564,[1]country_codes!A:C,3,FALSE)</f>
        <v>KIR</v>
      </c>
      <c r="D564">
        <v>1963</v>
      </c>
      <c r="E564" t="s">
        <v>573</v>
      </c>
      <c r="F564" s="6"/>
      <c r="G564" s="6"/>
      <c r="H564" s="6"/>
      <c r="I564" s="6"/>
      <c r="J564" s="6"/>
    </row>
    <row r="565" spans="1:10" x14ac:dyDescent="0.3">
      <c r="A565" t="s">
        <v>304</v>
      </c>
      <c r="B565" t="s">
        <v>305</v>
      </c>
      <c r="C565" t="str">
        <f>VLOOKUP(B565,[1]country_codes!A:C,3,FALSE)</f>
        <v>KIR</v>
      </c>
      <c r="D565">
        <v>1964</v>
      </c>
      <c r="E565" t="s">
        <v>573</v>
      </c>
      <c r="F565" s="6"/>
      <c r="G565" s="6"/>
      <c r="H565" s="6"/>
      <c r="I565" s="6"/>
      <c r="J565" s="6"/>
    </row>
    <row r="566" spans="1:10" x14ac:dyDescent="0.3">
      <c r="A566" t="s">
        <v>304</v>
      </c>
      <c r="B566" t="s">
        <v>305</v>
      </c>
      <c r="C566" t="str">
        <f>VLOOKUP(B566,[1]country_codes!A:C,3,FALSE)</f>
        <v>KIR</v>
      </c>
      <c r="D566">
        <v>1965</v>
      </c>
      <c r="E566" t="s">
        <v>573</v>
      </c>
      <c r="F566" s="6"/>
      <c r="G566" s="6"/>
      <c r="H566" s="6"/>
      <c r="I566" s="6"/>
      <c r="J566" s="6"/>
    </row>
    <row r="567" spans="1:10" x14ac:dyDescent="0.3">
      <c r="A567" t="s">
        <v>304</v>
      </c>
      <c r="B567" t="s">
        <v>305</v>
      </c>
      <c r="C567" t="str">
        <f>VLOOKUP(B567,[1]country_codes!A:C,3,FALSE)</f>
        <v>KIR</v>
      </c>
      <c r="D567">
        <v>1966</v>
      </c>
      <c r="E567" t="s">
        <v>573</v>
      </c>
      <c r="F567" s="6"/>
      <c r="G567" s="6"/>
      <c r="H567" s="6"/>
      <c r="I567" s="6"/>
      <c r="J567" s="6"/>
    </row>
    <row r="568" spans="1:10" x14ac:dyDescent="0.3">
      <c r="A568" t="s">
        <v>304</v>
      </c>
      <c r="B568" t="s">
        <v>305</v>
      </c>
      <c r="C568" t="str">
        <f>VLOOKUP(B568,[1]country_codes!A:C,3,FALSE)</f>
        <v>KIR</v>
      </c>
      <c r="D568">
        <v>1967</v>
      </c>
      <c r="E568" t="s">
        <v>573</v>
      </c>
      <c r="F568" s="6"/>
      <c r="G568" s="6"/>
      <c r="H568" s="6"/>
      <c r="I568" s="6"/>
      <c r="J568" s="6"/>
    </row>
    <row r="569" spans="1:10" x14ac:dyDescent="0.3">
      <c r="A569" t="s">
        <v>304</v>
      </c>
      <c r="B569" t="s">
        <v>305</v>
      </c>
      <c r="C569" t="str">
        <f>VLOOKUP(B569,[1]country_codes!A:C,3,FALSE)</f>
        <v>KIR</v>
      </c>
      <c r="D569">
        <v>1968</v>
      </c>
      <c r="E569" t="s">
        <v>573</v>
      </c>
      <c r="F569" s="6"/>
      <c r="G569" s="6"/>
      <c r="H569" s="6"/>
      <c r="I569" s="6"/>
      <c r="J569" s="6"/>
    </row>
    <row r="570" spans="1:10" x14ac:dyDescent="0.3">
      <c r="A570" t="s">
        <v>304</v>
      </c>
      <c r="B570" t="s">
        <v>305</v>
      </c>
      <c r="C570" t="str">
        <f>VLOOKUP(B570,[1]country_codes!A:C,3,FALSE)</f>
        <v>KIR</v>
      </c>
      <c r="D570">
        <v>1969</v>
      </c>
      <c r="E570" t="s">
        <v>573</v>
      </c>
      <c r="F570" s="6"/>
      <c r="G570" s="6"/>
      <c r="H570" s="6"/>
      <c r="I570" s="6"/>
      <c r="J570" s="6"/>
    </row>
    <row r="571" spans="1:10" x14ac:dyDescent="0.3">
      <c r="A571" t="s">
        <v>304</v>
      </c>
      <c r="B571" t="s">
        <v>305</v>
      </c>
      <c r="C571" t="str">
        <f>VLOOKUP(B571,[1]country_codes!A:C,3,FALSE)</f>
        <v>KIR</v>
      </c>
      <c r="D571">
        <v>1970</v>
      </c>
      <c r="E571" t="s">
        <v>573</v>
      </c>
      <c r="F571" s="6"/>
      <c r="G571" s="6"/>
      <c r="H571" s="6"/>
      <c r="I571" s="6"/>
      <c r="J571" s="6"/>
    </row>
    <row r="572" spans="1:10" x14ac:dyDescent="0.3">
      <c r="A572" t="s">
        <v>304</v>
      </c>
      <c r="B572" t="s">
        <v>305</v>
      </c>
      <c r="C572" t="str">
        <f>VLOOKUP(B572,[1]country_codes!A:C,3,FALSE)</f>
        <v>KIR</v>
      </c>
      <c r="D572">
        <v>1971</v>
      </c>
      <c r="E572" t="s">
        <v>573</v>
      </c>
      <c r="F572" s="6"/>
      <c r="G572" s="6"/>
      <c r="H572" s="6"/>
      <c r="I572" s="6"/>
      <c r="J572" s="6"/>
    </row>
    <row r="573" spans="1:10" x14ac:dyDescent="0.3">
      <c r="A573" t="s">
        <v>304</v>
      </c>
      <c r="B573" t="s">
        <v>305</v>
      </c>
      <c r="C573" t="str">
        <f>VLOOKUP(B573,[1]country_codes!A:C,3,FALSE)</f>
        <v>KIR</v>
      </c>
      <c r="D573">
        <v>1972</v>
      </c>
      <c r="E573" t="s">
        <v>573</v>
      </c>
      <c r="F573" s="6"/>
      <c r="G573" s="6"/>
      <c r="H573" s="6"/>
      <c r="I573" s="6"/>
      <c r="J573" s="6"/>
    </row>
    <row r="574" spans="1:10" x14ac:dyDescent="0.3">
      <c r="A574" t="s">
        <v>304</v>
      </c>
      <c r="B574" t="s">
        <v>305</v>
      </c>
      <c r="C574" t="str">
        <f>VLOOKUP(B574,[1]country_codes!A:C,3,FALSE)</f>
        <v>KIR</v>
      </c>
      <c r="D574">
        <v>1973</v>
      </c>
      <c r="E574" t="s">
        <v>573</v>
      </c>
      <c r="F574" s="6"/>
      <c r="G574" s="6"/>
      <c r="H574" s="6"/>
      <c r="I574" s="6"/>
      <c r="J574" s="6"/>
    </row>
    <row r="575" spans="1:10" x14ac:dyDescent="0.3">
      <c r="A575" t="s">
        <v>304</v>
      </c>
      <c r="B575" t="s">
        <v>305</v>
      </c>
      <c r="C575" t="str">
        <f>VLOOKUP(B575,[1]country_codes!A:C,3,FALSE)</f>
        <v>KIR</v>
      </c>
      <c r="D575">
        <v>1974</v>
      </c>
      <c r="E575" t="s">
        <v>573</v>
      </c>
      <c r="F575" s="6"/>
      <c r="G575" s="6"/>
      <c r="H575" s="6"/>
      <c r="I575" s="6"/>
      <c r="J575" s="6"/>
    </row>
    <row r="576" spans="1:10" x14ac:dyDescent="0.3">
      <c r="A576" t="s">
        <v>304</v>
      </c>
      <c r="B576" t="s">
        <v>305</v>
      </c>
      <c r="C576" t="str">
        <f>VLOOKUP(B576,[1]country_codes!A:C,3,FALSE)</f>
        <v>KIR</v>
      </c>
      <c r="D576">
        <v>1975</v>
      </c>
      <c r="E576" t="s">
        <v>573</v>
      </c>
      <c r="F576" s="6"/>
      <c r="G576" s="6"/>
      <c r="H576" s="6"/>
      <c r="I576" s="6"/>
      <c r="J576" s="6"/>
    </row>
    <row r="577" spans="1:10" x14ac:dyDescent="0.3">
      <c r="A577" t="s">
        <v>304</v>
      </c>
      <c r="B577" t="s">
        <v>305</v>
      </c>
      <c r="C577" t="str">
        <f>VLOOKUP(B577,[1]country_codes!A:C,3,FALSE)</f>
        <v>KIR</v>
      </c>
      <c r="D577">
        <v>1976</v>
      </c>
      <c r="E577" t="s">
        <v>573</v>
      </c>
      <c r="F577" s="6"/>
      <c r="G577" s="6"/>
      <c r="H577" s="6"/>
      <c r="I577" s="6"/>
      <c r="J577" s="6"/>
    </row>
    <row r="578" spans="1:10" x14ac:dyDescent="0.3">
      <c r="A578" t="s">
        <v>304</v>
      </c>
      <c r="B578" t="s">
        <v>305</v>
      </c>
      <c r="C578" t="str">
        <f>VLOOKUP(B578,[1]country_codes!A:C,3,FALSE)</f>
        <v>KIR</v>
      </c>
      <c r="D578">
        <v>1977</v>
      </c>
      <c r="E578" t="s">
        <v>573</v>
      </c>
      <c r="F578" s="6"/>
      <c r="G578" s="6"/>
      <c r="H578" s="6"/>
      <c r="I578" s="6"/>
      <c r="J578" s="6"/>
    </row>
    <row r="579" spans="1:10" ht="16.2" customHeight="1" x14ac:dyDescent="0.3">
      <c r="A579" t="s">
        <v>304</v>
      </c>
      <c r="B579" t="s">
        <v>305</v>
      </c>
      <c r="C579" t="str">
        <f>VLOOKUP(B579,[1]country_codes!A:C,3,FALSE)</f>
        <v>KIR</v>
      </c>
      <c r="D579">
        <v>1978</v>
      </c>
      <c r="E579" t="s">
        <v>573</v>
      </c>
      <c r="I579" s="6">
        <v>7.1215403991006551E-2</v>
      </c>
    </row>
    <row r="580" spans="1:10" x14ac:dyDescent="0.3">
      <c r="A580" t="s">
        <v>304</v>
      </c>
      <c r="B580" t="s">
        <v>305</v>
      </c>
      <c r="C580" t="str">
        <f>VLOOKUP(B580,[1]country_codes!A:C,3,FALSE)</f>
        <v>KIR</v>
      </c>
      <c r="D580">
        <v>1979</v>
      </c>
      <c r="E580" t="s">
        <v>573</v>
      </c>
      <c r="I580" s="6">
        <v>7.6178050880526482E-2</v>
      </c>
    </row>
    <row r="581" spans="1:10" x14ac:dyDescent="0.3">
      <c r="A581" t="s">
        <v>304</v>
      </c>
      <c r="B581" t="s">
        <v>305</v>
      </c>
      <c r="C581" t="str">
        <f>VLOOKUP(B581,[1]country_codes!A:C,3,FALSE)</f>
        <v>KIR</v>
      </c>
      <c r="D581">
        <v>1980</v>
      </c>
      <c r="E581" t="s">
        <v>573</v>
      </c>
      <c r="I581" s="6">
        <v>8.0927368387133283E-2</v>
      </c>
    </row>
    <row r="582" spans="1:10" x14ac:dyDescent="0.3">
      <c r="A582" t="s">
        <v>304</v>
      </c>
      <c r="B582" t="s">
        <v>305</v>
      </c>
      <c r="C582" t="str">
        <f>VLOOKUP(B582,[1]country_codes!A:C,3,FALSE)</f>
        <v>KIR</v>
      </c>
      <c r="D582">
        <v>1981</v>
      </c>
      <c r="E582" t="s">
        <v>573</v>
      </c>
      <c r="I582" s="6">
        <v>7.5864045489468915E-2</v>
      </c>
    </row>
    <row r="583" spans="1:10" x14ac:dyDescent="0.3">
      <c r="A583" t="s">
        <v>304</v>
      </c>
      <c r="B583" t="s">
        <v>305</v>
      </c>
      <c r="C583" t="str">
        <f>VLOOKUP(B583,[1]country_codes!A:C,3,FALSE)</f>
        <v>KIR</v>
      </c>
      <c r="D583">
        <v>1982</v>
      </c>
      <c r="E583" t="s">
        <v>573</v>
      </c>
      <c r="I583" s="6">
        <v>8.2754914501803445E-2</v>
      </c>
    </row>
    <row r="584" spans="1:10" x14ac:dyDescent="0.3">
      <c r="A584" t="s">
        <v>304</v>
      </c>
      <c r="B584" t="s">
        <v>305</v>
      </c>
      <c r="C584" t="str">
        <f>VLOOKUP(B584,[1]country_codes!A:C,3,FALSE)</f>
        <v>KIR</v>
      </c>
      <c r="D584">
        <v>1983</v>
      </c>
      <c r="E584" t="s">
        <v>573</v>
      </c>
      <c r="I584" s="6">
        <v>7.8966500452696597E-2</v>
      </c>
    </row>
    <row r="585" spans="1:10" x14ac:dyDescent="0.3">
      <c r="A585" t="s">
        <v>304</v>
      </c>
      <c r="B585" t="s">
        <v>305</v>
      </c>
      <c r="C585" t="str">
        <f>VLOOKUP(B585,[1]country_codes!A:C,3,FALSE)</f>
        <v>KIR</v>
      </c>
      <c r="D585">
        <v>1984</v>
      </c>
      <c r="E585" t="s">
        <v>573</v>
      </c>
      <c r="I585" s="6">
        <v>8.5254061582123702E-2</v>
      </c>
    </row>
    <row r="586" spans="1:10" x14ac:dyDescent="0.3">
      <c r="A586" t="s">
        <v>304</v>
      </c>
      <c r="B586" t="s">
        <v>305</v>
      </c>
      <c r="C586" t="str">
        <f>VLOOKUP(B586,[1]country_codes!A:C,3,FALSE)</f>
        <v>KIR</v>
      </c>
      <c r="D586">
        <v>1985</v>
      </c>
      <c r="E586" t="s">
        <v>573</v>
      </c>
      <c r="I586" s="6">
        <v>9.6804899800613881E-2</v>
      </c>
    </row>
    <row r="587" spans="1:10" x14ac:dyDescent="0.3">
      <c r="A587" t="s">
        <v>304</v>
      </c>
      <c r="B587" t="s">
        <v>305</v>
      </c>
      <c r="C587" t="str">
        <f>VLOOKUP(B587,[1]country_codes!A:C,3,FALSE)</f>
        <v>KIR</v>
      </c>
      <c r="D587">
        <v>1986</v>
      </c>
      <c r="E587" t="s">
        <v>573</v>
      </c>
      <c r="I587" s="6">
        <v>0.11201222614831541</v>
      </c>
    </row>
    <row r="588" spans="1:10" x14ac:dyDescent="0.3">
      <c r="A588" t="s">
        <v>304</v>
      </c>
      <c r="B588" t="s">
        <v>305</v>
      </c>
      <c r="C588" t="str">
        <f>VLOOKUP(B588,[1]country_codes!A:C,3,FALSE)</f>
        <v>KIR</v>
      </c>
      <c r="D588">
        <v>1987</v>
      </c>
      <c r="E588" t="s">
        <v>573</v>
      </c>
      <c r="I588" s="6">
        <v>0.14528972398437173</v>
      </c>
    </row>
    <row r="589" spans="1:10" x14ac:dyDescent="0.3">
      <c r="A589" t="s">
        <v>304</v>
      </c>
      <c r="B589" t="s">
        <v>305</v>
      </c>
      <c r="C589" t="str">
        <f>VLOOKUP(B589,[1]country_codes!A:C,3,FALSE)</f>
        <v>KIR</v>
      </c>
      <c r="D589">
        <v>1988</v>
      </c>
      <c r="E589" t="s">
        <v>573</v>
      </c>
      <c r="I589" s="6">
        <v>0.13756995268409916</v>
      </c>
    </row>
    <row r="590" spans="1:10" x14ac:dyDescent="0.3">
      <c r="A590" t="s">
        <v>304</v>
      </c>
      <c r="B590" t="s">
        <v>305</v>
      </c>
      <c r="C590" t="str">
        <f>VLOOKUP(B590,[1]country_codes!A:C,3,FALSE)</f>
        <v>KIR</v>
      </c>
      <c r="D590">
        <v>1989</v>
      </c>
      <c r="E590" t="s">
        <v>573</v>
      </c>
      <c r="I590" s="6">
        <v>0.15847240820593436</v>
      </c>
    </row>
    <row r="591" spans="1:10" x14ac:dyDescent="0.3">
      <c r="A591" t="s">
        <v>304</v>
      </c>
      <c r="B591" t="s">
        <v>305</v>
      </c>
      <c r="C591" t="str">
        <f>VLOOKUP(B591,[1]country_codes!A:C,3,FALSE)</f>
        <v>KIR</v>
      </c>
      <c r="D591">
        <v>1990</v>
      </c>
      <c r="E591" t="s">
        <v>573</v>
      </c>
      <c r="I591" s="6">
        <v>0.17204834133063557</v>
      </c>
    </row>
    <row r="592" spans="1:10" x14ac:dyDescent="0.3">
      <c r="A592" t="s">
        <v>304</v>
      </c>
      <c r="B592" t="s">
        <v>305</v>
      </c>
      <c r="C592" t="str">
        <f>VLOOKUP(B592,[1]country_codes!A:C,3,FALSE)</f>
        <v>KIR</v>
      </c>
      <c r="D592">
        <v>1991</v>
      </c>
      <c r="E592" t="s">
        <v>573</v>
      </c>
      <c r="I592" s="6">
        <v>0.20505964295395698</v>
      </c>
    </row>
    <row r="593" spans="1:9" x14ac:dyDescent="0.3">
      <c r="A593" t="s">
        <v>304</v>
      </c>
      <c r="B593" t="s">
        <v>305</v>
      </c>
      <c r="C593" t="str">
        <f>VLOOKUP(B593,[1]country_codes!A:C,3,FALSE)</f>
        <v>KIR</v>
      </c>
      <c r="D593">
        <v>1992</v>
      </c>
      <c r="E593" t="s">
        <v>573</v>
      </c>
      <c r="I593" s="6">
        <v>0.21726660781641072</v>
      </c>
    </row>
    <row r="594" spans="1:9" x14ac:dyDescent="0.3">
      <c r="A594" t="s">
        <v>304</v>
      </c>
      <c r="B594" t="s">
        <v>305</v>
      </c>
      <c r="C594" t="str">
        <f>VLOOKUP(B594,[1]country_codes!A:C,3,FALSE)</f>
        <v>KIR</v>
      </c>
      <c r="D594">
        <v>1993</v>
      </c>
      <c r="E594" t="s">
        <v>573</v>
      </c>
      <c r="I594" s="6">
        <v>0.24030079357523662</v>
      </c>
    </row>
    <row r="595" spans="1:9" x14ac:dyDescent="0.3">
      <c r="A595" t="s">
        <v>304</v>
      </c>
      <c r="B595" t="s">
        <v>305</v>
      </c>
      <c r="C595" t="str">
        <f>VLOOKUP(B595,[1]country_codes!A:C,3,FALSE)</f>
        <v>KIR</v>
      </c>
      <c r="D595">
        <v>1994</v>
      </c>
      <c r="E595" t="s">
        <v>573</v>
      </c>
      <c r="I595" s="6">
        <v>0.23274895576753371</v>
      </c>
    </row>
    <row r="596" spans="1:9" x14ac:dyDescent="0.3">
      <c r="A596" t="s">
        <v>304</v>
      </c>
      <c r="B596" t="s">
        <v>305</v>
      </c>
      <c r="C596" t="str">
        <f>VLOOKUP(B596,[1]country_codes!A:C,3,FALSE)</f>
        <v>KIR</v>
      </c>
      <c r="D596">
        <v>1995</v>
      </c>
      <c r="E596" t="s">
        <v>573</v>
      </c>
      <c r="I596" s="6">
        <v>0.27267849192718047</v>
      </c>
    </row>
    <row r="597" spans="1:9" x14ac:dyDescent="0.3">
      <c r="A597" t="s">
        <v>304</v>
      </c>
      <c r="B597" t="s">
        <v>305</v>
      </c>
      <c r="C597" t="str">
        <f>VLOOKUP(B597,[1]country_codes!A:C,3,FALSE)</f>
        <v>KIR</v>
      </c>
      <c r="D597">
        <v>1996</v>
      </c>
      <c r="E597" t="s">
        <v>573</v>
      </c>
      <c r="I597" s="6">
        <v>0.29092968808080361</v>
      </c>
    </row>
    <row r="598" spans="1:9" x14ac:dyDescent="0.3">
      <c r="A598" t="s">
        <v>304</v>
      </c>
      <c r="B598" t="s">
        <v>305</v>
      </c>
      <c r="C598" t="str">
        <f>VLOOKUP(B598,[1]country_codes!A:C,3,FALSE)</f>
        <v>KIR</v>
      </c>
      <c r="D598">
        <v>1997</v>
      </c>
      <c r="E598" t="s">
        <v>573</v>
      </c>
      <c r="I598" s="6">
        <v>0.34056775445679766</v>
      </c>
    </row>
    <row r="599" spans="1:9" x14ac:dyDescent="0.3">
      <c r="A599" t="s">
        <v>304</v>
      </c>
      <c r="B599" t="s">
        <v>305</v>
      </c>
      <c r="C599" t="str">
        <f>VLOOKUP(B599,[1]country_codes!A:C,3,FALSE)</f>
        <v>KIR</v>
      </c>
      <c r="D599">
        <v>1998</v>
      </c>
      <c r="E599" t="s">
        <v>573</v>
      </c>
      <c r="I599" s="6">
        <v>0.35813823792520294</v>
      </c>
    </row>
    <row r="600" spans="1:9" x14ac:dyDescent="0.3">
      <c r="A600" t="s">
        <v>304</v>
      </c>
      <c r="B600" t="s">
        <v>305</v>
      </c>
      <c r="C600" t="str">
        <f>VLOOKUP(B600,[1]country_codes!A:C,3,FALSE)</f>
        <v>KIR</v>
      </c>
      <c r="D600">
        <v>1999</v>
      </c>
      <c r="E600" t="s">
        <v>573</v>
      </c>
      <c r="I600" s="6">
        <v>0.38809639988386724</v>
      </c>
    </row>
    <row r="601" spans="1:9" x14ac:dyDescent="0.3">
      <c r="A601" t="s">
        <v>304</v>
      </c>
      <c r="B601" t="s">
        <v>305</v>
      </c>
      <c r="C601" t="str">
        <f>VLOOKUP(B601,[1]country_codes!A:C,3,FALSE)</f>
        <v>KIR</v>
      </c>
      <c r="D601">
        <v>2000</v>
      </c>
      <c r="E601" t="s">
        <v>573</v>
      </c>
      <c r="I601" s="6">
        <v>0.38148926993837645</v>
      </c>
    </row>
    <row r="602" spans="1:9" x14ac:dyDescent="0.3">
      <c r="A602" t="s">
        <v>304</v>
      </c>
      <c r="B602" t="s">
        <v>305</v>
      </c>
      <c r="C602" t="str">
        <f>VLOOKUP(B602,[1]country_codes!A:C,3,FALSE)</f>
        <v>KIR</v>
      </c>
      <c r="D602">
        <v>2001</v>
      </c>
      <c r="E602" t="s">
        <v>573</v>
      </c>
      <c r="I602" s="6">
        <v>0.32888864212114971</v>
      </c>
    </row>
    <row r="603" spans="1:9" x14ac:dyDescent="0.3">
      <c r="A603" t="s">
        <v>304</v>
      </c>
      <c r="B603" t="s">
        <v>305</v>
      </c>
      <c r="C603" t="str">
        <f>VLOOKUP(B603,[1]country_codes!A:C,3,FALSE)</f>
        <v>KIR</v>
      </c>
      <c r="D603">
        <v>2002</v>
      </c>
      <c r="E603" t="s">
        <v>573</v>
      </c>
      <c r="I603" s="6">
        <v>0.31294081318640721</v>
      </c>
    </row>
    <row r="604" spans="1:9" x14ac:dyDescent="0.3">
      <c r="A604" t="s">
        <v>304</v>
      </c>
      <c r="B604" t="s">
        <v>305</v>
      </c>
      <c r="C604" t="str">
        <f>VLOOKUP(B604,[1]country_codes!A:C,3,FALSE)</f>
        <v>KIR</v>
      </c>
      <c r="D604">
        <v>2003</v>
      </c>
      <c r="E604" t="s">
        <v>573</v>
      </c>
      <c r="I604" s="6">
        <v>0.36485638433790729</v>
      </c>
    </row>
    <row r="605" spans="1:9" x14ac:dyDescent="0.3">
      <c r="A605" t="s">
        <v>304</v>
      </c>
      <c r="B605" t="s">
        <v>305</v>
      </c>
      <c r="C605" t="str">
        <f>VLOOKUP(B605,[1]country_codes!A:C,3,FALSE)</f>
        <v>KIR</v>
      </c>
      <c r="D605">
        <v>2004</v>
      </c>
      <c r="E605" t="s">
        <v>573</v>
      </c>
      <c r="I605" s="6">
        <v>0.4332214887556784</v>
      </c>
    </row>
    <row r="606" spans="1:9" x14ac:dyDescent="0.3">
      <c r="A606" t="s">
        <v>304</v>
      </c>
      <c r="B606" t="s">
        <v>305</v>
      </c>
      <c r="C606" t="str">
        <f>VLOOKUP(B606,[1]country_codes!A:C,3,FALSE)</f>
        <v>KIR</v>
      </c>
      <c r="D606">
        <v>2005</v>
      </c>
      <c r="E606" t="s">
        <v>573</v>
      </c>
      <c r="I606" s="6">
        <v>0.49395209599587003</v>
      </c>
    </row>
    <row r="607" spans="1:9" x14ac:dyDescent="0.3">
      <c r="A607" t="s">
        <v>304</v>
      </c>
      <c r="B607" t="s">
        <v>305</v>
      </c>
      <c r="C607" t="str">
        <f>VLOOKUP(B607,[1]country_codes!A:C,3,FALSE)</f>
        <v>KIR</v>
      </c>
      <c r="D607">
        <v>2006</v>
      </c>
      <c r="E607" t="s">
        <v>573</v>
      </c>
      <c r="I607" s="6">
        <v>0.49668546122549179</v>
      </c>
    </row>
    <row r="608" spans="1:9" x14ac:dyDescent="0.3">
      <c r="A608" t="s">
        <v>304</v>
      </c>
      <c r="B608" t="s">
        <v>305</v>
      </c>
      <c r="C608" t="str">
        <f>VLOOKUP(B608,[1]country_codes!A:C,3,FALSE)</f>
        <v>KIR</v>
      </c>
      <c r="D608">
        <v>2007</v>
      </c>
      <c r="E608" t="s">
        <v>573</v>
      </c>
      <c r="I608" s="6">
        <v>0.53330265431484092</v>
      </c>
    </row>
    <row r="609" spans="1:9" x14ac:dyDescent="0.3">
      <c r="A609" t="s">
        <v>304</v>
      </c>
      <c r="B609" t="s">
        <v>305</v>
      </c>
      <c r="C609" t="str">
        <f>VLOOKUP(B609,[1]country_codes!A:C,3,FALSE)</f>
        <v>KIR</v>
      </c>
      <c r="D609">
        <v>2008</v>
      </c>
      <c r="E609" t="s">
        <v>573</v>
      </c>
      <c r="I609" s="6">
        <v>0.47107151868261282</v>
      </c>
    </row>
    <row r="610" spans="1:9" x14ac:dyDescent="0.3">
      <c r="A610" t="s">
        <v>304</v>
      </c>
      <c r="B610" t="s">
        <v>305</v>
      </c>
      <c r="C610" t="str">
        <f>VLOOKUP(B610,[1]country_codes!A:C,3,FALSE)</f>
        <v>KIR</v>
      </c>
      <c r="D610">
        <v>2009</v>
      </c>
      <c r="E610" t="s">
        <v>573</v>
      </c>
      <c r="I610" s="6">
        <v>0.44526468952705095</v>
      </c>
    </row>
    <row r="611" spans="1:9" x14ac:dyDescent="0.3">
      <c r="A611" t="s">
        <v>304</v>
      </c>
      <c r="B611" t="s">
        <v>305</v>
      </c>
      <c r="C611" t="str">
        <f>VLOOKUP(B611,[1]country_codes!A:C,3,FALSE)</f>
        <v>KIR</v>
      </c>
      <c r="D611">
        <v>2010</v>
      </c>
      <c r="E611" t="s">
        <v>573</v>
      </c>
      <c r="I611" s="6">
        <v>0.53287272510457184</v>
      </c>
    </row>
    <row r="612" spans="1:9" x14ac:dyDescent="0.3">
      <c r="A612" t="s">
        <v>304</v>
      </c>
      <c r="B612" t="s">
        <v>305</v>
      </c>
      <c r="C612" t="str">
        <f>VLOOKUP(B612,[1]country_codes!A:C,3,FALSE)</f>
        <v>KIR</v>
      </c>
      <c r="D612">
        <v>2011</v>
      </c>
      <c r="E612" t="s">
        <v>573</v>
      </c>
      <c r="I612" s="6">
        <v>0.59717491597411843</v>
      </c>
    </row>
    <row r="613" spans="1:9" x14ac:dyDescent="0.3">
      <c r="A613" t="s">
        <v>304</v>
      </c>
      <c r="B613" t="s">
        <v>305</v>
      </c>
      <c r="C613" t="str">
        <f>VLOOKUP(B613,[1]country_codes!A:C,3,FALSE)</f>
        <v>KIR</v>
      </c>
      <c r="D613">
        <v>2012</v>
      </c>
      <c r="E613" t="s">
        <v>573</v>
      </c>
      <c r="I613" s="6">
        <v>0.63561263701190651</v>
      </c>
    </row>
    <row r="614" spans="1:9" x14ac:dyDescent="0.3">
      <c r="A614" t="s">
        <v>304</v>
      </c>
      <c r="B614" t="s">
        <v>305</v>
      </c>
      <c r="C614" t="str">
        <f>VLOOKUP(B614,[1]country_codes!A:C,3,FALSE)</f>
        <v>KIR</v>
      </c>
      <c r="D614">
        <v>2013</v>
      </c>
      <c r="E614" t="s">
        <v>573</v>
      </c>
      <c r="I614" s="6">
        <v>0.63804658910665024</v>
      </c>
    </row>
    <row r="615" spans="1:9" x14ac:dyDescent="0.3">
      <c r="A615" t="s">
        <v>304</v>
      </c>
      <c r="B615" t="s">
        <v>305</v>
      </c>
      <c r="C615" t="str">
        <f>VLOOKUP(B615,[1]country_codes!A:C,3,FALSE)</f>
        <v>KIR</v>
      </c>
      <c r="D615">
        <v>2014</v>
      </c>
      <c r="E615" t="s">
        <v>573</v>
      </c>
      <c r="I615" s="6">
        <v>0.61203688332854067</v>
      </c>
    </row>
    <row r="616" spans="1:9" x14ac:dyDescent="0.3">
      <c r="A616" t="s">
        <v>304</v>
      </c>
      <c r="B616" t="s">
        <v>305</v>
      </c>
      <c r="C616" t="str">
        <f>VLOOKUP(B616,[1]country_codes!A:C,3,FALSE)</f>
        <v>KIR</v>
      </c>
      <c r="D616">
        <v>2015</v>
      </c>
      <c r="E616" t="s">
        <v>573</v>
      </c>
      <c r="I616" s="6">
        <v>0.56815031440398467</v>
      </c>
    </row>
    <row r="617" spans="1:9" x14ac:dyDescent="0.3">
      <c r="A617" t="s">
        <v>304</v>
      </c>
      <c r="B617" t="s">
        <v>305</v>
      </c>
      <c r="C617" t="str">
        <f>VLOOKUP(B617,[1]country_codes!A:C,3,FALSE)</f>
        <v>KIR</v>
      </c>
      <c r="D617">
        <v>2016</v>
      </c>
      <c r="E617" t="s">
        <v>573</v>
      </c>
      <c r="I617" s="6">
        <v>0.64532163562823464</v>
      </c>
    </row>
    <row r="618" spans="1:9" x14ac:dyDescent="0.3">
      <c r="A618" t="s">
        <v>304</v>
      </c>
      <c r="B618" t="s">
        <v>305</v>
      </c>
      <c r="C618" t="str">
        <f>VLOOKUP(B618,[1]country_codes!A:C,3,FALSE)</f>
        <v>KIR</v>
      </c>
      <c r="D618">
        <v>2017</v>
      </c>
      <c r="E618" t="s">
        <v>573</v>
      </c>
      <c r="I618" s="6">
        <v>0.72247716288384511</v>
      </c>
    </row>
    <row r="619" spans="1:9" x14ac:dyDescent="0.3">
      <c r="A619" t="s">
        <v>304</v>
      </c>
      <c r="B619" t="s">
        <v>305</v>
      </c>
      <c r="C619" t="str">
        <f>VLOOKUP(B619,[1]country_codes!A:C,3,FALSE)</f>
        <v>KIR</v>
      </c>
      <c r="D619">
        <v>2018</v>
      </c>
      <c r="E619" t="s">
        <v>573</v>
      </c>
      <c r="I619" s="6">
        <v>0.72713579716111332</v>
      </c>
    </row>
    <row r="620" spans="1:9" x14ac:dyDescent="0.3">
      <c r="A620" t="s">
        <v>304</v>
      </c>
      <c r="B620" t="s">
        <v>305</v>
      </c>
      <c r="C620" t="str">
        <f>VLOOKUP(B620,[1]country_codes!A:C,3,FALSE)</f>
        <v>KIR</v>
      </c>
      <c r="D620">
        <v>2019</v>
      </c>
      <c r="E620" t="s">
        <v>573</v>
      </c>
      <c r="I620" s="6">
        <v>0.80179562243353697</v>
      </c>
    </row>
    <row r="621" spans="1:9" x14ac:dyDescent="0.3">
      <c r="A621" t="s">
        <v>304</v>
      </c>
      <c r="B621" t="s">
        <v>305</v>
      </c>
      <c r="C621" t="str">
        <f>VLOOKUP(B621,[1]country_codes!A:C,3,FALSE)</f>
        <v>KIR</v>
      </c>
      <c r="D621">
        <v>2020</v>
      </c>
      <c r="E621" t="s">
        <v>573</v>
      </c>
      <c r="I621" s="6">
        <v>0.80686035354435559</v>
      </c>
    </row>
    <row r="622" spans="1:9" x14ac:dyDescent="0.3">
      <c r="A622" t="s">
        <v>304</v>
      </c>
      <c r="B622" t="s">
        <v>305</v>
      </c>
      <c r="C622" t="str">
        <f>VLOOKUP(B622,[1]country_codes!A:C,3,FALSE)</f>
        <v>KIR</v>
      </c>
      <c r="D622">
        <v>2021</v>
      </c>
      <c r="E622" t="s">
        <v>573</v>
      </c>
      <c r="I622" s="6">
        <v>1.0161149538920573</v>
      </c>
    </row>
    <row r="623" spans="1:9" x14ac:dyDescent="0.3">
      <c r="A623" t="s">
        <v>304</v>
      </c>
      <c r="B623" t="s">
        <v>305</v>
      </c>
      <c r="C623" t="str">
        <f>VLOOKUP(B623,[1]country_codes!A:C,3,FALSE)</f>
        <v>KIR</v>
      </c>
      <c r="D623">
        <v>2022</v>
      </c>
      <c r="E623" t="s">
        <v>573</v>
      </c>
      <c r="I623" s="6">
        <v>0.82796211566634104</v>
      </c>
    </row>
    <row r="624" spans="1:9" x14ac:dyDescent="0.3">
      <c r="A624" t="s">
        <v>304</v>
      </c>
      <c r="B624" t="s">
        <v>305</v>
      </c>
      <c r="C624" t="str">
        <f>VLOOKUP(B624,[1]country_codes!A:C,3,FALSE)</f>
        <v>KIR</v>
      </c>
      <c r="D624">
        <v>2023</v>
      </c>
      <c r="E624" t="s">
        <v>573</v>
      </c>
      <c r="I624" s="6">
        <v>0.92274559419369373</v>
      </c>
    </row>
    <row r="625" spans="1:10" x14ac:dyDescent="0.3">
      <c r="A625" t="s">
        <v>304</v>
      </c>
      <c r="B625" t="s">
        <v>305</v>
      </c>
      <c r="C625" t="str">
        <f>VLOOKUP(B625,[1]country_codes!A:C,3,FALSE)</f>
        <v>KIR</v>
      </c>
      <c r="D625">
        <v>2024</v>
      </c>
      <c r="E625" t="s">
        <v>573</v>
      </c>
      <c r="I625" s="6">
        <v>1.0559847864926968</v>
      </c>
    </row>
    <row r="626" spans="1:10" x14ac:dyDescent="0.3">
      <c r="A626" t="s">
        <v>478</v>
      </c>
      <c r="B626" t="s">
        <v>479</v>
      </c>
      <c r="C626" t="s">
        <v>595</v>
      </c>
      <c r="D626">
        <v>2005</v>
      </c>
      <c r="E626" t="s">
        <v>573</v>
      </c>
      <c r="I626" s="6"/>
    </row>
    <row r="627" spans="1:10" x14ac:dyDescent="0.3">
      <c r="A627" t="s">
        <v>478</v>
      </c>
      <c r="B627" t="s">
        <v>479</v>
      </c>
      <c r="C627" t="s">
        <v>595</v>
      </c>
      <c r="D627">
        <v>2006</v>
      </c>
      <c r="E627" t="s">
        <v>573</v>
      </c>
      <c r="I627" s="6"/>
      <c r="J627">
        <v>1.1000000000000001</v>
      </c>
    </row>
    <row r="628" spans="1:10" x14ac:dyDescent="0.3">
      <c r="A628" t="s">
        <v>478</v>
      </c>
      <c r="B628" t="s">
        <v>479</v>
      </c>
      <c r="C628" t="s">
        <v>595</v>
      </c>
      <c r="D628">
        <v>2007</v>
      </c>
      <c r="E628" t="s">
        <v>573</v>
      </c>
      <c r="J628">
        <v>15.5</v>
      </c>
    </row>
    <row r="629" spans="1:10" x14ac:dyDescent="0.3">
      <c r="A629" t="s">
        <v>478</v>
      </c>
      <c r="B629" t="s">
        <v>479</v>
      </c>
      <c r="C629" t="s">
        <v>595</v>
      </c>
      <c r="D629">
        <v>2008</v>
      </c>
      <c r="E629" t="s">
        <v>573</v>
      </c>
      <c r="J629">
        <v>21.6</v>
      </c>
    </row>
    <row r="630" spans="1:10" x14ac:dyDescent="0.3">
      <c r="A630" t="s">
        <v>478</v>
      </c>
      <c r="B630" t="s">
        <v>479</v>
      </c>
      <c r="C630" t="s">
        <v>595</v>
      </c>
      <c r="D630">
        <v>2009</v>
      </c>
      <c r="E630" t="s">
        <v>573</v>
      </c>
      <c r="J630">
        <v>29.6</v>
      </c>
    </row>
    <row r="631" spans="1:10" x14ac:dyDescent="0.3">
      <c r="A631" t="s">
        <v>478</v>
      </c>
      <c r="B631" t="s">
        <v>479</v>
      </c>
      <c r="C631" t="s">
        <v>595</v>
      </c>
      <c r="D631">
        <v>2010</v>
      </c>
      <c r="E631" t="s">
        <v>573</v>
      </c>
      <c r="J631">
        <v>36.173000000000002</v>
      </c>
    </row>
    <row r="632" spans="1:10" x14ac:dyDescent="0.3">
      <c r="A632" t="s">
        <v>478</v>
      </c>
      <c r="B632" t="s">
        <v>479</v>
      </c>
      <c r="C632" t="s">
        <v>595</v>
      </c>
      <c r="D632">
        <v>2011</v>
      </c>
      <c r="E632" t="s">
        <v>573</v>
      </c>
      <c r="J632">
        <v>42.9</v>
      </c>
    </row>
    <row r="633" spans="1:10" x14ac:dyDescent="0.3">
      <c r="A633" t="s">
        <v>478</v>
      </c>
      <c r="B633" t="s">
        <v>479</v>
      </c>
      <c r="C633" t="s">
        <v>595</v>
      </c>
      <c r="D633">
        <v>2012</v>
      </c>
      <c r="E633" t="s">
        <v>573</v>
      </c>
      <c r="J633">
        <v>56.6</v>
      </c>
    </row>
    <row r="634" spans="1:10" x14ac:dyDescent="0.3">
      <c r="A634" t="s">
        <v>478</v>
      </c>
      <c r="B634" t="s">
        <v>479</v>
      </c>
      <c r="C634" t="s">
        <v>595</v>
      </c>
      <c r="D634">
        <v>2013</v>
      </c>
      <c r="E634" t="s">
        <v>573</v>
      </c>
      <c r="J634">
        <v>72</v>
      </c>
    </row>
    <row r="635" spans="1:10" x14ac:dyDescent="0.3">
      <c r="A635" t="s">
        <v>478</v>
      </c>
      <c r="B635" t="s">
        <v>479</v>
      </c>
      <c r="C635" t="s">
        <v>595</v>
      </c>
      <c r="D635">
        <v>2014</v>
      </c>
      <c r="E635" t="s">
        <v>573</v>
      </c>
      <c r="J635">
        <v>84.7</v>
      </c>
    </row>
    <row r="636" spans="1:10" x14ac:dyDescent="0.3">
      <c r="A636" t="s">
        <v>478</v>
      </c>
      <c r="B636" t="s">
        <v>479</v>
      </c>
      <c r="C636" t="s">
        <v>595</v>
      </c>
      <c r="D636">
        <v>2015</v>
      </c>
      <c r="E636" t="s">
        <v>573</v>
      </c>
      <c r="J636">
        <v>91.8</v>
      </c>
    </row>
    <row r="637" spans="1:10" x14ac:dyDescent="0.3">
      <c r="A637" t="s">
        <v>478</v>
      </c>
      <c r="B637" t="s">
        <v>479</v>
      </c>
      <c r="C637" t="s">
        <v>595</v>
      </c>
      <c r="D637">
        <v>2016</v>
      </c>
      <c r="E637" t="s">
        <v>573</v>
      </c>
      <c r="J637">
        <v>110.8</v>
      </c>
    </row>
    <row r="638" spans="1:10" x14ac:dyDescent="0.3">
      <c r="A638" t="s">
        <v>478</v>
      </c>
      <c r="B638" t="s">
        <v>479</v>
      </c>
      <c r="C638" t="s">
        <v>595</v>
      </c>
      <c r="D638">
        <v>2017</v>
      </c>
      <c r="E638" t="s">
        <v>573</v>
      </c>
      <c r="J638">
        <v>134.1</v>
      </c>
    </row>
    <row r="639" spans="1:10" x14ac:dyDescent="0.3">
      <c r="A639" t="s">
        <v>478</v>
      </c>
      <c r="B639" t="s">
        <v>479</v>
      </c>
      <c r="C639" t="s">
        <v>595</v>
      </c>
      <c r="D639">
        <v>2018</v>
      </c>
      <c r="E639" t="s">
        <v>573</v>
      </c>
      <c r="J639">
        <v>131.6</v>
      </c>
    </row>
    <row r="640" spans="1:10" x14ac:dyDescent="0.3">
      <c r="A640" t="s">
        <v>478</v>
      </c>
      <c r="B640" t="s">
        <v>479</v>
      </c>
      <c r="C640" t="s">
        <v>595</v>
      </c>
      <c r="D640">
        <v>2019</v>
      </c>
      <c r="E640" t="s">
        <v>573</v>
      </c>
      <c r="J640">
        <v>157.30000000000001</v>
      </c>
    </row>
    <row r="641" spans="1:10" x14ac:dyDescent="0.3">
      <c r="A641" t="s">
        <v>478</v>
      </c>
      <c r="B641" t="s">
        <v>479</v>
      </c>
      <c r="C641" t="s">
        <v>595</v>
      </c>
      <c r="D641">
        <v>2020</v>
      </c>
      <c r="E641" t="s">
        <v>573</v>
      </c>
      <c r="J641">
        <v>183.1</v>
      </c>
    </row>
    <row r="642" spans="1:10" x14ac:dyDescent="0.3">
      <c r="A642" t="s">
        <v>478</v>
      </c>
      <c r="B642" t="s">
        <v>479</v>
      </c>
      <c r="C642" t="s">
        <v>595</v>
      </c>
      <c r="D642">
        <v>2021</v>
      </c>
      <c r="E642" t="s">
        <v>573</v>
      </c>
      <c r="J642">
        <v>205</v>
      </c>
    </row>
    <row r="643" spans="1:10" x14ac:dyDescent="0.3">
      <c r="A643" t="s">
        <v>478</v>
      </c>
      <c r="B643" t="s">
        <v>479</v>
      </c>
      <c r="C643" t="s">
        <v>595</v>
      </c>
      <c r="D643">
        <v>2022</v>
      </c>
      <c r="E643" t="s">
        <v>573</v>
      </c>
      <c r="J643">
        <v>169.3</v>
      </c>
    </row>
    <row r="644" spans="1:10" x14ac:dyDescent="0.3">
      <c r="A644" t="s">
        <v>478</v>
      </c>
      <c r="B644" t="s">
        <v>479</v>
      </c>
      <c r="C644" t="s">
        <v>595</v>
      </c>
      <c r="D644">
        <v>2023</v>
      </c>
      <c r="E644" t="s">
        <v>573</v>
      </c>
      <c r="J644">
        <v>189.4</v>
      </c>
    </row>
    <row r="645" spans="1:10" x14ac:dyDescent="0.3">
      <c r="A645" t="s">
        <v>478</v>
      </c>
      <c r="B645" t="s">
        <v>479</v>
      </c>
      <c r="C645" t="s">
        <v>595</v>
      </c>
      <c r="D645">
        <v>2024</v>
      </c>
      <c r="E645" t="s">
        <v>573</v>
      </c>
      <c r="J645">
        <v>206.5</v>
      </c>
    </row>
    <row r="646" spans="1:10" x14ac:dyDescent="0.3">
      <c r="A646" t="s">
        <v>325</v>
      </c>
      <c r="B646" t="s">
        <v>326</v>
      </c>
      <c r="C646" t="s">
        <v>596</v>
      </c>
      <c r="D646">
        <v>2015</v>
      </c>
      <c r="E646" t="s">
        <v>573</v>
      </c>
      <c r="F646" s="6">
        <v>5.5475645969516797E-2</v>
      </c>
      <c r="G646" s="6">
        <v>5.5475645969516797E-2</v>
      </c>
      <c r="H646" s="6">
        <v>0</v>
      </c>
      <c r="I646" s="6"/>
      <c r="J646" s="6"/>
    </row>
    <row r="647" spans="1:10" x14ac:dyDescent="0.3">
      <c r="A647" t="s">
        <v>325</v>
      </c>
      <c r="B647" t="s">
        <v>326</v>
      </c>
      <c r="C647" t="s">
        <v>596</v>
      </c>
      <c r="D647">
        <v>2016</v>
      </c>
      <c r="E647" t="s">
        <v>573</v>
      </c>
      <c r="F647" s="6">
        <v>0.14950436087695501</v>
      </c>
      <c r="G647" s="6">
        <v>0.14951850599083596</v>
      </c>
      <c r="H647" s="6">
        <v>1.4145113880951472E-5</v>
      </c>
      <c r="I647" s="6"/>
      <c r="J647" s="6"/>
    </row>
    <row r="648" spans="1:10" x14ac:dyDescent="0.3">
      <c r="A648" t="s">
        <v>325</v>
      </c>
      <c r="B648" t="s">
        <v>326</v>
      </c>
      <c r="C648" t="s">
        <v>596</v>
      </c>
      <c r="D648">
        <v>2017</v>
      </c>
      <c r="E648" t="s">
        <v>573</v>
      </c>
      <c r="F648" s="6">
        <v>0.21691277872765138</v>
      </c>
      <c r="G648" s="6">
        <v>0.21693566392210623</v>
      </c>
      <c r="H648" s="6">
        <v>2.2885194454846924E-5</v>
      </c>
      <c r="I648" s="6"/>
      <c r="J648" s="6"/>
    </row>
    <row r="649" spans="1:10" x14ac:dyDescent="0.3">
      <c r="A649" t="s">
        <v>325</v>
      </c>
      <c r="B649" t="s">
        <v>326</v>
      </c>
      <c r="C649" t="s">
        <v>596</v>
      </c>
      <c r="D649">
        <v>2018</v>
      </c>
      <c r="E649" t="s">
        <v>573</v>
      </c>
      <c r="F649" s="6">
        <v>0.2774046722573838</v>
      </c>
      <c r="G649" s="6">
        <v>0.27742665050491117</v>
      </c>
      <c r="H649" s="6">
        <v>2.1978247527347071E-5</v>
      </c>
      <c r="I649" s="6"/>
      <c r="J649" s="6"/>
    </row>
    <row r="650" spans="1:10" x14ac:dyDescent="0.3">
      <c r="A650" t="s">
        <v>325</v>
      </c>
      <c r="B650" t="s">
        <v>326</v>
      </c>
      <c r="C650" t="s">
        <v>596</v>
      </c>
      <c r="D650">
        <v>2019</v>
      </c>
      <c r="E650" t="s">
        <v>573</v>
      </c>
      <c r="F650" s="6">
        <v>0.36573296935114025</v>
      </c>
      <c r="G650" s="6">
        <v>0.3657642682560816</v>
      </c>
      <c r="H650" s="6">
        <v>3.1298904941281887E-5</v>
      </c>
      <c r="I650" s="6"/>
      <c r="J650" s="6"/>
    </row>
    <row r="651" spans="1:10" x14ac:dyDescent="0.3">
      <c r="A651" t="s">
        <v>325</v>
      </c>
      <c r="B651" t="s">
        <v>326</v>
      </c>
      <c r="C651" t="s">
        <v>596</v>
      </c>
      <c r="D651">
        <v>2020</v>
      </c>
      <c r="E651" t="s">
        <v>573</v>
      </c>
      <c r="F651" s="6">
        <v>0.45460440420538328</v>
      </c>
      <c r="G651" s="6">
        <v>0.4546587111870341</v>
      </c>
      <c r="H651" s="6">
        <v>5.4306981650848016E-5</v>
      </c>
      <c r="I651" s="6"/>
      <c r="J651" s="6"/>
    </row>
    <row r="652" spans="1:10" x14ac:dyDescent="0.3">
      <c r="A652" t="s">
        <v>325</v>
      </c>
      <c r="B652" t="s">
        <v>326</v>
      </c>
      <c r="C652" t="s">
        <v>596</v>
      </c>
      <c r="D652">
        <v>2021</v>
      </c>
      <c r="E652" t="s">
        <v>573</v>
      </c>
      <c r="F652" s="6">
        <v>0.59523010596642767</v>
      </c>
      <c r="G652" s="6">
        <v>0.59528093377813829</v>
      </c>
      <c r="H652" s="6">
        <v>5.0827811710594823E-5</v>
      </c>
      <c r="I652" s="6"/>
      <c r="J652" s="6"/>
    </row>
    <row r="653" spans="1:10" x14ac:dyDescent="0.3">
      <c r="A653" t="s">
        <v>325</v>
      </c>
      <c r="B653" t="s">
        <v>326</v>
      </c>
      <c r="C653" t="s">
        <v>596</v>
      </c>
      <c r="D653">
        <v>2022</v>
      </c>
      <c r="E653" t="s">
        <v>573</v>
      </c>
      <c r="F653" s="6">
        <v>0.50214658279415492</v>
      </c>
      <c r="G653" s="6">
        <v>0.50219224600310142</v>
      </c>
      <c r="H653" s="6">
        <v>4.5663208946532304E-5</v>
      </c>
      <c r="I653" s="6"/>
      <c r="J653" s="6"/>
    </row>
    <row r="654" spans="1:10" x14ac:dyDescent="0.3">
      <c r="A654" t="s">
        <v>325</v>
      </c>
      <c r="B654" t="s">
        <v>326</v>
      </c>
      <c r="C654" t="s">
        <v>596</v>
      </c>
      <c r="D654">
        <v>2023</v>
      </c>
      <c r="E654" t="s">
        <v>573</v>
      </c>
      <c r="F654" s="6">
        <v>0.64724264884418881</v>
      </c>
      <c r="G654" s="6">
        <v>0.64729735653620357</v>
      </c>
      <c r="H654" s="6">
        <v>5.4707746078346994E-5</v>
      </c>
      <c r="I654" s="6"/>
      <c r="J654" s="6"/>
    </row>
    <row r="655" spans="1:10" x14ac:dyDescent="0.3">
      <c r="A655" t="s">
        <v>325</v>
      </c>
      <c r="B655" t="s">
        <v>326</v>
      </c>
      <c r="C655" t="s">
        <v>596</v>
      </c>
      <c r="D655">
        <v>2024</v>
      </c>
      <c r="E655" t="s">
        <v>573</v>
      </c>
      <c r="F655" s="6">
        <v>0.75964844081462124</v>
      </c>
      <c r="G655" s="6">
        <v>0.75971186944975566</v>
      </c>
      <c r="H655" s="6">
        <v>6.3428635134396482E-5</v>
      </c>
      <c r="I655" s="6"/>
      <c r="J655" s="6"/>
    </row>
    <row r="656" spans="1:10" x14ac:dyDescent="0.3">
      <c r="A656" t="s">
        <v>329</v>
      </c>
      <c r="B656" t="s">
        <v>330</v>
      </c>
      <c r="C656" t="s">
        <v>597</v>
      </c>
      <c r="D656">
        <v>1994</v>
      </c>
      <c r="E656" t="s">
        <v>573</v>
      </c>
      <c r="F656" s="6"/>
      <c r="G656" s="6"/>
      <c r="H656" s="6"/>
      <c r="I656" s="6"/>
      <c r="J656" s="6"/>
    </row>
    <row r="657" spans="1:10" x14ac:dyDescent="0.3">
      <c r="A657" t="s">
        <v>329</v>
      </c>
      <c r="B657" t="s">
        <v>330</v>
      </c>
      <c r="C657" t="s">
        <v>597</v>
      </c>
      <c r="D657">
        <v>1995</v>
      </c>
      <c r="E657" t="s">
        <v>573</v>
      </c>
      <c r="F657" s="6"/>
      <c r="G657" s="6"/>
      <c r="H657" s="6"/>
      <c r="I657" s="6"/>
      <c r="J657" s="6"/>
    </row>
    <row r="658" spans="1:10" x14ac:dyDescent="0.3">
      <c r="A658" t="s">
        <v>329</v>
      </c>
      <c r="B658" t="s">
        <v>330</v>
      </c>
      <c r="C658" t="s">
        <v>597</v>
      </c>
      <c r="D658">
        <v>1996</v>
      </c>
      <c r="E658" t="s">
        <v>573</v>
      </c>
      <c r="F658" s="6"/>
      <c r="G658" s="6"/>
      <c r="H658" s="6"/>
      <c r="I658" s="6"/>
      <c r="J658" s="6"/>
    </row>
    <row r="659" spans="1:10" x14ac:dyDescent="0.3">
      <c r="A659" t="s">
        <v>329</v>
      </c>
      <c r="B659" t="s">
        <v>330</v>
      </c>
      <c r="C659" t="s">
        <v>597</v>
      </c>
      <c r="D659">
        <v>1997</v>
      </c>
      <c r="E659" t="s">
        <v>573</v>
      </c>
      <c r="F659" s="6"/>
      <c r="G659" s="6"/>
      <c r="H659" s="6"/>
      <c r="I659" s="6"/>
      <c r="J659" s="6"/>
    </row>
    <row r="660" spans="1:10" x14ac:dyDescent="0.3">
      <c r="A660" t="s">
        <v>329</v>
      </c>
      <c r="B660" t="s">
        <v>330</v>
      </c>
      <c r="C660" t="s">
        <v>597</v>
      </c>
      <c r="D660">
        <v>1998</v>
      </c>
      <c r="E660" t="s">
        <v>573</v>
      </c>
      <c r="F660" s="6"/>
      <c r="G660" s="6"/>
      <c r="H660" s="6"/>
      <c r="I660" s="6"/>
      <c r="J660" s="6"/>
    </row>
    <row r="661" spans="1:10" x14ac:dyDescent="0.3">
      <c r="A661" t="s">
        <v>329</v>
      </c>
      <c r="B661" t="s">
        <v>330</v>
      </c>
      <c r="C661" t="s">
        <v>597</v>
      </c>
      <c r="D661">
        <v>1999</v>
      </c>
      <c r="E661" t="s">
        <v>573</v>
      </c>
      <c r="F661" s="6"/>
      <c r="G661" s="6"/>
      <c r="H661" s="6"/>
      <c r="I661" s="6"/>
      <c r="J661" s="6"/>
    </row>
    <row r="662" spans="1:10" x14ac:dyDescent="0.3">
      <c r="A662" t="s">
        <v>329</v>
      </c>
      <c r="B662" t="s">
        <v>330</v>
      </c>
      <c r="C662" t="s">
        <v>597</v>
      </c>
      <c r="D662">
        <v>2000</v>
      </c>
      <c r="E662" t="s">
        <v>573</v>
      </c>
      <c r="F662" s="6"/>
      <c r="G662" s="6"/>
      <c r="H662" s="6"/>
      <c r="I662" s="6"/>
      <c r="J662" s="6"/>
    </row>
    <row r="663" spans="1:10" x14ac:dyDescent="0.3">
      <c r="A663" t="s">
        <v>329</v>
      </c>
      <c r="B663" t="s">
        <v>330</v>
      </c>
      <c r="C663" t="s">
        <v>597</v>
      </c>
      <c r="D663">
        <v>2001</v>
      </c>
      <c r="E663" t="s">
        <v>573</v>
      </c>
      <c r="F663" s="6"/>
      <c r="G663" s="6"/>
      <c r="H663" s="6"/>
      <c r="I663" s="6"/>
      <c r="J663" s="6"/>
    </row>
    <row r="664" spans="1:10" x14ac:dyDescent="0.3">
      <c r="A664" t="s">
        <v>329</v>
      </c>
      <c r="B664" t="s">
        <v>330</v>
      </c>
      <c r="C664" t="s">
        <v>597</v>
      </c>
      <c r="D664">
        <v>2002</v>
      </c>
      <c r="E664" t="s">
        <v>573</v>
      </c>
      <c r="F664" s="6"/>
      <c r="G664" s="6"/>
      <c r="H664" s="6"/>
      <c r="I664" s="6"/>
      <c r="J664" s="6"/>
    </row>
    <row r="665" spans="1:10" x14ac:dyDescent="0.3">
      <c r="A665" t="s">
        <v>329</v>
      </c>
      <c r="B665" t="s">
        <v>330</v>
      </c>
      <c r="C665" t="s">
        <v>597</v>
      </c>
      <c r="D665">
        <v>2003</v>
      </c>
      <c r="E665" t="s">
        <v>573</v>
      </c>
      <c r="F665" s="6"/>
      <c r="G665" s="6"/>
      <c r="H665" s="6"/>
      <c r="I665" s="6"/>
      <c r="J665" s="6"/>
    </row>
    <row r="666" spans="1:10" x14ac:dyDescent="0.3">
      <c r="A666" t="s">
        <v>329</v>
      </c>
      <c r="B666" t="s">
        <v>330</v>
      </c>
      <c r="C666" t="s">
        <v>597</v>
      </c>
      <c r="D666">
        <v>2004</v>
      </c>
      <c r="E666" t="s">
        <v>573</v>
      </c>
      <c r="F666" s="6">
        <v>3.4742105263157894</v>
      </c>
      <c r="G666" s="6">
        <v>7.93</v>
      </c>
      <c r="H666" s="6">
        <v>4.4557894736842112</v>
      </c>
      <c r="I666" s="6"/>
      <c r="J666" s="6"/>
    </row>
    <row r="667" spans="1:10" x14ac:dyDescent="0.3">
      <c r="A667" t="s">
        <v>329</v>
      </c>
      <c r="B667" t="s">
        <v>330</v>
      </c>
      <c r="C667" t="s">
        <v>597</v>
      </c>
      <c r="D667">
        <v>2005</v>
      </c>
      <c r="E667" t="s">
        <v>573</v>
      </c>
      <c r="F667" s="6">
        <v>3.2330875510814101</v>
      </c>
      <c r="G667" s="6">
        <v>9.4951482562345983</v>
      </c>
      <c r="H667" s="6">
        <v>6.2620607051531891</v>
      </c>
      <c r="I667" s="6"/>
      <c r="J667" s="6"/>
    </row>
    <row r="668" spans="1:10" x14ac:dyDescent="0.3">
      <c r="A668" t="s">
        <v>329</v>
      </c>
      <c r="B668" t="s">
        <v>330</v>
      </c>
      <c r="C668" t="s">
        <v>597</v>
      </c>
      <c r="D668">
        <v>2006</v>
      </c>
      <c r="E668" t="s">
        <v>573</v>
      </c>
      <c r="F668" s="6">
        <v>3.5551719559879471</v>
      </c>
      <c r="G668" s="6">
        <v>11.01964272716393</v>
      </c>
      <c r="H668" s="6">
        <v>7.4644707711759821</v>
      </c>
      <c r="I668" s="6"/>
      <c r="J668" s="6"/>
    </row>
    <row r="669" spans="1:10" x14ac:dyDescent="0.3">
      <c r="A669" t="s">
        <v>329</v>
      </c>
      <c r="B669" t="s">
        <v>330</v>
      </c>
      <c r="C669" t="s">
        <v>597</v>
      </c>
      <c r="D669">
        <v>2007</v>
      </c>
      <c r="E669" t="s">
        <v>573</v>
      </c>
      <c r="F669" s="6">
        <v>5.197277494648108</v>
      </c>
      <c r="G669" s="6">
        <v>12.21299121559451</v>
      </c>
      <c r="H669" s="6">
        <v>7.0154228176947147</v>
      </c>
      <c r="I669" s="6"/>
      <c r="J669" s="6"/>
    </row>
    <row r="670" spans="1:10" x14ac:dyDescent="0.3">
      <c r="A670" t="s">
        <v>329</v>
      </c>
      <c r="B670" t="s">
        <v>330</v>
      </c>
      <c r="C670" t="s">
        <v>597</v>
      </c>
      <c r="D670">
        <v>2008</v>
      </c>
      <c r="E670" t="s">
        <v>573</v>
      </c>
      <c r="F670" s="6">
        <v>5.1378471284383842</v>
      </c>
      <c r="G670" s="6">
        <v>16.017288635252424</v>
      </c>
      <c r="H670" s="6">
        <v>10.879441506814041</v>
      </c>
      <c r="I670" s="6"/>
      <c r="J670" s="6"/>
    </row>
    <row r="671" spans="1:10" x14ac:dyDescent="0.3">
      <c r="A671" t="s">
        <v>329</v>
      </c>
      <c r="B671" t="s">
        <v>330</v>
      </c>
      <c r="C671" t="s">
        <v>597</v>
      </c>
      <c r="D671">
        <v>2009</v>
      </c>
      <c r="E671" t="s">
        <v>573</v>
      </c>
      <c r="F671" s="6">
        <v>5.0043935272576014</v>
      </c>
      <c r="G671" s="6">
        <v>15.757966442360809</v>
      </c>
      <c r="H671" s="6">
        <v>10.753572915103206</v>
      </c>
      <c r="I671" s="6"/>
      <c r="J671" s="6"/>
    </row>
    <row r="672" spans="1:10" x14ac:dyDescent="0.3">
      <c r="A672" t="s">
        <v>329</v>
      </c>
      <c r="B672" t="s">
        <v>330</v>
      </c>
      <c r="C672" t="s">
        <v>597</v>
      </c>
      <c r="D672">
        <v>2010</v>
      </c>
      <c r="E672" t="s">
        <v>573</v>
      </c>
      <c r="F672" s="6">
        <v>6.6465140494497676</v>
      </c>
      <c r="G672" s="6">
        <v>18.450603786858291</v>
      </c>
      <c r="H672" s="6">
        <v>11.804089737408521</v>
      </c>
      <c r="I672" s="6"/>
      <c r="J672" s="6"/>
    </row>
    <row r="673" spans="1:10" x14ac:dyDescent="0.3">
      <c r="A673" t="s">
        <v>329</v>
      </c>
      <c r="B673" t="s">
        <v>330</v>
      </c>
      <c r="C673" t="s">
        <v>597</v>
      </c>
      <c r="D673">
        <v>2011</v>
      </c>
      <c r="E673" t="s">
        <v>573</v>
      </c>
      <c r="F673" s="6">
        <v>8.3741747965606574</v>
      </c>
      <c r="G673" s="6">
        <v>21.29801833527614</v>
      </c>
      <c r="H673" s="6">
        <v>12.923843538715484</v>
      </c>
      <c r="I673" s="6"/>
      <c r="J673" s="6"/>
    </row>
    <row r="674" spans="1:10" x14ac:dyDescent="0.3">
      <c r="A674" t="s">
        <v>329</v>
      </c>
      <c r="B674" t="s">
        <v>330</v>
      </c>
      <c r="C674" t="s">
        <v>597</v>
      </c>
      <c r="D674">
        <v>2012</v>
      </c>
      <c r="E674" t="s">
        <v>573</v>
      </c>
      <c r="F674" s="6">
        <v>8.7347809068955886</v>
      </c>
      <c r="G674" s="6">
        <v>20.834945339631783</v>
      </c>
      <c r="H674" s="6">
        <v>12.100164432736197</v>
      </c>
      <c r="I674" s="6"/>
      <c r="J674" s="6"/>
    </row>
    <row r="675" spans="1:10" x14ac:dyDescent="0.3">
      <c r="A675" t="s">
        <v>329</v>
      </c>
      <c r="B675" t="s">
        <v>330</v>
      </c>
      <c r="C675" t="s">
        <v>597</v>
      </c>
      <c r="D675">
        <v>2013</v>
      </c>
      <c r="E675" t="s">
        <v>573</v>
      </c>
      <c r="F675" s="6">
        <v>9.3265179433991729</v>
      </c>
      <c r="G675" s="6">
        <v>20.929839906465059</v>
      </c>
      <c r="H675" s="6">
        <v>11.603321963065886</v>
      </c>
      <c r="I675" s="6"/>
      <c r="J675" s="6"/>
    </row>
    <row r="676" spans="1:10" x14ac:dyDescent="0.3">
      <c r="A676" t="s">
        <v>329</v>
      </c>
      <c r="B676" t="s">
        <v>330</v>
      </c>
      <c r="C676" t="s">
        <v>597</v>
      </c>
      <c r="D676">
        <v>2014</v>
      </c>
      <c r="E676" t="s">
        <v>573</v>
      </c>
      <c r="F676" s="6">
        <v>10.797589875521714</v>
      </c>
      <c r="G676" s="6">
        <v>23.802118025213421</v>
      </c>
      <c r="H676" s="6">
        <v>13.004528149691707</v>
      </c>
      <c r="I676" s="6"/>
      <c r="J676" s="6"/>
    </row>
    <row r="677" spans="1:10" x14ac:dyDescent="0.3">
      <c r="A677" t="s">
        <v>329</v>
      </c>
      <c r="B677" t="s">
        <v>330</v>
      </c>
      <c r="C677" t="s">
        <v>597</v>
      </c>
      <c r="D677">
        <v>2015</v>
      </c>
      <c r="E677" t="s">
        <v>573</v>
      </c>
      <c r="F677" s="6">
        <v>9.3081551657918311</v>
      </c>
      <c r="G677" s="6">
        <v>21.595698374087824</v>
      </c>
      <c r="H677" s="6">
        <v>12.287543208295993</v>
      </c>
      <c r="I677" s="6"/>
      <c r="J677" s="6"/>
    </row>
    <row r="678" spans="1:10" x14ac:dyDescent="0.3">
      <c r="A678" t="s">
        <v>329</v>
      </c>
      <c r="B678" t="s">
        <v>330</v>
      </c>
      <c r="C678" t="s">
        <v>597</v>
      </c>
      <c r="D678">
        <v>2016</v>
      </c>
      <c r="E678" t="s">
        <v>573</v>
      </c>
      <c r="F678" s="6">
        <v>9.1196371719409939</v>
      </c>
      <c r="G678" s="6">
        <v>21.32174111762864</v>
      </c>
      <c r="H678" s="6">
        <v>12.202103945687645</v>
      </c>
      <c r="I678" s="6"/>
      <c r="J678" s="6"/>
    </row>
    <row r="679" spans="1:10" x14ac:dyDescent="0.3">
      <c r="A679" t="s">
        <v>329</v>
      </c>
      <c r="B679" t="s">
        <v>330</v>
      </c>
      <c r="C679" t="s">
        <v>597</v>
      </c>
      <c r="D679">
        <v>2017</v>
      </c>
      <c r="E679" t="s">
        <v>573</v>
      </c>
      <c r="F679" s="6">
        <v>9.6192460261633617</v>
      </c>
      <c r="G679" s="6">
        <v>21.525001738193826</v>
      </c>
      <c r="H679" s="6">
        <v>11.905755712030462</v>
      </c>
      <c r="I679" s="6"/>
      <c r="J679" s="6"/>
    </row>
    <row r="680" spans="1:10" x14ac:dyDescent="0.3">
      <c r="A680" t="s">
        <v>329</v>
      </c>
      <c r="B680" t="s">
        <v>330</v>
      </c>
      <c r="C680" t="s">
        <v>597</v>
      </c>
      <c r="D680">
        <v>2018</v>
      </c>
      <c r="E680" t="s">
        <v>573</v>
      </c>
      <c r="F680" s="6">
        <v>7.6619588464312178</v>
      </c>
      <c r="G680" s="6">
        <v>21.515787595443022</v>
      </c>
      <c r="H680" s="6">
        <v>13.853828749011805</v>
      </c>
      <c r="I680" s="6"/>
      <c r="J680" s="6"/>
    </row>
    <row r="681" spans="1:10" x14ac:dyDescent="0.3">
      <c r="A681" t="s">
        <v>329</v>
      </c>
      <c r="B681" t="s">
        <v>330</v>
      </c>
      <c r="C681" t="s">
        <v>597</v>
      </c>
      <c r="D681">
        <v>2019</v>
      </c>
      <c r="E681" t="s">
        <v>573</v>
      </c>
      <c r="F681" s="6">
        <v>8.8068229824235296</v>
      </c>
      <c r="G681" s="6">
        <v>20.052287644810946</v>
      </c>
      <c r="H681" s="6">
        <v>11.245464662387416</v>
      </c>
      <c r="I681" s="6"/>
      <c r="J681" s="6"/>
    </row>
    <row r="682" spans="1:10" x14ac:dyDescent="0.3">
      <c r="A682" t="s">
        <v>329</v>
      </c>
      <c r="B682" t="s">
        <v>330</v>
      </c>
      <c r="C682" t="s">
        <v>597</v>
      </c>
      <c r="D682">
        <v>2020</v>
      </c>
      <c r="E682" t="s">
        <v>573</v>
      </c>
      <c r="F682" s="6">
        <v>8.6628181112706084</v>
      </c>
      <c r="G682" s="6">
        <v>19.480992186953575</v>
      </c>
      <c r="H682" s="6">
        <v>10.81817407568297</v>
      </c>
      <c r="I682" s="6"/>
      <c r="J682" s="6"/>
    </row>
    <row r="683" spans="1:10" x14ac:dyDescent="0.3">
      <c r="A683" t="s">
        <v>329</v>
      </c>
      <c r="B683" t="s">
        <v>330</v>
      </c>
      <c r="C683" t="s">
        <v>597</v>
      </c>
      <c r="D683">
        <v>2021</v>
      </c>
      <c r="E683" t="s">
        <v>573</v>
      </c>
      <c r="F683" s="6">
        <v>8.5241273980293002</v>
      </c>
      <c r="G683" s="6">
        <v>20.472097348537325</v>
      </c>
      <c r="H683" s="6">
        <v>11.947969950508027</v>
      </c>
      <c r="I683" s="6"/>
      <c r="J683" s="6"/>
    </row>
    <row r="684" spans="1:10" x14ac:dyDescent="0.3">
      <c r="A684" t="s">
        <v>329</v>
      </c>
      <c r="B684" t="s">
        <v>330</v>
      </c>
      <c r="C684" t="s">
        <v>597</v>
      </c>
      <c r="D684">
        <v>2022</v>
      </c>
      <c r="E684" t="s">
        <v>573</v>
      </c>
      <c r="F684" s="6">
        <v>8.3429597671114966</v>
      </c>
      <c r="G684" s="6">
        <v>19.72676681793271</v>
      </c>
      <c r="H684" s="6">
        <v>11.383807050821209</v>
      </c>
      <c r="I684" s="6"/>
      <c r="J684" s="6"/>
    </row>
    <row r="685" spans="1:10" x14ac:dyDescent="0.3">
      <c r="A685" t="s">
        <v>329</v>
      </c>
      <c r="B685" t="s">
        <v>330</v>
      </c>
      <c r="C685" t="s">
        <v>597</v>
      </c>
      <c r="D685">
        <v>2023</v>
      </c>
      <c r="E685" t="s">
        <v>573</v>
      </c>
      <c r="F685" s="6">
        <v>9.3708667936668313</v>
      </c>
      <c r="G685" s="6">
        <v>20.594550219443654</v>
      </c>
      <c r="H685" s="6">
        <v>11.223683425776825</v>
      </c>
      <c r="I685" s="6"/>
      <c r="J685" s="6"/>
    </row>
    <row r="686" spans="1:10" x14ac:dyDescent="0.3">
      <c r="A686" t="s">
        <v>329</v>
      </c>
      <c r="B686" t="s">
        <v>330</v>
      </c>
      <c r="C686" t="s">
        <v>597</v>
      </c>
      <c r="D686">
        <v>2024</v>
      </c>
      <c r="E686" t="s">
        <v>573</v>
      </c>
      <c r="F686" s="6">
        <v>9.9833319785649426</v>
      </c>
      <c r="G686" s="6">
        <v>20.60930489892991</v>
      </c>
      <c r="H686" s="6">
        <v>10.625972920364966</v>
      </c>
      <c r="I686" s="6"/>
      <c r="J686" s="6"/>
    </row>
    <row r="687" spans="1:10" x14ac:dyDescent="0.3">
      <c r="A687" t="s">
        <v>334</v>
      </c>
      <c r="B687" t="s">
        <v>335</v>
      </c>
      <c r="C687" t="s">
        <v>598</v>
      </c>
      <c r="D687">
        <v>2015</v>
      </c>
      <c r="E687" t="s">
        <v>573</v>
      </c>
      <c r="F687" s="6"/>
      <c r="G687" s="6"/>
      <c r="H687" s="6"/>
      <c r="I687" s="6"/>
      <c r="J687" s="6"/>
    </row>
    <row r="688" spans="1:10" x14ac:dyDescent="0.3">
      <c r="A688" t="s">
        <v>334</v>
      </c>
      <c r="B688" t="s">
        <v>335</v>
      </c>
      <c r="C688" t="s">
        <v>598</v>
      </c>
      <c r="D688">
        <v>2016</v>
      </c>
      <c r="E688" t="s">
        <v>573</v>
      </c>
      <c r="F688" s="6"/>
      <c r="G688" s="6"/>
      <c r="H688" s="6"/>
      <c r="I688" s="6"/>
      <c r="J688" s="6"/>
    </row>
    <row r="689" spans="1:10" x14ac:dyDescent="0.3">
      <c r="A689" t="s">
        <v>334</v>
      </c>
      <c r="B689" t="s">
        <v>335</v>
      </c>
      <c r="C689" t="s">
        <v>598</v>
      </c>
      <c r="D689">
        <v>2017</v>
      </c>
      <c r="E689" t="s">
        <v>573</v>
      </c>
      <c r="F689" s="6"/>
      <c r="G689" s="6"/>
      <c r="H689" s="6"/>
      <c r="I689" s="6"/>
      <c r="J689" s="6"/>
    </row>
    <row r="690" spans="1:10" x14ac:dyDescent="0.3">
      <c r="A690" t="s">
        <v>334</v>
      </c>
      <c r="B690" t="s">
        <v>335</v>
      </c>
      <c r="C690" t="s">
        <v>598</v>
      </c>
      <c r="D690">
        <v>2018</v>
      </c>
      <c r="E690" t="s">
        <v>573</v>
      </c>
      <c r="F690" s="6">
        <v>3.2125506644226955E-2</v>
      </c>
      <c r="G690" s="6">
        <v>5.0702313619699825E-2</v>
      </c>
      <c r="H690" s="6">
        <v>1.8576806975472874E-2</v>
      </c>
    </row>
    <row r="691" spans="1:10" x14ac:dyDescent="0.3">
      <c r="A691" t="s">
        <v>334</v>
      </c>
      <c r="B691" t="s">
        <v>335</v>
      </c>
      <c r="C691" t="s">
        <v>598</v>
      </c>
      <c r="D691">
        <v>2019</v>
      </c>
      <c r="E691" t="s">
        <v>573</v>
      </c>
      <c r="F691" s="6">
        <v>3.4669033534193171E-2</v>
      </c>
      <c r="G691" s="6">
        <v>5.0232664854088255E-2</v>
      </c>
      <c r="H691" s="6">
        <v>1.5563631319895087E-2</v>
      </c>
    </row>
    <row r="692" spans="1:10" x14ac:dyDescent="0.3">
      <c r="A692" t="s">
        <v>334</v>
      </c>
      <c r="B692" t="s">
        <v>335</v>
      </c>
      <c r="C692" t="s">
        <v>598</v>
      </c>
      <c r="D692">
        <v>2020</v>
      </c>
      <c r="E692" t="s">
        <v>573</v>
      </c>
      <c r="F692" s="6">
        <v>3.9534155318567632E-2</v>
      </c>
      <c r="G692" s="6">
        <v>5.4891499365395842E-2</v>
      </c>
      <c r="H692" s="6">
        <v>1.5357344046828212E-2</v>
      </c>
    </row>
    <row r="693" spans="1:10" x14ac:dyDescent="0.3">
      <c r="A693" t="s">
        <v>334</v>
      </c>
      <c r="B693" t="s">
        <v>335</v>
      </c>
      <c r="C693" t="s">
        <v>598</v>
      </c>
      <c r="D693">
        <v>2021</v>
      </c>
      <c r="E693" t="s">
        <v>573</v>
      </c>
      <c r="F693" s="6">
        <v>7.625207127381832E-2</v>
      </c>
      <c r="G693" s="6">
        <v>9.1362080307588162E-2</v>
      </c>
      <c r="H693" s="6">
        <v>1.5110009033769837E-2</v>
      </c>
    </row>
    <row r="694" spans="1:10" x14ac:dyDescent="0.3">
      <c r="A694" t="s">
        <v>334</v>
      </c>
      <c r="B694" t="s">
        <v>335</v>
      </c>
      <c r="C694" t="s">
        <v>598</v>
      </c>
      <c r="D694">
        <v>2022</v>
      </c>
      <c r="E694" t="s">
        <v>573</v>
      </c>
      <c r="F694" s="6">
        <v>7.4751791182992661E-2</v>
      </c>
      <c r="G694" s="6">
        <v>8.7676783164027688E-2</v>
      </c>
      <c r="H694" s="6">
        <v>1.2924991981035016E-2</v>
      </c>
    </row>
    <row r="695" spans="1:10" x14ac:dyDescent="0.3">
      <c r="A695" t="s">
        <v>334</v>
      </c>
      <c r="B695" t="s">
        <v>335</v>
      </c>
      <c r="C695" t="s">
        <v>598</v>
      </c>
      <c r="D695">
        <v>2023</v>
      </c>
      <c r="E695" t="s">
        <v>573</v>
      </c>
      <c r="F695" s="6">
        <v>7.927912688859777E-2</v>
      </c>
      <c r="G695" s="6">
        <v>9.2041511847027316E-2</v>
      </c>
      <c r="H695" s="6">
        <v>1.2762384958429549E-2</v>
      </c>
    </row>
    <row r="696" spans="1:10" x14ac:dyDescent="0.3">
      <c r="A696" t="s">
        <v>334</v>
      </c>
      <c r="B696" t="s">
        <v>335</v>
      </c>
      <c r="C696" t="s">
        <v>598</v>
      </c>
      <c r="D696">
        <v>2024</v>
      </c>
      <c r="E696" t="s">
        <v>573</v>
      </c>
      <c r="F696" s="6"/>
      <c r="G696" s="6"/>
      <c r="H696" s="6"/>
    </row>
    <row r="697" spans="1:10" x14ac:dyDescent="0.3">
      <c r="A697" t="s">
        <v>338</v>
      </c>
      <c r="B697" t="s">
        <v>335</v>
      </c>
      <c r="C697" t="s">
        <v>598</v>
      </c>
      <c r="D697">
        <v>2016</v>
      </c>
      <c r="E697" t="s">
        <v>573</v>
      </c>
      <c r="F697" s="6">
        <v>0.18103642541161574</v>
      </c>
      <c r="G697" s="6">
        <v>0.18107686943469908</v>
      </c>
      <c r="H697" s="6">
        <v>4.0444023083355886E-5</v>
      </c>
      <c r="I697" s="6"/>
      <c r="J697" s="6"/>
    </row>
    <row r="698" spans="1:10" x14ac:dyDescent="0.3">
      <c r="A698" t="s">
        <v>338</v>
      </c>
      <c r="B698" t="s">
        <v>335</v>
      </c>
      <c r="C698" t="s">
        <v>598</v>
      </c>
      <c r="D698">
        <v>2017</v>
      </c>
      <c r="E698" t="s">
        <v>573</v>
      </c>
      <c r="F698" s="6">
        <v>0.41256886338821885</v>
      </c>
      <c r="G698" s="6">
        <v>0.41259292107877776</v>
      </c>
      <c r="H698" s="6">
        <v>2.4057690558858933E-5</v>
      </c>
      <c r="I698" s="6"/>
      <c r="J698" s="6"/>
    </row>
    <row r="699" spans="1:10" x14ac:dyDescent="0.3">
      <c r="A699" t="s">
        <v>338</v>
      </c>
      <c r="B699" t="s">
        <v>335</v>
      </c>
      <c r="C699" t="s">
        <v>598</v>
      </c>
      <c r="D699">
        <v>2018</v>
      </c>
      <c r="E699" t="s">
        <v>573</v>
      </c>
      <c r="F699" s="6">
        <v>0.54524548677584894</v>
      </c>
      <c r="G699" s="6">
        <v>0.54544884595358345</v>
      </c>
      <c r="H699" s="6">
        <v>2.0335917773447348E-4</v>
      </c>
      <c r="I699" s="6"/>
      <c r="J699" s="6"/>
    </row>
    <row r="700" spans="1:10" x14ac:dyDescent="0.3">
      <c r="A700" t="s">
        <v>338</v>
      </c>
      <c r="B700" t="s">
        <v>335</v>
      </c>
      <c r="C700" t="s">
        <v>598</v>
      </c>
      <c r="D700">
        <v>2019</v>
      </c>
      <c r="E700" t="s">
        <v>573</v>
      </c>
      <c r="F700" s="6">
        <v>0.63830948498241802</v>
      </c>
      <c r="G700" s="6">
        <v>0.63875132251913547</v>
      </c>
      <c r="H700" s="6">
        <v>4.4183753671736282E-4</v>
      </c>
      <c r="I700" s="6"/>
      <c r="J700" s="6"/>
    </row>
    <row r="701" spans="1:10" x14ac:dyDescent="0.3">
      <c r="A701" t="s">
        <v>338</v>
      </c>
      <c r="B701" t="s">
        <v>335</v>
      </c>
      <c r="C701" t="s">
        <v>598</v>
      </c>
      <c r="D701">
        <v>2020</v>
      </c>
      <c r="E701" t="s">
        <v>573</v>
      </c>
      <c r="F701" s="6">
        <v>0.68266320040607353</v>
      </c>
      <c r="G701" s="6">
        <v>0.68315450235429453</v>
      </c>
      <c r="H701" s="6">
        <v>4.9130194822105244E-4</v>
      </c>
      <c r="I701" s="6"/>
      <c r="J701" s="6"/>
    </row>
    <row r="702" spans="1:10" x14ac:dyDescent="0.3">
      <c r="A702" t="s">
        <v>338</v>
      </c>
      <c r="B702" t="s">
        <v>335</v>
      </c>
      <c r="C702" t="s">
        <v>598</v>
      </c>
      <c r="D702">
        <v>2021</v>
      </c>
      <c r="E702" t="s">
        <v>573</v>
      </c>
      <c r="F702" s="6">
        <v>0.72134701337986706</v>
      </c>
      <c r="G702" s="6">
        <v>0.72164411181058374</v>
      </c>
      <c r="H702" s="6">
        <v>2.9709843071661524E-4</v>
      </c>
      <c r="I702" s="6"/>
      <c r="J702" s="6"/>
    </row>
    <row r="703" spans="1:10" x14ac:dyDescent="0.3">
      <c r="A703" t="s">
        <v>338</v>
      </c>
      <c r="B703" t="s">
        <v>335</v>
      </c>
      <c r="C703" t="s">
        <v>598</v>
      </c>
      <c r="D703">
        <v>2022</v>
      </c>
      <c r="E703" t="s">
        <v>573</v>
      </c>
      <c r="F703" s="6">
        <v>0.63913293980205632</v>
      </c>
      <c r="G703" s="6">
        <v>0.63977697589297999</v>
      </c>
      <c r="H703" s="6">
        <v>6.440360909235847E-4</v>
      </c>
      <c r="I703" s="6"/>
      <c r="J703" s="6"/>
    </row>
    <row r="704" spans="1:10" x14ac:dyDescent="0.3">
      <c r="A704" t="s">
        <v>338</v>
      </c>
      <c r="B704" t="s">
        <v>335</v>
      </c>
      <c r="C704" t="s">
        <v>598</v>
      </c>
      <c r="D704">
        <v>2023</v>
      </c>
      <c r="E704" t="s">
        <v>573</v>
      </c>
      <c r="F704" s="6">
        <v>0.708209254880522</v>
      </c>
      <c r="G704" s="6">
        <v>0.70908688166034417</v>
      </c>
      <c r="H704" s="6">
        <v>8.7762677982214431E-4</v>
      </c>
      <c r="I704" s="6"/>
      <c r="J704" s="6"/>
    </row>
    <row r="705" spans="1:10" x14ac:dyDescent="0.3">
      <c r="A705" t="s">
        <v>338</v>
      </c>
      <c r="B705" t="s">
        <v>335</v>
      </c>
      <c r="C705" t="s">
        <v>598</v>
      </c>
      <c r="D705">
        <v>2024</v>
      </c>
      <c r="E705" t="s">
        <v>573</v>
      </c>
      <c r="F705" s="6"/>
      <c r="G705" s="6"/>
      <c r="H705" s="6"/>
      <c r="I705" s="6"/>
      <c r="J705" s="6"/>
    </row>
    <row r="706" spans="1:10" x14ac:dyDescent="0.3">
      <c r="A706" t="s">
        <v>342</v>
      </c>
      <c r="B706" t="s">
        <v>343</v>
      </c>
      <c r="C706" t="s">
        <v>599</v>
      </c>
      <c r="D706">
        <v>2004</v>
      </c>
      <c r="E706" t="s">
        <v>573</v>
      </c>
      <c r="F706" s="6">
        <v>3.2157847000000003E-2</v>
      </c>
      <c r="G706" s="6">
        <v>3.2157847000000003E-2</v>
      </c>
      <c r="H706" s="6">
        <v>0</v>
      </c>
      <c r="I706" s="6"/>
      <c r="J706" s="6"/>
    </row>
    <row r="707" spans="1:10" x14ac:dyDescent="0.3">
      <c r="A707" t="s">
        <v>342</v>
      </c>
      <c r="B707" t="s">
        <v>343</v>
      </c>
      <c r="C707" t="s">
        <v>599</v>
      </c>
      <c r="D707">
        <v>2005</v>
      </c>
      <c r="E707" t="s">
        <v>573</v>
      </c>
      <c r="F707" s="6">
        <v>4.5152406999999999E-2</v>
      </c>
      <c r="G707" s="6">
        <v>4.5217908000000001E-2</v>
      </c>
      <c r="H707" s="6">
        <v>6.5500999999999995E-5</v>
      </c>
      <c r="I707" s="6"/>
      <c r="J707" s="6"/>
    </row>
    <row r="708" spans="1:10" x14ac:dyDescent="0.3">
      <c r="A708" t="s">
        <v>342</v>
      </c>
      <c r="B708" t="s">
        <v>343</v>
      </c>
      <c r="C708" t="s">
        <v>599</v>
      </c>
      <c r="D708">
        <v>2006</v>
      </c>
      <c r="E708" t="s">
        <v>573</v>
      </c>
      <c r="F708" s="6">
        <v>6.3100517999999994E-2</v>
      </c>
      <c r="G708" s="6">
        <v>6.3137157999999999E-2</v>
      </c>
      <c r="H708" s="6">
        <v>3.6640000000000002E-5</v>
      </c>
      <c r="I708" s="6"/>
      <c r="J708" s="6"/>
    </row>
    <row r="709" spans="1:10" x14ac:dyDescent="0.3">
      <c r="A709" t="s">
        <v>342</v>
      </c>
      <c r="B709" t="s">
        <v>343</v>
      </c>
      <c r="C709" t="s">
        <v>599</v>
      </c>
      <c r="D709">
        <v>2007</v>
      </c>
      <c r="E709" t="s">
        <v>573</v>
      </c>
      <c r="F709" s="6">
        <v>8.3813819999999997E-2</v>
      </c>
      <c r="G709" s="6">
        <v>8.5689236000000002E-2</v>
      </c>
      <c r="H709" s="6">
        <v>1.875416E-3</v>
      </c>
      <c r="I709" s="6"/>
      <c r="J709" s="6"/>
    </row>
    <row r="710" spans="1:10" x14ac:dyDescent="0.3">
      <c r="A710" t="s">
        <v>342</v>
      </c>
      <c r="B710" t="s">
        <v>343</v>
      </c>
      <c r="C710" t="s">
        <v>599</v>
      </c>
      <c r="D710">
        <v>2008</v>
      </c>
      <c r="E710" t="s">
        <v>573</v>
      </c>
      <c r="F710" s="6">
        <v>7.6327992999999997E-2</v>
      </c>
      <c r="G710" s="6">
        <v>7.8523217000000006E-2</v>
      </c>
      <c r="H710" s="6">
        <v>2.195224E-3</v>
      </c>
      <c r="I710" s="6"/>
      <c r="J710" s="6"/>
    </row>
    <row r="711" spans="1:10" x14ac:dyDescent="0.3">
      <c r="A711" t="s">
        <v>342</v>
      </c>
      <c r="B711" t="s">
        <v>343</v>
      </c>
      <c r="C711" t="s">
        <v>599</v>
      </c>
      <c r="D711">
        <v>2009</v>
      </c>
      <c r="E711" t="s">
        <v>573</v>
      </c>
      <c r="F711" s="6">
        <v>9.0451765000000003E-2</v>
      </c>
      <c r="G711" s="6">
        <v>9.0861506999999994E-2</v>
      </c>
      <c r="H711" s="6">
        <v>4.0974199999999999E-4</v>
      </c>
      <c r="I711" s="6"/>
      <c r="J711" s="6"/>
    </row>
    <row r="712" spans="1:10" x14ac:dyDescent="0.3">
      <c r="A712" t="s">
        <v>342</v>
      </c>
      <c r="B712" t="s">
        <v>343</v>
      </c>
      <c r="C712" t="s">
        <v>599</v>
      </c>
      <c r="D712">
        <v>2010</v>
      </c>
      <c r="E712" t="s">
        <v>573</v>
      </c>
      <c r="F712" s="6">
        <v>0.112794544</v>
      </c>
      <c r="G712" s="6">
        <v>0.112820377</v>
      </c>
      <c r="H712" s="6">
        <v>2.5833000000000002E-5</v>
      </c>
      <c r="I712" s="6"/>
      <c r="J712" s="6"/>
    </row>
    <row r="713" spans="1:10" x14ac:dyDescent="0.3">
      <c r="A713" t="s">
        <v>342</v>
      </c>
      <c r="B713" t="s">
        <v>343</v>
      </c>
      <c r="C713" t="s">
        <v>599</v>
      </c>
      <c r="D713">
        <v>2011</v>
      </c>
      <c r="E713" t="s">
        <v>573</v>
      </c>
      <c r="F713" s="6">
        <v>0.12517712</v>
      </c>
      <c r="G713" s="6">
        <v>0.125258589</v>
      </c>
      <c r="H713" s="6">
        <v>8.1469000000000002E-5</v>
      </c>
      <c r="I713" s="6"/>
      <c r="J713" s="6"/>
    </row>
    <row r="714" spans="1:10" x14ac:dyDescent="0.3">
      <c r="A714" t="s">
        <v>342</v>
      </c>
      <c r="B714" t="s">
        <v>343</v>
      </c>
      <c r="C714" t="s">
        <v>599</v>
      </c>
      <c r="D714">
        <v>2012</v>
      </c>
      <c r="E714" t="s">
        <v>573</v>
      </c>
      <c r="F714" s="6">
        <v>0.16556838400000001</v>
      </c>
      <c r="G714" s="6">
        <v>0.16566840999999999</v>
      </c>
      <c r="H714" s="6">
        <v>1.0002599999999999E-4</v>
      </c>
      <c r="I714" s="6"/>
      <c r="J714" s="6"/>
    </row>
    <row r="715" spans="1:10" x14ac:dyDescent="0.3">
      <c r="A715" t="s">
        <v>342</v>
      </c>
      <c r="B715" t="s">
        <v>343</v>
      </c>
      <c r="C715" t="s">
        <v>599</v>
      </c>
      <c r="D715">
        <v>2013</v>
      </c>
      <c r="E715" t="s">
        <v>573</v>
      </c>
      <c r="F715" s="6">
        <v>0.20615645599999999</v>
      </c>
      <c r="G715" s="6">
        <v>0.20624573199999999</v>
      </c>
      <c r="H715" s="6">
        <v>8.9276000000000004E-5</v>
      </c>
      <c r="I715" s="6"/>
      <c r="J715" s="6"/>
    </row>
    <row r="716" spans="1:10" x14ac:dyDescent="0.3">
      <c r="A716" t="s">
        <v>342</v>
      </c>
      <c r="B716" t="s">
        <v>343</v>
      </c>
      <c r="C716" t="s">
        <v>599</v>
      </c>
      <c r="D716">
        <v>2014</v>
      </c>
      <c r="E716" t="s">
        <v>573</v>
      </c>
      <c r="F716" s="6">
        <v>0.24012118700000001</v>
      </c>
      <c r="G716" s="6">
        <v>0.240221872</v>
      </c>
      <c r="H716" s="6">
        <v>1.00685E-4</v>
      </c>
      <c r="I716" s="6"/>
      <c r="J716" s="6"/>
    </row>
    <row r="717" spans="1:10" x14ac:dyDescent="0.3">
      <c r="A717" t="s">
        <v>342</v>
      </c>
      <c r="B717" t="s">
        <v>343</v>
      </c>
      <c r="C717" t="s">
        <v>599</v>
      </c>
      <c r="D717">
        <v>2015</v>
      </c>
      <c r="E717" t="s">
        <v>573</v>
      </c>
      <c r="F717" s="6">
        <v>0.247142058</v>
      </c>
      <c r="G717" s="6">
        <v>0.247244991</v>
      </c>
      <c r="H717" s="6">
        <v>1.02933E-4</v>
      </c>
      <c r="I717" s="6"/>
      <c r="J717" s="6"/>
    </row>
    <row r="718" spans="1:10" x14ac:dyDescent="0.3">
      <c r="A718" t="s">
        <v>342</v>
      </c>
      <c r="B718" t="s">
        <v>343</v>
      </c>
      <c r="C718" t="s">
        <v>599</v>
      </c>
      <c r="D718">
        <v>2016</v>
      </c>
      <c r="E718" t="s">
        <v>573</v>
      </c>
      <c r="F718" s="6">
        <v>0.29454553300000003</v>
      </c>
      <c r="G718" s="6">
        <v>0.294654837</v>
      </c>
      <c r="H718" s="6">
        <v>1.09304E-4</v>
      </c>
      <c r="I718" s="6"/>
      <c r="J718" s="6"/>
    </row>
    <row r="719" spans="1:10" ht="12" customHeight="1" x14ac:dyDescent="0.3">
      <c r="A719" t="s">
        <v>342</v>
      </c>
      <c r="B719" t="s">
        <v>343</v>
      </c>
      <c r="C719" t="s">
        <v>599</v>
      </c>
      <c r="D719">
        <v>2017</v>
      </c>
      <c r="E719" t="s">
        <v>573</v>
      </c>
      <c r="F719" s="6">
        <v>0.35693341499999998</v>
      </c>
      <c r="G719" s="6">
        <v>0.35714907000000001</v>
      </c>
      <c r="H719" s="6">
        <v>2.1565500000000001E-4</v>
      </c>
      <c r="I719" s="6"/>
      <c r="J719" s="6"/>
    </row>
    <row r="720" spans="1:10" x14ac:dyDescent="0.3">
      <c r="A720" t="s">
        <v>342</v>
      </c>
      <c r="B720" t="s">
        <v>343</v>
      </c>
      <c r="C720" t="s">
        <v>599</v>
      </c>
      <c r="D720">
        <v>2018</v>
      </c>
      <c r="E720" t="s">
        <v>573</v>
      </c>
      <c r="F720" s="6">
        <v>0.40243642200000002</v>
      </c>
      <c r="G720" s="6">
        <v>0.40247434900000001</v>
      </c>
      <c r="H720" s="6">
        <v>3.7926999999999998E-5</v>
      </c>
      <c r="I720" s="6"/>
      <c r="J720" s="6"/>
    </row>
    <row r="721" spans="1:10" x14ac:dyDescent="0.3">
      <c r="A721" t="s">
        <v>342</v>
      </c>
      <c r="B721" t="s">
        <v>343</v>
      </c>
      <c r="C721" t="s">
        <v>599</v>
      </c>
      <c r="D721">
        <v>2019</v>
      </c>
      <c r="E721" t="s">
        <v>573</v>
      </c>
      <c r="F721" s="6">
        <v>0.43466682600000001</v>
      </c>
      <c r="G721" s="6">
        <v>0.434698219</v>
      </c>
      <c r="H721" s="6">
        <v>3.1393000000000003E-5</v>
      </c>
      <c r="I721" s="6"/>
      <c r="J721" s="6"/>
    </row>
    <row r="722" spans="1:10" x14ac:dyDescent="0.3">
      <c r="A722" t="s">
        <v>342</v>
      </c>
      <c r="B722" t="s">
        <v>343</v>
      </c>
      <c r="C722" t="s">
        <v>599</v>
      </c>
      <c r="D722">
        <v>2020</v>
      </c>
      <c r="E722" t="s">
        <v>573</v>
      </c>
      <c r="F722" s="6">
        <v>0.51442927800000005</v>
      </c>
      <c r="G722" s="6">
        <v>0.51446437499999997</v>
      </c>
      <c r="H722" s="6">
        <v>3.5097E-5</v>
      </c>
      <c r="I722" s="6"/>
      <c r="J722" s="6"/>
    </row>
    <row r="723" spans="1:10" x14ac:dyDescent="0.3">
      <c r="A723" t="s">
        <v>342</v>
      </c>
      <c r="B723" t="s">
        <v>343</v>
      </c>
      <c r="C723" t="s">
        <v>599</v>
      </c>
      <c r="D723">
        <v>2021</v>
      </c>
      <c r="E723" t="s">
        <v>573</v>
      </c>
      <c r="F723" s="6">
        <v>0.66893466800000001</v>
      </c>
      <c r="G723" s="6">
        <v>0.66897731900000001</v>
      </c>
      <c r="H723" s="6">
        <v>4.2651000000000002E-5</v>
      </c>
      <c r="I723" s="6"/>
      <c r="J723" s="6"/>
    </row>
    <row r="724" spans="1:10" x14ac:dyDescent="0.3">
      <c r="A724" t="s">
        <v>342</v>
      </c>
      <c r="B724" t="s">
        <v>343</v>
      </c>
      <c r="C724" t="s">
        <v>599</v>
      </c>
      <c r="D724">
        <v>2022</v>
      </c>
      <c r="E724" t="s">
        <v>573</v>
      </c>
      <c r="F724" s="6">
        <v>0.56755752299999995</v>
      </c>
      <c r="G724" s="6">
        <v>0.56760568</v>
      </c>
      <c r="H724" s="6">
        <v>4.8157E-5</v>
      </c>
      <c r="I724" s="6"/>
      <c r="J724" s="6"/>
    </row>
    <row r="725" spans="1:10" x14ac:dyDescent="0.3">
      <c r="A725" t="s">
        <v>342</v>
      </c>
      <c r="B725" t="s">
        <v>343</v>
      </c>
      <c r="C725" t="s">
        <v>599</v>
      </c>
      <c r="D725">
        <v>2023</v>
      </c>
      <c r="E725" t="s">
        <v>573</v>
      </c>
      <c r="F725" s="6">
        <v>0.68387369399999998</v>
      </c>
      <c r="G725" s="6">
        <v>0.68391734299999996</v>
      </c>
      <c r="H725" s="6">
        <v>4.3649000000000002E-5</v>
      </c>
      <c r="I725" s="6"/>
      <c r="J725" s="6"/>
    </row>
    <row r="726" spans="1:10" x14ac:dyDescent="0.3">
      <c r="A726" t="s">
        <v>342</v>
      </c>
      <c r="B726" t="s">
        <v>343</v>
      </c>
      <c r="C726" t="s">
        <v>599</v>
      </c>
      <c r="D726">
        <v>2024</v>
      </c>
      <c r="E726" t="s">
        <v>573</v>
      </c>
      <c r="F726" s="6">
        <v>1.0420536439999999</v>
      </c>
      <c r="G726" s="6">
        <v>1.0421265310000001</v>
      </c>
      <c r="H726" s="6">
        <v>7.2886999999999995E-5</v>
      </c>
      <c r="I726" s="6"/>
      <c r="J726" s="6"/>
    </row>
    <row r="727" spans="1:10" x14ac:dyDescent="0.3">
      <c r="A727" t="s">
        <v>358</v>
      </c>
      <c r="B727" t="s">
        <v>359</v>
      </c>
      <c r="C727" t="s">
        <v>600</v>
      </c>
      <c r="D727">
        <v>2000</v>
      </c>
      <c r="E727" t="s">
        <v>573</v>
      </c>
      <c r="F727" s="6"/>
      <c r="G727" s="6"/>
      <c r="H727" s="6"/>
      <c r="I727" s="6"/>
      <c r="J727" s="6"/>
    </row>
    <row r="728" spans="1:10" x14ac:dyDescent="0.3">
      <c r="A728" t="s">
        <v>358</v>
      </c>
      <c r="B728" t="s">
        <v>359</v>
      </c>
      <c r="C728" t="s">
        <v>600</v>
      </c>
      <c r="D728">
        <v>2001</v>
      </c>
      <c r="E728" t="s">
        <v>573</v>
      </c>
      <c r="F728" s="6"/>
      <c r="G728" s="6"/>
      <c r="H728" s="6"/>
      <c r="I728" s="6"/>
      <c r="J728" s="6"/>
    </row>
    <row r="729" spans="1:10" x14ac:dyDescent="0.3">
      <c r="A729" t="s">
        <v>358</v>
      </c>
      <c r="B729" t="s">
        <v>359</v>
      </c>
      <c r="C729" t="s">
        <v>600</v>
      </c>
      <c r="D729">
        <v>2002</v>
      </c>
      <c r="E729" t="s">
        <v>573</v>
      </c>
      <c r="F729" s="6"/>
      <c r="G729" s="6"/>
      <c r="H729" s="6"/>
      <c r="I729" s="6"/>
      <c r="J729" s="6"/>
    </row>
    <row r="730" spans="1:10" x14ac:dyDescent="0.3">
      <c r="A730" t="s">
        <v>358</v>
      </c>
      <c r="B730" t="s">
        <v>359</v>
      </c>
      <c r="C730" t="s">
        <v>600</v>
      </c>
      <c r="D730">
        <v>2003</v>
      </c>
      <c r="E730" t="s">
        <v>573</v>
      </c>
      <c r="F730" s="6"/>
      <c r="G730" s="6"/>
      <c r="H730" s="6"/>
      <c r="I730" s="6"/>
      <c r="J730" s="6"/>
    </row>
    <row r="731" spans="1:10" x14ac:dyDescent="0.3">
      <c r="A731" t="s">
        <v>358</v>
      </c>
      <c r="B731" t="s">
        <v>359</v>
      </c>
      <c r="C731" t="s">
        <v>600</v>
      </c>
      <c r="D731">
        <v>2004</v>
      </c>
      <c r="E731" t="s">
        <v>573</v>
      </c>
      <c r="F731" s="6"/>
      <c r="G731" s="6"/>
      <c r="H731" s="6"/>
      <c r="I731" s="6"/>
      <c r="J731" s="6"/>
    </row>
    <row r="732" spans="1:10" x14ac:dyDescent="0.3">
      <c r="A732" t="s">
        <v>358</v>
      </c>
      <c r="B732" t="s">
        <v>359</v>
      </c>
      <c r="C732" t="s">
        <v>600</v>
      </c>
      <c r="D732">
        <v>2005</v>
      </c>
      <c r="E732" t="s">
        <v>573</v>
      </c>
      <c r="F732" s="6"/>
      <c r="G732" s="6"/>
      <c r="H732" s="6"/>
      <c r="I732" s="6"/>
      <c r="J732" s="6"/>
    </row>
    <row r="733" spans="1:10" x14ac:dyDescent="0.3">
      <c r="A733" t="s">
        <v>358</v>
      </c>
      <c r="B733" t="s">
        <v>359</v>
      </c>
      <c r="C733" t="s">
        <v>600</v>
      </c>
      <c r="D733">
        <v>2006</v>
      </c>
      <c r="E733" t="s">
        <v>573</v>
      </c>
      <c r="F733" s="6"/>
      <c r="G733" s="6"/>
      <c r="H733" s="6"/>
      <c r="I733" s="6"/>
      <c r="J733" s="6"/>
    </row>
    <row r="734" spans="1:10" x14ac:dyDescent="0.3">
      <c r="A734" t="s">
        <v>358</v>
      </c>
      <c r="B734" t="s">
        <v>359</v>
      </c>
      <c r="C734" t="s">
        <v>600</v>
      </c>
      <c r="D734">
        <v>2007</v>
      </c>
      <c r="E734" t="s">
        <v>573</v>
      </c>
      <c r="F734" s="6"/>
      <c r="G734" s="6"/>
      <c r="H734" s="6"/>
      <c r="I734" s="6"/>
      <c r="J734" s="6"/>
    </row>
    <row r="735" spans="1:10" x14ac:dyDescent="0.3">
      <c r="A735" t="s">
        <v>358</v>
      </c>
      <c r="B735" t="s">
        <v>359</v>
      </c>
      <c r="C735" t="s">
        <v>600</v>
      </c>
      <c r="D735">
        <v>2008</v>
      </c>
      <c r="E735" t="s">
        <v>573</v>
      </c>
      <c r="F735" s="6"/>
      <c r="G735" s="6"/>
      <c r="H735" s="6"/>
      <c r="I735" s="6"/>
      <c r="J735" s="6"/>
    </row>
    <row r="736" spans="1:10" x14ac:dyDescent="0.3">
      <c r="A736" t="s">
        <v>358</v>
      </c>
      <c r="B736" t="s">
        <v>359</v>
      </c>
      <c r="C736" t="s">
        <v>600</v>
      </c>
      <c r="D736">
        <v>2009</v>
      </c>
      <c r="E736" t="s">
        <v>573</v>
      </c>
      <c r="F736" s="6"/>
      <c r="G736" s="6"/>
      <c r="H736" s="6"/>
      <c r="I736" s="6"/>
      <c r="J736" s="6"/>
    </row>
    <row r="737" spans="1:10" x14ac:dyDescent="0.3">
      <c r="A737" t="s">
        <v>358</v>
      </c>
      <c r="B737" t="s">
        <v>359</v>
      </c>
      <c r="C737" t="s">
        <v>600</v>
      </c>
      <c r="D737">
        <v>2010</v>
      </c>
      <c r="E737" t="s">
        <v>573</v>
      </c>
      <c r="F737" s="6"/>
      <c r="G737" s="6"/>
      <c r="H737" s="6"/>
      <c r="I737" s="6"/>
      <c r="J737" s="6"/>
    </row>
    <row r="738" spans="1:10" x14ac:dyDescent="0.3">
      <c r="A738" t="s">
        <v>358</v>
      </c>
      <c r="B738" t="s">
        <v>359</v>
      </c>
      <c r="C738" t="s">
        <v>600</v>
      </c>
      <c r="D738">
        <v>2011</v>
      </c>
      <c r="E738" t="s">
        <v>573</v>
      </c>
      <c r="F738" s="6"/>
      <c r="G738" s="6"/>
      <c r="H738" s="6"/>
      <c r="I738" s="6"/>
      <c r="J738" s="6"/>
    </row>
    <row r="739" spans="1:10" x14ac:dyDescent="0.3">
      <c r="A739" t="s">
        <v>358</v>
      </c>
      <c r="B739" t="s">
        <v>359</v>
      </c>
      <c r="C739" t="s">
        <v>600</v>
      </c>
      <c r="D739">
        <v>2012</v>
      </c>
      <c r="E739" t="s">
        <v>573</v>
      </c>
      <c r="F739" s="6"/>
      <c r="G739" s="6"/>
      <c r="H739" s="6"/>
      <c r="I739" s="6"/>
      <c r="J739" s="6"/>
    </row>
    <row r="740" spans="1:10" x14ac:dyDescent="0.3">
      <c r="A740" t="s">
        <v>358</v>
      </c>
      <c r="B740" t="s">
        <v>359</v>
      </c>
      <c r="C740" t="s">
        <v>600</v>
      </c>
      <c r="D740">
        <v>2013</v>
      </c>
      <c r="E740" t="s">
        <v>573</v>
      </c>
      <c r="F740" s="6"/>
      <c r="G740" s="6"/>
      <c r="H740" s="6"/>
      <c r="I740" s="6"/>
      <c r="J740" s="6"/>
    </row>
    <row r="741" spans="1:10" x14ac:dyDescent="0.3">
      <c r="A741" t="s">
        <v>358</v>
      </c>
      <c r="B741" t="s">
        <v>359</v>
      </c>
      <c r="C741" t="s">
        <v>600</v>
      </c>
      <c r="D741">
        <v>2014</v>
      </c>
      <c r="E741" t="s">
        <v>573</v>
      </c>
      <c r="F741" s="6">
        <v>3.7117107079582766E-3</v>
      </c>
      <c r="G741" s="6">
        <v>4.0144573047105683E-3</v>
      </c>
      <c r="H741" s="6">
        <v>3.0274659675229174E-4</v>
      </c>
    </row>
    <row r="742" spans="1:10" x14ac:dyDescent="0.3">
      <c r="A742" t="s">
        <v>358</v>
      </c>
      <c r="B742" t="s">
        <v>359</v>
      </c>
      <c r="C742" t="s">
        <v>600</v>
      </c>
      <c r="D742">
        <v>2015</v>
      </c>
      <c r="E742" t="s">
        <v>573</v>
      </c>
      <c r="F742" s="6">
        <v>7.9576729826031484E-4</v>
      </c>
      <c r="G742" s="6">
        <v>1.1396575146687936E-3</v>
      </c>
      <c r="H742" s="6">
        <v>3.4389021640847866E-4</v>
      </c>
    </row>
    <row r="743" spans="1:10" x14ac:dyDescent="0.3">
      <c r="A743" t="s">
        <v>358</v>
      </c>
      <c r="B743" t="s">
        <v>359</v>
      </c>
      <c r="C743" t="s">
        <v>600</v>
      </c>
      <c r="D743">
        <v>2016</v>
      </c>
      <c r="E743" t="s">
        <v>573</v>
      </c>
      <c r="F743" s="6">
        <v>3.1595423503782134E-3</v>
      </c>
      <c r="G743" s="6">
        <v>3.3438343532971927E-3</v>
      </c>
      <c r="H743" s="6">
        <v>1.8429200291897904E-4</v>
      </c>
    </row>
    <row r="744" spans="1:10" x14ac:dyDescent="0.3">
      <c r="A744" t="s">
        <v>358</v>
      </c>
      <c r="B744" t="s">
        <v>359</v>
      </c>
      <c r="C744" t="s">
        <v>600</v>
      </c>
      <c r="D744">
        <v>2017</v>
      </c>
      <c r="E744" t="s">
        <v>573</v>
      </c>
      <c r="F744" s="6">
        <v>0.95653494879143131</v>
      </c>
      <c r="G744" s="6">
        <v>1.448501130530071</v>
      </c>
      <c r="H744" s="6">
        <v>0.49196618173863976</v>
      </c>
    </row>
    <row r="745" spans="1:10" x14ac:dyDescent="0.3">
      <c r="A745" t="s">
        <v>358</v>
      </c>
      <c r="B745" t="s">
        <v>359</v>
      </c>
      <c r="C745" t="s">
        <v>600</v>
      </c>
      <c r="D745">
        <v>2018</v>
      </c>
      <c r="E745" t="s">
        <v>573</v>
      </c>
      <c r="F745" s="6">
        <v>1.0358161263519559</v>
      </c>
      <c r="G745" s="6">
        <v>1.067444900006963</v>
      </c>
      <c r="H745" s="6">
        <v>3.1628773655007131E-2</v>
      </c>
    </row>
    <row r="746" spans="1:10" x14ac:dyDescent="0.3">
      <c r="A746" t="s">
        <v>358</v>
      </c>
      <c r="B746" t="s">
        <v>359</v>
      </c>
      <c r="C746" t="s">
        <v>600</v>
      </c>
      <c r="D746">
        <v>2019</v>
      </c>
      <c r="E746" t="s">
        <v>573</v>
      </c>
      <c r="F746" s="6">
        <v>1.0345291834405042</v>
      </c>
      <c r="G746" s="6">
        <v>1.0868154124637985</v>
      </c>
      <c r="H746" s="6">
        <v>5.2286229023294155E-2</v>
      </c>
    </row>
    <row r="747" spans="1:10" x14ac:dyDescent="0.3">
      <c r="A747" t="s">
        <v>358</v>
      </c>
      <c r="B747" t="s">
        <v>359</v>
      </c>
      <c r="C747" t="s">
        <v>600</v>
      </c>
      <c r="D747">
        <v>2020</v>
      </c>
      <c r="E747" t="s">
        <v>573</v>
      </c>
      <c r="F747" s="6">
        <v>1.0128910175694337</v>
      </c>
      <c r="G747" s="6">
        <v>1.0875753012830449</v>
      </c>
      <c r="H747" s="6">
        <v>7.4684283713611105E-2</v>
      </c>
    </row>
    <row r="748" spans="1:10" x14ac:dyDescent="0.3">
      <c r="A748" t="s">
        <v>358</v>
      </c>
      <c r="B748" t="s">
        <v>359</v>
      </c>
      <c r="C748" t="s">
        <v>600</v>
      </c>
      <c r="D748">
        <v>2021</v>
      </c>
      <c r="E748" t="s">
        <v>573</v>
      </c>
      <c r="F748" s="6">
        <v>1.0986459479164046</v>
      </c>
      <c r="G748" s="6">
        <v>1.1913131714976168</v>
      </c>
      <c r="H748" s="6">
        <v>9.2667223581212099E-2</v>
      </c>
    </row>
    <row r="749" spans="1:10" x14ac:dyDescent="0.3">
      <c r="A749" t="s">
        <v>358</v>
      </c>
      <c r="B749" t="s">
        <v>359</v>
      </c>
      <c r="C749" t="s">
        <v>600</v>
      </c>
      <c r="D749">
        <v>2022</v>
      </c>
      <c r="E749" t="s">
        <v>573</v>
      </c>
      <c r="F749" s="6">
        <v>1.010316393067145</v>
      </c>
      <c r="G749" s="6">
        <v>1.162941286259741</v>
      </c>
      <c r="H749" s="6">
        <v>0.15262489319259614</v>
      </c>
    </row>
    <row r="750" spans="1:10" x14ac:dyDescent="0.3">
      <c r="A750" t="s">
        <v>358</v>
      </c>
      <c r="B750" t="s">
        <v>359</v>
      </c>
      <c r="C750" t="s">
        <v>600</v>
      </c>
      <c r="D750">
        <v>2023</v>
      </c>
      <c r="E750" t="s">
        <v>573</v>
      </c>
      <c r="F750" s="6">
        <v>1.0402111261960321</v>
      </c>
      <c r="G750" s="6">
        <v>1.1871746965997547</v>
      </c>
      <c r="H750" s="6">
        <v>0.14696357040372279</v>
      </c>
    </row>
    <row r="751" spans="1:10" x14ac:dyDescent="0.3">
      <c r="A751" t="s">
        <v>358</v>
      </c>
      <c r="B751" t="s">
        <v>359</v>
      </c>
      <c r="C751" t="s">
        <v>600</v>
      </c>
      <c r="D751">
        <v>2024</v>
      </c>
      <c r="E751" t="s">
        <v>573</v>
      </c>
      <c r="F751" s="6">
        <v>1.285390978297567</v>
      </c>
      <c r="G751" s="6">
        <v>1.4018849655774477</v>
      </c>
      <c r="H751" s="6">
        <v>0.11649398727988085</v>
      </c>
    </row>
    <row r="752" spans="1:10" x14ac:dyDescent="0.3">
      <c r="A752" t="s">
        <v>362</v>
      </c>
      <c r="B752" t="s">
        <v>359</v>
      </c>
      <c r="C752" t="s">
        <v>600</v>
      </c>
      <c r="D752">
        <v>2014</v>
      </c>
      <c r="E752" t="s">
        <v>573</v>
      </c>
      <c r="F752" s="6">
        <v>3.7117107079582766E-3</v>
      </c>
      <c r="G752" s="6">
        <v>4.0144573047105683E-3</v>
      </c>
      <c r="H752" s="6">
        <v>3.0274659675229174E-4</v>
      </c>
      <c r="I752" s="6"/>
      <c r="J752" s="6"/>
    </row>
    <row r="753" spans="1:10" x14ac:dyDescent="0.3">
      <c r="A753" t="s">
        <v>362</v>
      </c>
      <c r="B753" t="s">
        <v>359</v>
      </c>
      <c r="C753" t="s">
        <v>600</v>
      </c>
      <c r="D753">
        <v>2015</v>
      </c>
      <c r="E753" t="s">
        <v>573</v>
      </c>
      <c r="F753" s="6">
        <v>7.9576729826031484E-4</v>
      </c>
      <c r="G753" s="6">
        <v>1.1396575146687936E-3</v>
      </c>
      <c r="H753" s="6">
        <v>3.4389021640847866E-4</v>
      </c>
      <c r="I753" s="6"/>
      <c r="J753" s="6"/>
    </row>
    <row r="754" spans="1:10" x14ac:dyDescent="0.3">
      <c r="A754" t="s">
        <v>362</v>
      </c>
      <c r="B754" t="s">
        <v>359</v>
      </c>
      <c r="C754" t="s">
        <v>600</v>
      </c>
      <c r="D754">
        <v>2016</v>
      </c>
      <c r="E754" t="s">
        <v>573</v>
      </c>
      <c r="F754" s="6">
        <v>3.1595423503782134E-3</v>
      </c>
      <c r="G754" s="6">
        <v>3.3438343532971927E-3</v>
      </c>
      <c r="H754" s="6">
        <v>1.8429200291897904E-4</v>
      </c>
      <c r="I754" s="6"/>
      <c r="J754" s="6"/>
    </row>
    <row r="755" spans="1:10" x14ac:dyDescent="0.3">
      <c r="A755" t="s">
        <v>362</v>
      </c>
      <c r="B755" t="s">
        <v>359</v>
      </c>
      <c r="C755" t="s">
        <v>600</v>
      </c>
      <c r="D755">
        <v>2017</v>
      </c>
      <c r="E755" t="s">
        <v>573</v>
      </c>
      <c r="F755" s="6">
        <v>0.95653494879143131</v>
      </c>
      <c r="G755" s="6">
        <v>1.448501130530071</v>
      </c>
      <c r="H755" s="6">
        <v>0.49196618173863976</v>
      </c>
      <c r="I755" s="6"/>
      <c r="J755" s="6"/>
    </row>
    <row r="756" spans="1:10" x14ac:dyDescent="0.3">
      <c r="A756" t="s">
        <v>362</v>
      </c>
      <c r="B756" t="s">
        <v>359</v>
      </c>
      <c r="C756" t="s">
        <v>600</v>
      </c>
      <c r="D756">
        <v>2018</v>
      </c>
      <c r="E756" t="s">
        <v>573</v>
      </c>
      <c r="F756" s="6">
        <v>1.0358161263519559</v>
      </c>
      <c r="G756" s="6">
        <v>1.067444900006963</v>
      </c>
      <c r="H756" s="6">
        <v>3.1628773655007131E-2</v>
      </c>
      <c r="I756" s="6"/>
      <c r="J756" s="6"/>
    </row>
    <row r="757" spans="1:10" x14ac:dyDescent="0.3">
      <c r="A757" t="s">
        <v>362</v>
      </c>
      <c r="B757" t="s">
        <v>359</v>
      </c>
      <c r="C757" t="s">
        <v>600</v>
      </c>
      <c r="D757">
        <v>2019</v>
      </c>
      <c r="E757" t="s">
        <v>573</v>
      </c>
      <c r="F757" s="6">
        <v>1.0345291834405042</v>
      </c>
      <c r="G757" s="6">
        <v>1.0868154124637985</v>
      </c>
      <c r="H757" s="6">
        <v>5.2286229023294155E-2</v>
      </c>
      <c r="I757" s="6"/>
      <c r="J757" s="6"/>
    </row>
    <row r="758" spans="1:10" x14ac:dyDescent="0.3">
      <c r="A758" t="s">
        <v>362</v>
      </c>
      <c r="B758" t="s">
        <v>359</v>
      </c>
      <c r="C758" t="s">
        <v>600</v>
      </c>
      <c r="D758">
        <v>2020</v>
      </c>
      <c r="E758" t="s">
        <v>573</v>
      </c>
      <c r="F758" s="6">
        <v>1.0128910175694337</v>
      </c>
      <c r="G758" s="6">
        <v>1.0875753012830449</v>
      </c>
      <c r="H758" s="6">
        <v>7.4684283713611105E-2</v>
      </c>
      <c r="I758" s="6"/>
      <c r="J758" s="6"/>
    </row>
    <row r="759" spans="1:10" x14ac:dyDescent="0.3">
      <c r="A759" t="s">
        <v>362</v>
      </c>
      <c r="B759" t="s">
        <v>359</v>
      </c>
      <c r="C759" t="s">
        <v>600</v>
      </c>
      <c r="D759">
        <v>2021</v>
      </c>
      <c r="E759" t="s">
        <v>573</v>
      </c>
      <c r="F759" s="6">
        <v>1.0986459479164046</v>
      </c>
      <c r="G759" s="6">
        <v>1.1913131714976168</v>
      </c>
      <c r="H759" s="6">
        <v>9.2667223581212099E-2</v>
      </c>
      <c r="I759" s="6"/>
      <c r="J759" s="6"/>
    </row>
    <row r="760" spans="1:10" x14ac:dyDescent="0.3">
      <c r="A760" t="s">
        <v>362</v>
      </c>
      <c r="B760" t="s">
        <v>359</v>
      </c>
      <c r="C760" t="s">
        <v>600</v>
      </c>
      <c r="D760">
        <v>2022</v>
      </c>
      <c r="E760" t="s">
        <v>573</v>
      </c>
      <c r="F760" s="6">
        <v>1.010316393067145</v>
      </c>
      <c r="G760" s="6">
        <v>1.162941286259741</v>
      </c>
      <c r="H760" s="6">
        <v>0.15262489319259614</v>
      </c>
      <c r="I760" s="6"/>
      <c r="J760" s="6"/>
    </row>
    <row r="761" spans="1:10" x14ac:dyDescent="0.3">
      <c r="A761" t="s">
        <v>362</v>
      </c>
      <c r="B761" t="s">
        <v>359</v>
      </c>
      <c r="C761" t="s">
        <v>600</v>
      </c>
      <c r="D761">
        <v>2023</v>
      </c>
      <c r="E761" t="s">
        <v>573</v>
      </c>
      <c r="F761" s="6">
        <v>1.0402111261960321</v>
      </c>
      <c r="G761" s="6">
        <v>1.1871746965997547</v>
      </c>
      <c r="H761" s="6">
        <v>0.14696357040372279</v>
      </c>
      <c r="I761" s="6"/>
      <c r="J761" s="6"/>
    </row>
    <row r="762" spans="1:10" x14ac:dyDescent="0.3">
      <c r="A762" t="s">
        <v>362</v>
      </c>
      <c r="B762" t="s">
        <v>359</v>
      </c>
      <c r="C762" t="s">
        <v>600</v>
      </c>
      <c r="D762">
        <v>2024</v>
      </c>
      <c r="E762" t="s">
        <v>573</v>
      </c>
      <c r="F762" s="6">
        <v>1.285390978297567</v>
      </c>
      <c r="G762" s="6">
        <v>1.4018849655774477</v>
      </c>
      <c r="H762" s="6">
        <v>0.11649398727988085</v>
      </c>
      <c r="I762" s="6"/>
      <c r="J762" s="6"/>
    </row>
    <row r="763" spans="1:10" x14ac:dyDescent="0.3">
      <c r="A763" t="s">
        <v>365</v>
      </c>
      <c r="B763" t="s">
        <v>366</v>
      </c>
      <c r="C763" t="s">
        <v>601</v>
      </c>
      <c r="D763">
        <v>2005</v>
      </c>
      <c r="E763" t="s">
        <v>573</v>
      </c>
      <c r="F763" s="6">
        <v>6.4226793000000004E-2</v>
      </c>
      <c r="G763" s="6">
        <v>6.4240148999999996E-2</v>
      </c>
      <c r="H763" s="6">
        <v>1.3356000000000001E-5</v>
      </c>
      <c r="I763" s="6"/>
      <c r="J763" s="6"/>
    </row>
    <row r="764" spans="1:10" x14ac:dyDescent="0.3">
      <c r="A764" t="s">
        <v>365</v>
      </c>
      <c r="B764" t="s">
        <v>366</v>
      </c>
      <c r="C764" t="s">
        <v>601</v>
      </c>
      <c r="D764">
        <v>2006</v>
      </c>
      <c r="E764" t="s">
        <v>573</v>
      </c>
      <c r="F764" s="6">
        <v>8.6464317999999998E-2</v>
      </c>
      <c r="G764" s="6">
        <v>8.6525036999999999E-2</v>
      </c>
      <c r="H764" s="6">
        <v>6.0718999999999999E-5</v>
      </c>
      <c r="I764" s="6"/>
      <c r="J764" s="6"/>
    </row>
    <row r="765" spans="1:10" x14ac:dyDescent="0.3">
      <c r="A765" t="s">
        <v>365</v>
      </c>
      <c r="B765" t="s">
        <v>366</v>
      </c>
      <c r="C765" t="s">
        <v>601</v>
      </c>
      <c r="D765">
        <v>2007</v>
      </c>
      <c r="E765" t="s">
        <v>573</v>
      </c>
      <c r="F765" s="6">
        <v>0.122839583</v>
      </c>
      <c r="G765" s="6">
        <v>0.122963737</v>
      </c>
      <c r="H765" s="6">
        <v>1.2415399999999999E-4</v>
      </c>
      <c r="I765" s="6"/>
      <c r="J765" s="6"/>
    </row>
    <row r="766" spans="1:10" x14ac:dyDescent="0.3">
      <c r="A766" t="s">
        <v>365</v>
      </c>
      <c r="B766" t="s">
        <v>366</v>
      </c>
      <c r="C766" t="s">
        <v>601</v>
      </c>
      <c r="D766">
        <v>2008</v>
      </c>
      <c r="E766" t="s">
        <v>573</v>
      </c>
      <c r="F766" s="6">
        <v>0.11751568799999999</v>
      </c>
      <c r="G766" s="6">
        <v>0.117831224</v>
      </c>
      <c r="H766" s="6">
        <v>3.15536E-4</v>
      </c>
      <c r="I766" s="6"/>
      <c r="J766" s="6"/>
    </row>
    <row r="767" spans="1:10" x14ac:dyDescent="0.3">
      <c r="A767" t="s">
        <v>365</v>
      </c>
      <c r="B767" t="s">
        <v>366</v>
      </c>
      <c r="C767" t="s">
        <v>601</v>
      </c>
      <c r="D767">
        <v>2009</v>
      </c>
      <c r="E767" t="s">
        <v>573</v>
      </c>
      <c r="F767" s="6">
        <v>0.138075219</v>
      </c>
      <c r="G767" s="6">
        <v>0.138250184</v>
      </c>
      <c r="H767" s="6">
        <v>1.7496499999999999E-4</v>
      </c>
      <c r="I767" s="6"/>
      <c r="J767" s="6"/>
    </row>
    <row r="768" spans="1:10" x14ac:dyDescent="0.3">
      <c r="A768" t="s">
        <v>365</v>
      </c>
      <c r="B768" t="s">
        <v>366</v>
      </c>
      <c r="C768" t="s">
        <v>601</v>
      </c>
      <c r="D768">
        <v>2010</v>
      </c>
      <c r="E768" t="s">
        <v>573</v>
      </c>
      <c r="F768" s="6">
        <v>0.177198362</v>
      </c>
      <c r="G768" s="6">
        <v>0.177372844</v>
      </c>
      <c r="H768" s="6">
        <v>1.74482E-4</v>
      </c>
      <c r="I768" s="6"/>
      <c r="J768" s="6"/>
    </row>
    <row r="769" spans="1:10" x14ac:dyDescent="0.3">
      <c r="A769" t="s">
        <v>365</v>
      </c>
      <c r="B769" t="s">
        <v>366</v>
      </c>
      <c r="C769" t="s">
        <v>601</v>
      </c>
      <c r="D769">
        <v>2011</v>
      </c>
      <c r="E769" t="s">
        <v>573</v>
      </c>
      <c r="F769" s="6">
        <v>0.19846003300000001</v>
      </c>
      <c r="G769" s="6">
        <v>0.198831016</v>
      </c>
      <c r="H769" s="6">
        <v>3.7098300000000002E-4</v>
      </c>
      <c r="I769" s="6"/>
      <c r="J769" s="6"/>
    </row>
    <row r="770" spans="1:10" x14ac:dyDescent="0.3">
      <c r="A770" t="s">
        <v>365</v>
      </c>
      <c r="B770" t="s">
        <v>366</v>
      </c>
      <c r="C770" t="s">
        <v>601</v>
      </c>
      <c r="D770">
        <v>2012</v>
      </c>
      <c r="E770" t="s">
        <v>573</v>
      </c>
      <c r="F770" s="6">
        <v>0.25734610800000002</v>
      </c>
      <c r="G770" s="6">
        <v>0.25771052</v>
      </c>
      <c r="H770" s="6">
        <v>3.6441199999999999E-4</v>
      </c>
      <c r="I770" s="6"/>
      <c r="J770" s="6"/>
    </row>
    <row r="771" spans="1:10" x14ac:dyDescent="0.3">
      <c r="A771" t="s">
        <v>365</v>
      </c>
      <c r="B771" t="s">
        <v>366</v>
      </c>
      <c r="C771" t="s">
        <v>601</v>
      </c>
      <c r="D771">
        <v>2013</v>
      </c>
      <c r="E771" t="s">
        <v>573</v>
      </c>
      <c r="F771" s="6">
        <v>0.32308313599999999</v>
      </c>
      <c r="G771" s="6">
        <v>0.32324217399999999</v>
      </c>
      <c r="H771" s="6">
        <v>1.5903799999999999E-4</v>
      </c>
      <c r="I771" s="6"/>
      <c r="J771" s="6"/>
    </row>
    <row r="772" spans="1:10" x14ac:dyDescent="0.3">
      <c r="A772" t="s">
        <v>365</v>
      </c>
      <c r="B772" t="s">
        <v>366</v>
      </c>
      <c r="C772" t="s">
        <v>601</v>
      </c>
      <c r="D772">
        <v>2014</v>
      </c>
      <c r="E772" t="s">
        <v>573</v>
      </c>
      <c r="F772" s="6">
        <v>0.38090101100000001</v>
      </c>
      <c r="G772" s="6">
        <v>0.38102023099999999</v>
      </c>
      <c r="H772" s="6">
        <v>1.1922E-4</v>
      </c>
      <c r="I772" s="6"/>
      <c r="J772" s="6"/>
    </row>
    <row r="773" spans="1:10" x14ac:dyDescent="0.3">
      <c r="A773" t="s">
        <v>365</v>
      </c>
      <c r="B773" t="s">
        <v>366</v>
      </c>
      <c r="C773" t="s">
        <v>601</v>
      </c>
      <c r="D773">
        <v>2015</v>
      </c>
      <c r="E773" t="s">
        <v>573</v>
      </c>
      <c r="F773" s="6">
        <v>0.397313588</v>
      </c>
      <c r="G773" s="6">
        <v>0.39744846099999998</v>
      </c>
      <c r="H773" s="6">
        <v>1.3487300000000001E-4</v>
      </c>
      <c r="I773" s="6"/>
      <c r="J773" s="6"/>
    </row>
    <row r="774" spans="1:10" x14ac:dyDescent="0.3">
      <c r="A774" t="s">
        <v>365</v>
      </c>
      <c r="B774" t="s">
        <v>366</v>
      </c>
      <c r="C774" t="s">
        <v>601</v>
      </c>
      <c r="D774">
        <v>2016</v>
      </c>
      <c r="E774" t="s">
        <v>573</v>
      </c>
      <c r="F774" s="6">
        <v>0.46693873000000002</v>
      </c>
      <c r="G774" s="6">
        <v>0.467064906</v>
      </c>
      <c r="H774" s="6">
        <v>1.2617600000000001E-4</v>
      </c>
      <c r="I774" s="6"/>
      <c r="J774" s="6"/>
    </row>
    <row r="775" spans="1:10" x14ac:dyDescent="0.3">
      <c r="A775" t="s">
        <v>365</v>
      </c>
      <c r="B775" t="s">
        <v>366</v>
      </c>
      <c r="C775" t="s">
        <v>601</v>
      </c>
      <c r="D775">
        <v>2017</v>
      </c>
      <c r="E775" t="s">
        <v>573</v>
      </c>
      <c r="F775" s="6">
        <v>0.56497073799999997</v>
      </c>
      <c r="G775" s="6">
        <v>0.56521413700000001</v>
      </c>
      <c r="H775" s="6">
        <v>2.4339899999999999E-4</v>
      </c>
      <c r="I775" s="6"/>
      <c r="J775" s="6"/>
    </row>
    <row r="776" spans="1:10" x14ac:dyDescent="0.3">
      <c r="A776" t="s">
        <v>365</v>
      </c>
      <c r="B776" t="s">
        <v>366</v>
      </c>
      <c r="C776" t="s">
        <v>601</v>
      </c>
      <c r="D776">
        <v>2018</v>
      </c>
      <c r="E776" t="s">
        <v>573</v>
      </c>
      <c r="F776" s="6">
        <v>0.63608645200000002</v>
      </c>
      <c r="G776" s="6">
        <v>0.63622907200000001</v>
      </c>
      <c r="H776" s="6">
        <v>1.4262000000000001E-4</v>
      </c>
      <c r="I776" s="6"/>
      <c r="J776" s="6"/>
    </row>
    <row r="777" spans="1:10" x14ac:dyDescent="0.3">
      <c r="A777" t="s">
        <v>365</v>
      </c>
      <c r="B777" t="s">
        <v>366</v>
      </c>
      <c r="C777" t="s">
        <v>601</v>
      </c>
      <c r="D777">
        <v>2019</v>
      </c>
      <c r="E777" t="s">
        <v>573</v>
      </c>
      <c r="F777" s="6">
        <v>0.68947196600000005</v>
      </c>
      <c r="G777" s="6">
        <v>0.68980367799999998</v>
      </c>
      <c r="H777" s="6">
        <v>3.3171200000000001E-4</v>
      </c>
      <c r="I777" s="6"/>
      <c r="J777" s="6"/>
    </row>
    <row r="778" spans="1:10" x14ac:dyDescent="0.3">
      <c r="A778" t="s">
        <v>365</v>
      </c>
      <c r="B778" t="s">
        <v>366</v>
      </c>
      <c r="C778" t="s">
        <v>601</v>
      </c>
      <c r="D778">
        <v>2020</v>
      </c>
      <c r="E778" t="s">
        <v>573</v>
      </c>
      <c r="F778" s="6">
        <v>0.78388030900000005</v>
      </c>
      <c r="G778" s="6">
        <v>0.78422915699999995</v>
      </c>
      <c r="H778" s="6">
        <v>3.4884800000000002E-4</v>
      </c>
      <c r="I778" s="6"/>
      <c r="J778" s="6"/>
    </row>
    <row r="779" spans="1:10" x14ac:dyDescent="0.3">
      <c r="A779" t="s">
        <v>365</v>
      </c>
      <c r="B779" t="s">
        <v>366</v>
      </c>
      <c r="C779" t="s">
        <v>601</v>
      </c>
      <c r="D779">
        <v>2021</v>
      </c>
      <c r="E779" t="s">
        <v>573</v>
      </c>
      <c r="F779" s="6">
        <v>0.99976359999999997</v>
      </c>
      <c r="G779" s="6">
        <v>1.0002241970000001</v>
      </c>
      <c r="H779" s="6">
        <v>4.6059699999999998E-4</v>
      </c>
      <c r="I779" s="6"/>
      <c r="J779" s="6"/>
    </row>
    <row r="780" spans="1:10" x14ac:dyDescent="0.3">
      <c r="A780" t="s">
        <v>365</v>
      </c>
      <c r="B780" t="s">
        <v>366</v>
      </c>
      <c r="C780" t="s">
        <v>601</v>
      </c>
      <c r="D780">
        <v>2022</v>
      </c>
      <c r="E780" t="s">
        <v>573</v>
      </c>
      <c r="F780" s="6">
        <v>0.91070833500000004</v>
      </c>
      <c r="G780" s="6">
        <v>0.911503336</v>
      </c>
      <c r="H780" s="6">
        <v>7.9500100000000004E-4</v>
      </c>
      <c r="I780" s="6"/>
      <c r="J780" s="6"/>
    </row>
    <row r="781" spans="1:10" x14ac:dyDescent="0.3">
      <c r="A781" t="s">
        <v>365</v>
      </c>
      <c r="B781" t="s">
        <v>366</v>
      </c>
      <c r="C781" t="s">
        <v>601</v>
      </c>
      <c r="D781">
        <v>2023</v>
      </c>
      <c r="E781" t="s">
        <v>573</v>
      </c>
      <c r="F781" s="6">
        <v>1.0366821879999999</v>
      </c>
      <c r="G781" s="6">
        <v>1.0371760889999999</v>
      </c>
      <c r="H781" s="6">
        <v>4.9390100000000004E-4</v>
      </c>
      <c r="I781" s="6"/>
      <c r="J781" s="6"/>
    </row>
    <row r="782" spans="1:10" x14ac:dyDescent="0.3">
      <c r="A782" t="s">
        <v>365</v>
      </c>
      <c r="B782" t="s">
        <v>366</v>
      </c>
      <c r="C782" t="s">
        <v>601</v>
      </c>
      <c r="D782">
        <v>2024</v>
      </c>
      <c r="E782" t="s">
        <v>573</v>
      </c>
      <c r="F782" s="6">
        <v>1.484244836</v>
      </c>
      <c r="G782" s="6">
        <v>1.4850587399999999</v>
      </c>
      <c r="H782" s="6">
        <v>8.1390399999999995E-4</v>
      </c>
      <c r="I782" s="6"/>
      <c r="J782" s="6"/>
    </row>
    <row r="783" spans="1:10" x14ac:dyDescent="0.3">
      <c r="A783" t="s">
        <v>368</v>
      </c>
      <c r="B783" t="s">
        <v>369</v>
      </c>
      <c r="C783" t="s">
        <v>602</v>
      </c>
      <c r="D783">
        <v>1962</v>
      </c>
      <c r="E783" t="s">
        <v>573</v>
      </c>
      <c r="F783" s="6"/>
      <c r="G783" s="6"/>
      <c r="H783" s="6"/>
      <c r="I783" s="6"/>
      <c r="J783" s="6"/>
    </row>
    <row r="784" spans="1:10" x14ac:dyDescent="0.3">
      <c r="A784" t="s">
        <v>368</v>
      </c>
      <c r="B784" t="s">
        <v>369</v>
      </c>
      <c r="C784" t="s">
        <v>602</v>
      </c>
      <c r="D784">
        <v>1963</v>
      </c>
      <c r="E784" t="s">
        <v>573</v>
      </c>
      <c r="F784" s="6"/>
      <c r="G784" s="6"/>
      <c r="H784" s="6"/>
      <c r="I784" s="6"/>
      <c r="J784" s="6"/>
    </row>
    <row r="785" spans="1:10" x14ac:dyDescent="0.3">
      <c r="A785" t="s">
        <v>368</v>
      </c>
      <c r="B785" t="s">
        <v>369</v>
      </c>
      <c r="C785" t="s">
        <v>602</v>
      </c>
      <c r="D785">
        <v>1964</v>
      </c>
      <c r="E785" t="s">
        <v>573</v>
      </c>
      <c r="F785" s="6"/>
      <c r="G785" s="6"/>
      <c r="H785" s="6"/>
      <c r="I785" s="6"/>
      <c r="J785" s="6"/>
    </row>
    <row r="786" spans="1:10" x14ac:dyDescent="0.3">
      <c r="A786" t="s">
        <v>368</v>
      </c>
      <c r="B786" t="s">
        <v>369</v>
      </c>
      <c r="C786" t="s">
        <v>602</v>
      </c>
      <c r="D786">
        <v>1965</v>
      </c>
      <c r="E786" t="s">
        <v>573</v>
      </c>
      <c r="F786" s="6"/>
      <c r="G786" s="6"/>
      <c r="H786" s="6"/>
      <c r="I786" s="6"/>
      <c r="J786" s="6"/>
    </row>
    <row r="787" spans="1:10" x14ac:dyDescent="0.3">
      <c r="A787" t="s">
        <v>368</v>
      </c>
      <c r="B787" t="s">
        <v>369</v>
      </c>
      <c r="C787" t="s">
        <v>602</v>
      </c>
      <c r="D787">
        <v>1966</v>
      </c>
      <c r="E787" t="s">
        <v>573</v>
      </c>
      <c r="F787" s="6"/>
      <c r="G787" s="6"/>
      <c r="H787" s="6"/>
      <c r="I787" s="6"/>
      <c r="J787" s="6"/>
    </row>
    <row r="788" spans="1:10" x14ac:dyDescent="0.3">
      <c r="A788" t="s">
        <v>368</v>
      </c>
      <c r="B788" t="s">
        <v>369</v>
      </c>
      <c r="C788" t="s">
        <v>602</v>
      </c>
      <c r="D788">
        <v>1967</v>
      </c>
      <c r="E788" t="s">
        <v>573</v>
      </c>
      <c r="F788" s="6"/>
      <c r="G788" s="6"/>
      <c r="H788" s="6"/>
      <c r="I788" s="6"/>
      <c r="J788" s="6"/>
    </row>
    <row r="789" spans="1:10" x14ac:dyDescent="0.3">
      <c r="A789" t="s">
        <v>368</v>
      </c>
      <c r="B789" t="s">
        <v>369</v>
      </c>
      <c r="C789" t="s">
        <v>602</v>
      </c>
      <c r="D789">
        <v>1968</v>
      </c>
      <c r="E789" t="s">
        <v>573</v>
      </c>
      <c r="F789" s="6"/>
      <c r="G789" s="6"/>
      <c r="H789" s="6"/>
      <c r="I789" s="6"/>
      <c r="J789" s="6"/>
    </row>
    <row r="790" spans="1:10" x14ac:dyDescent="0.3">
      <c r="A790" t="s">
        <v>368</v>
      </c>
      <c r="B790" t="s">
        <v>369</v>
      </c>
      <c r="C790" t="s">
        <v>602</v>
      </c>
      <c r="D790">
        <v>1969</v>
      </c>
      <c r="E790" t="s">
        <v>573</v>
      </c>
      <c r="F790" s="6"/>
      <c r="G790" s="6"/>
      <c r="H790" s="6"/>
      <c r="I790" s="6"/>
      <c r="J790" s="6"/>
    </row>
    <row r="791" spans="1:10" x14ac:dyDescent="0.3">
      <c r="A791" t="s">
        <v>368</v>
      </c>
      <c r="B791" t="s">
        <v>369</v>
      </c>
      <c r="C791" t="s">
        <v>602</v>
      </c>
      <c r="D791">
        <v>1970</v>
      </c>
      <c r="E791" t="s">
        <v>573</v>
      </c>
      <c r="F791" s="6"/>
      <c r="G791" s="6"/>
      <c r="H791" s="6"/>
      <c r="I791" s="6"/>
      <c r="J791" s="6"/>
    </row>
    <row r="792" spans="1:10" x14ac:dyDescent="0.3">
      <c r="A792" t="s">
        <v>368</v>
      </c>
      <c r="B792" t="s">
        <v>369</v>
      </c>
      <c r="C792" t="s">
        <v>602</v>
      </c>
      <c r="D792">
        <v>1971</v>
      </c>
      <c r="E792" t="s">
        <v>573</v>
      </c>
      <c r="F792" s="6"/>
      <c r="G792" s="6"/>
      <c r="H792" s="6"/>
      <c r="I792" s="6"/>
      <c r="J792" s="6"/>
    </row>
    <row r="793" spans="1:10" x14ac:dyDescent="0.3">
      <c r="A793" t="s">
        <v>368</v>
      </c>
      <c r="B793" t="s">
        <v>369</v>
      </c>
      <c r="C793" t="s">
        <v>602</v>
      </c>
      <c r="D793">
        <v>1972</v>
      </c>
      <c r="E793" t="s">
        <v>573</v>
      </c>
      <c r="F793" s="6"/>
      <c r="G793" s="6"/>
      <c r="H793" s="6"/>
      <c r="I793" s="6"/>
      <c r="J793" s="6"/>
    </row>
    <row r="794" spans="1:10" x14ac:dyDescent="0.3">
      <c r="A794" t="s">
        <v>368</v>
      </c>
      <c r="B794" t="s">
        <v>369</v>
      </c>
      <c r="C794" t="s">
        <v>602</v>
      </c>
      <c r="D794">
        <v>1973</v>
      </c>
      <c r="E794" t="s">
        <v>573</v>
      </c>
      <c r="F794" s="6"/>
      <c r="G794" s="6"/>
      <c r="H794" s="6"/>
      <c r="I794" s="6"/>
      <c r="J794" s="6"/>
    </row>
    <row r="795" spans="1:10" x14ac:dyDescent="0.3">
      <c r="A795" t="s">
        <v>368</v>
      </c>
      <c r="B795" t="s">
        <v>369</v>
      </c>
      <c r="C795" t="s">
        <v>602</v>
      </c>
      <c r="D795">
        <v>1974</v>
      </c>
      <c r="E795" t="s">
        <v>573</v>
      </c>
      <c r="F795" s="6"/>
      <c r="G795" s="6"/>
      <c r="H795" s="6"/>
      <c r="I795" s="6"/>
      <c r="J795" s="6"/>
    </row>
    <row r="796" spans="1:10" x14ac:dyDescent="0.3">
      <c r="A796" t="s">
        <v>368</v>
      </c>
      <c r="B796" t="s">
        <v>369</v>
      </c>
      <c r="C796" t="s">
        <v>602</v>
      </c>
      <c r="D796">
        <v>1975</v>
      </c>
      <c r="E796" t="s">
        <v>573</v>
      </c>
      <c r="F796" s="6"/>
      <c r="G796" s="6"/>
      <c r="H796" s="6"/>
      <c r="I796" s="6"/>
      <c r="J796" s="6"/>
    </row>
    <row r="797" spans="1:10" x14ac:dyDescent="0.3">
      <c r="A797" t="s">
        <v>368</v>
      </c>
      <c r="B797" t="s">
        <v>369</v>
      </c>
      <c r="C797" t="s">
        <v>602</v>
      </c>
      <c r="D797">
        <v>1976</v>
      </c>
      <c r="E797" t="s">
        <v>573</v>
      </c>
      <c r="F797" s="6"/>
      <c r="G797" s="6"/>
      <c r="H797" s="6"/>
      <c r="I797" s="6"/>
      <c r="J797" s="6"/>
    </row>
    <row r="798" spans="1:10" x14ac:dyDescent="0.3">
      <c r="A798" t="s">
        <v>368</v>
      </c>
      <c r="B798" t="s">
        <v>369</v>
      </c>
      <c r="C798" t="s">
        <v>602</v>
      </c>
      <c r="D798">
        <v>1977</v>
      </c>
      <c r="E798" t="s">
        <v>573</v>
      </c>
      <c r="F798" s="6"/>
      <c r="G798" s="6"/>
      <c r="H798" s="6"/>
      <c r="I798" s="6"/>
      <c r="J798" s="6"/>
    </row>
    <row r="799" spans="1:10" x14ac:dyDescent="0.3">
      <c r="A799" t="s">
        <v>368</v>
      </c>
      <c r="B799" t="s">
        <v>369</v>
      </c>
      <c r="C799" t="s">
        <v>602</v>
      </c>
      <c r="D799">
        <v>1978</v>
      </c>
      <c r="E799" t="s">
        <v>573</v>
      </c>
      <c r="F799" s="6"/>
      <c r="G799" s="6"/>
      <c r="H799" s="6"/>
      <c r="I799" s="6"/>
      <c r="J799" s="6"/>
    </row>
    <row r="800" spans="1:10" x14ac:dyDescent="0.3">
      <c r="A800" t="s">
        <v>368</v>
      </c>
      <c r="B800" t="s">
        <v>369</v>
      </c>
      <c r="C800" t="s">
        <v>602</v>
      </c>
      <c r="D800">
        <v>1979</v>
      </c>
      <c r="E800" t="s">
        <v>573</v>
      </c>
      <c r="F800" s="6"/>
      <c r="G800" s="6"/>
      <c r="H800" s="6"/>
      <c r="I800" s="6"/>
      <c r="J800" s="6"/>
    </row>
    <row r="801" spans="1:10" x14ac:dyDescent="0.3">
      <c r="A801" t="s">
        <v>368</v>
      </c>
      <c r="B801" t="s">
        <v>369</v>
      </c>
      <c r="C801" t="s">
        <v>602</v>
      </c>
      <c r="D801">
        <v>1980</v>
      </c>
      <c r="E801" t="s">
        <v>573</v>
      </c>
      <c r="F801" s="6"/>
      <c r="G801" s="6"/>
      <c r="H801" s="6"/>
      <c r="I801" s="6"/>
      <c r="J801" s="6"/>
    </row>
    <row r="802" spans="1:10" x14ac:dyDescent="0.3">
      <c r="A802" t="s">
        <v>368</v>
      </c>
      <c r="B802" t="s">
        <v>369</v>
      </c>
      <c r="C802" t="s">
        <v>602</v>
      </c>
      <c r="D802">
        <v>1981</v>
      </c>
      <c r="E802" t="s">
        <v>573</v>
      </c>
      <c r="F802" s="6"/>
      <c r="G802" s="6"/>
      <c r="H802" s="6"/>
      <c r="I802" s="6"/>
      <c r="J802" s="6"/>
    </row>
    <row r="803" spans="1:10" x14ac:dyDescent="0.3">
      <c r="A803" t="s">
        <v>368</v>
      </c>
      <c r="B803" t="s">
        <v>369</v>
      </c>
      <c r="C803" t="s">
        <v>602</v>
      </c>
      <c r="D803">
        <v>1982</v>
      </c>
      <c r="E803" t="s">
        <v>573</v>
      </c>
      <c r="F803" s="6"/>
      <c r="G803" s="6"/>
      <c r="H803" s="6"/>
      <c r="I803" s="6"/>
      <c r="J803" s="6"/>
    </row>
    <row r="804" spans="1:10" x14ac:dyDescent="0.3">
      <c r="A804" t="s">
        <v>368</v>
      </c>
      <c r="B804" t="s">
        <v>369</v>
      </c>
      <c r="C804" t="s">
        <v>602</v>
      </c>
      <c r="D804">
        <v>1983</v>
      </c>
      <c r="E804" t="s">
        <v>573</v>
      </c>
      <c r="F804" s="6"/>
      <c r="G804" s="6"/>
      <c r="H804" s="6"/>
      <c r="I804" s="6"/>
      <c r="J804" s="6"/>
    </row>
    <row r="805" spans="1:10" x14ac:dyDescent="0.3">
      <c r="A805" t="s">
        <v>368</v>
      </c>
      <c r="B805" t="s">
        <v>369</v>
      </c>
      <c r="C805" t="s">
        <v>602</v>
      </c>
      <c r="D805">
        <v>1984</v>
      </c>
      <c r="E805" t="s">
        <v>573</v>
      </c>
      <c r="F805" s="6"/>
      <c r="G805" s="6"/>
      <c r="H805" s="6"/>
      <c r="I805" s="6"/>
      <c r="J805" s="6"/>
    </row>
    <row r="806" spans="1:10" x14ac:dyDescent="0.3">
      <c r="A806" t="s">
        <v>368</v>
      </c>
      <c r="B806" t="s">
        <v>369</v>
      </c>
      <c r="C806" t="s">
        <v>602</v>
      </c>
      <c r="D806">
        <v>1985</v>
      </c>
      <c r="E806" t="s">
        <v>573</v>
      </c>
      <c r="F806" s="6"/>
      <c r="G806" s="6"/>
      <c r="H806" s="6"/>
      <c r="I806" s="6"/>
      <c r="J806" s="6"/>
    </row>
    <row r="807" spans="1:10" x14ac:dyDescent="0.3">
      <c r="A807" t="s">
        <v>368</v>
      </c>
      <c r="B807" t="s">
        <v>369</v>
      </c>
      <c r="C807" t="s">
        <v>602</v>
      </c>
      <c r="D807">
        <v>1986</v>
      </c>
      <c r="E807" t="s">
        <v>573</v>
      </c>
      <c r="F807" s="6"/>
      <c r="G807" s="6"/>
      <c r="H807" s="6"/>
      <c r="I807" s="6"/>
      <c r="J807" s="6"/>
    </row>
    <row r="808" spans="1:10" x14ac:dyDescent="0.3">
      <c r="A808" t="s">
        <v>368</v>
      </c>
      <c r="B808" t="s">
        <v>369</v>
      </c>
      <c r="C808" t="s">
        <v>602</v>
      </c>
      <c r="D808">
        <v>1987</v>
      </c>
      <c r="E808" t="s">
        <v>573</v>
      </c>
      <c r="F808" s="6"/>
      <c r="G808" s="6"/>
      <c r="H808" s="6"/>
      <c r="I808" s="6"/>
      <c r="J808" s="6"/>
    </row>
    <row r="809" spans="1:10" x14ac:dyDescent="0.3">
      <c r="A809" t="s">
        <v>368</v>
      </c>
      <c r="B809" t="s">
        <v>369</v>
      </c>
      <c r="C809" t="s">
        <v>602</v>
      </c>
      <c r="D809">
        <v>1988</v>
      </c>
      <c r="E809" t="s">
        <v>573</v>
      </c>
      <c r="F809" s="6"/>
      <c r="G809" s="6"/>
      <c r="H809" s="6"/>
      <c r="I809" s="6"/>
      <c r="J809" s="6"/>
    </row>
    <row r="810" spans="1:10" x14ac:dyDescent="0.3">
      <c r="A810" t="s">
        <v>368</v>
      </c>
      <c r="B810" t="s">
        <v>369</v>
      </c>
      <c r="C810" t="s">
        <v>602</v>
      </c>
      <c r="D810">
        <v>1989</v>
      </c>
      <c r="E810" t="s">
        <v>573</v>
      </c>
      <c r="F810" s="6"/>
      <c r="G810" s="6"/>
      <c r="H810" s="6"/>
      <c r="I810" s="6"/>
      <c r="J810" s="6"/>
    </row>
    <row r="811" spans="1:10" x14ac:dyDescent="0.3">
      <c r="A811" t="s">
        <v>368</v>
      </c>
      <c r="B811" t="s">
        <v>369</v>
      </c>
      <c r="C811" t="s">
        <v>602</v>
      </c>
      <c r="D811">
        <v>1990</v>
      </c>
      <c r="E811" t="s">
        <v>573</v>
      </c>
      <c r="F811" s="6"/>
      <c r="G811" s="6"/>
      <c r="H811" s="6"/>
      <c r="I811" s="6"/>
      <c r="J811" s="6"/>
    </row>
    <row r="812" spans="1:10" x14ac:dyDescent="0.3">
      <c r="A812" t="s">
        <v>368</v>
      </c>
      <c r="B812" t="s">
        <v>369</v>
      </c>
      <c r="C812" t="s">
        <v>602</v>
      </c>
      <c r="D812">
        <v>1991</v>
      </c>
      <c r="E812" t="s">
        <v>573</v>
      </c>
      <c r="F812" s="6"/>
      <c r="G812" s="6"/>
      <c r="H812" s="6"/>
      <c r="I812" s="6"/>
      <c r="J812" s="6"/>
    </row>
    <row r="813" spans="1:10" x14ac:dyDescent="0.3">
      <c r="A813" t="s">
        <v>368</v>
      </c>
      <c r="B813" t="s">
        <v>369</v>
      </c>
      <c r="C813" t="s">
        <v>602</v>
      </c>
      <c r="D813">
        <v>1992</v>
      </c>
      <c r="E813" t="s">
        <v>573</v>
      </c>
      <c r="F813" s="6"/>
      <c r="G813" s="6"/>
      <c r="H813" s="6"/>
      <c r="I813" s="6"/>
      <c r="J813" s="6"/>
    </row>
    <row r="814" spans="1:10" x14ac:dyDescent="0.3">
      <c r="A814" t="s">
        <v>368</v>
      </c>
      <c r="B814" t="s">
        <v>369</v>
      </c>
      <c r="C814" t="s">
        <v>602</v>
      </c>
      <c r="D814">
        <v>1993</v>
      </c>
      <c r="E814" t="s">
        <v>573</v>
      </c>
      <c r="F814" s="6"/>
      <c r="G814" s="6"/>
      <c r="H814" s="6"/>
      <c r="I814" s="6"/>
      <c r="J814" s="6"/>
    </row>
    <row r="815" spans="1:10" x14ac:dyDescent="0.3">
      <c r="A815" t="s">
        <v>368</v>
      </c>
      <c r="B815" t="s">
        <v>369</v>
      </c>
      <c r="C815" t="s">
        <v>602</v>
      </c>
      <c r="D815">
        <v>1994</v>
      </c>
      <c r="E815" t="s">
        <v>573</v>
      </c>
      <c r="F815" s="6"/>
      <c r="G815" s="6"/>
      <c r="H815" s="6"/>
      <c r="I815" s="6"/>
      <c r="J815" s="6"/>
    </row>
    <row r="816" spans="1:10" x14ac:dyDescent="0.3">
      <c r="A816" t="s">
        <v>368</v>
      </c>
      <c r="B816" t="s">
        <v>369</v>
      </c>
      <c r="C816" t="s">
        <v>602</v>
      </c>
      <c r="D816">
        <v>1995</v>
      </c>
      <c r="E816" t="s">
        <v>573</v>
      </c>
      <c r="F816" s="6"/>
      <c r="G816" s="6"/>
      <c r="H816" s="6"/>
      <c r="I816" s="6"/>
      <c r="J816" s="6"/>
    </row>
    <row r="817" spans="1:10" x14ac:dyDescent="0.3">
      <c r="A817" t="s">
        <v>368</v>
      </c>
      <c r="B817" t="s">
        <v>369</v>
      </c>
      <c r="C817" t="s">
        <v>602</v>
      </c>
      <c r="D817">
        <v>1996</v>
      </c>
      <c r="E817" t="s">
        <v>573</v>
      </c>
      <c r="F817" s="6"/>
      <c r="G817" s="6"/>
      <c r="H817" s="6"/>
      <c r="I817" s="6"/>
      <c r="J817" s="6"/>
    </row>
    <row r="818" spans="1:10" x14ac:dyDescent="0.3">
      <c r="A818" t="s">
        <v>368</v>
      </c>
      <c r="B818" t="s">
        <v>369</v>
      </c>
      <c r="C818" t="s">
        <v>602</v>
      </c>
      <c r="D818">
        <v>1997</v>
      </c>
      <c r="E818" t="s">
        <v>573</v>
      </c>
      <c r="F818" s="6"/>
      <c r="G818" s="6"/>
      <c r="H818" s="6"/>
      <c r="I818" s="6"/>
      <c r="J818" s="6"/>
    </row>
    <row r="819" spans="1:10" x14ac:dyDescent="0.3">
      <c r="A819" t="s">
        <v>368</v>
      </c>
      <c r="B819" t="s">
        <v>369</v>
      </c>
      <c r="C819" t="s">
        <v>602</v>
      </c>
      <c r="D819">
        <v>1998</v>
      </c>
      <c r="E819" t="s">
        <v>573</v>
      </c>
      <c r="F819" s="6"/>
      <c r="G819" s="6"/>
      <c r="H819" s="6"/>
      <c r="I819" s="6"/>
      <c r="J819" s="6"/>
    </row>
    <row r="820" spans="1:10" x14ac:dyDescent="0.3">
      <c r="A820" t="s">
        <v>368</v>
      </c>
      <c r="B820" t="s">
        <v>369</v>
      </c>
      <c r="C820" t="s">
        <v>602</v>
      </c>
      <c r="D820">
        <v>1999</v>
      </c>
      <c r="E820" t="s">
        <v>573</v>
      </c>
      <c r="F820" s="6"/>
      <c r="G820" s="6"/>
      <c r="H820" s="6"/>
      <c r="I820" s="6"/>
      <c r="J820" s="6"/>
    </row>
    <row r="821" spans="1:10" x14ac:dyDescent="0.3">
      <c r="A821" t="s">
        <v>368</v>
      </c>
      <c r="B821" t="s">
        <v>369</v>
      </c>
      <c r="C821" t="s">
        <v>602</v>
      </c>
      <c r="D821">
        <v>2000</v>
      </c>
      <c r="E821" t="s">
        <v>573</v>
      </c>
      <c r="F821" s="6"/>
      <c r="G821" s="6"/>
      <c r="H821" s="6"/>
      <c r="I821" s="6"/>
      <c r="J821" s="6"/>
    </row>
    <row r="822" spans="1:10" x14ac:dyDescent="0.3">
      <c r="A822" t="s">
        <v>368</v>
      </c>
      <c r="B822" t="s">
        <v>369</v>
      </c>
      <c r="C822" t="s">
        <v>602</v>
      </c>
      <c r="D822">
        <v>2001</v>
      </c>
      <c r="E822" t="s">
        <v>573</v>
      </c>
      <c r="F822" s="6"/>
      <c r="G822" s="6"/>
      <c r="H822" s="6"/>
      <c r="I822" s="6"/>
      <c r="J822" s="6"/>
    </row>
    <row r="823" spans="1:10" x14ac:dyDescent="0.3">
      <c r="A823" t="s">
        <v>368</v>
      </c>
      <c r="B823" t="s">
        <v>369</v>
      </c>
      <c r="C823" t="s">
        <v>602</v>
      </c>
      <c r="D823">
        <v>2002</v>
      </c>
      <c r="E823" t="s">
        <v>573</v>
      </c>
      <c r="F823" s="6"/>
      <c r="G823" s="6"/>
      <c r="H823" s="6"/>
      <c r="I823" s="6"/>
      <c r="J823" s="6"/>
    </row>
    <row r="824" spans="1:10" x14ac:dyDescent="0.3">
      <c r="A824" t="s">
        <v>368</v>
      </c>
      <c r="B824" t="s">
        <v>369</v>
      </c>
      <c r="C824" t="s">
        <v>602</v>
      </c>
      <c r="D824">
        <v>2003</v>
      </c>
      <c r="E824" t="s">
        <v>573</v>
      </c>
      <c r="F824" s="6"/>
      <c r="G824" s="6"/>
      <c r="H824" s="6"/>
      <c r="I824" s="6"/>
      <c r="J824" s="6"/>
    </row>
    <row r="825" spans="1:10" x14ac:dyDescent="0.3">
      <c r="A825" t="s">
        <v>368</v>
      </c>
      <c r="B825" t="s">
        <v>369</v>
      </c>
      <c r="C825" t="s">
        <v>602</v>
      </c>
      <c r="D825">
        <v>2004</v>
      </c>
      <c r="E825" t="s">
        <v>573</v>
      </c>
      <c r="F825" s="6"/>
      <c r="G825" s="6"/>
      <c r="H825" s="6"/>
      <c r="I825" s="6"/>
      <c r="J825" s="6"/>
    </row>
    <row r="826" spans="1:10" x14ac:dyDescent="0.3">
      <c r="A826" t="s">
        <v>368</v>
      </c>
      <c r="B826" t="s">
        <v>369</v>
      </c>
      <c r="C826" t="s">
        <v>602</v>
      </c>
      <c r="D826">
        <v>2005</v>
      </c>
      <c r="E826" t="s">
        <v>573</v>
      </c>
      <c r="F826" s="6"/>
      <c r="G826" s="6"/>
      <c r="H826" s="6"/>
      <c r="I826" s="6"/>
      <c r="J826" s="6"/>
    </row>
    <row r="827" spans="1:10" x14ac:dyDescent="0.3">
      <c r="A827" t="s">
        <v>368</v>
      </c>
      <c r="B827" t="s">
        <v>369</v>
      </c>
      <c r="C827" t="s">
        <v>602</v>
      </c>
      <c r="D827">
        <v>2006</v>
      </c>
      <c r="E827" t="s">
        <v>573</v>
      </c>
      <c r="F827" s="6"/>
      <c r="G827" s="6"/>
      <c r="H827" s="6"/>
      <c r="I827" s="6"/>
      <c r="J827" s="6"/>
    </row>
    <row r="828" spans="1:10" x14ac:dyDescent="0.3">
      <c r="A828" t="s">
        <v>368</v>
      </c>
      <c r="B828" t="s">
        <v>369</v>
      </c>
      <c r="C828" t="s">
        <v>602</v>
      </c>
      <c r="D828">
        <v>2007</v>
      </c>
      <c r="E828" t="s">
        <v>573</v>
      </c>
      <c r="F828" s="6"/>
      <c r="G828" s="6"/>
      <c r="H828" s="6"/>
      <c r="I828" s="6"/>
      <c r="J828" s="6"/>
    </row>
    <row r="829" spans="1:10" x14ac:dyDescent="0.3">
      <c r="A829" t="s">
        <v>368</v>
      </c>
      <c r="B829" t="s">
        <v>369</v>
      </c>
      <c r="C829" t="s">
        <v>602</v>
      </c>
      <c r="D829">
        <v>2008</v>
      </c>
      <c r="E829" t="s">
        <v>573</v>
      </c>
      <c r="F829" s="6"/>
      <c r="G829" s="6"/>
      <c r="H829" s="6"/>
      <c r="I829" s="6"/>
      <c r="J829" s="6"/>
    </row>
    <row r="830" spans="1:10" x14ac:dyDescent="0.3">
      <c r="A830" t="s">
        <v>368</v>
      </c>
      <c r="B830" t="s">
        <v>369</v>
      </c>
      <c r="C830" t="s">
        <v>602</v>
      </c>
      <c r="D830">
        <v>2009</v>
      </c>
      <c r="E830" t="s">
        <v>573</v>
      </c>
      <c r="F830" s="6"/>
      <c r="G830" s="6"/>
      <c r="H830" s="6"/>
      <c r="I830" s="6"/>
      <c r="J830" s="6"/>
    </row>
    <row r="831" spans="1:10" x14ac:dyDescent="0.3">
      <c r="A831" t="s">
        <v>368</v>
      </c>
      <c r="B831" t="s">
        <v>369</v>
      </c>
      <c r="C831" t="s">
        <v>602</v>
      </c>
      <c r="D831">
        <v>2010</v>
      </c>
      <c r="E831" t="s">
        <v>573</v>
      </c>
      <c r="G831" s="6">
        <v>5.5666842103169918</v>
      </c>
    </row>
    <row r="832" spans="1:10" x14ac:dyDescent="0.3">
      <c r="A832" t="s">
        <v>368</v>
      </c>
      <c r="B832" t="s">
        <v>369</v>
      </c>
      <c r="C832" t="s">
        <v>602</v>
      </c>
      <c r="D832">
        <v>2011</v>
      </c>
      <c r="E832" t="s">
        <v>573</v>
      </c>
      <c r="G832" s="6">
        <v>5.8350764092955325</v>
      </c>
    </row>
    <row r="833" spans="1:10" x14ac:dyDescent="0.3">
      <c r="A833" t="s">
        <v>368</v>
      </c>
      <c r="B833" t="s">
        <v>369</v>
      </c>
      <c r="C833" t="s">
        <v>602</v>
      </c>
      <c r="D833">
        <v>2012</v>
      </c>
      <c r="E833" t="s">
        <v>573</v>
      </c>
      <c r="G833" s="6">
        <v>5.4487889003506318</v>
      </c>
    </row>
    <row r="834" spans="1:10" x14ac:dyDescent="0.3">
      <c r="A834" t="s">
        <v>368</v>
      </c>
      <c r="B834" t="s">
        <v>369</v>
      </c>
      <c r="C834" t="s">
        <v>602</v>
      </c>
      <c r="D834">
        <v>2013</v>
      </c>
      <c r="E834" t="s">
        <v>573</v>
      </c>
      <c r="G834" s="6">
        <v>5.8065322425233923</v>
      </c>
    </row>
    <row r="835" spans="1:10" x14ac:dyDescent="0.3">
      <c r="A835" t="s">
        <v>368</v>
      </c>
      <c r="B835" t="s">
        <v>369</v>
      </c>
      <c r="C835" t="s">
        <v>602</v>
      </c>
      <c r="D835">
        <v>2014</v>
      </c>
      <c r="E835" t="s">
        <v>573</v>
      </c>
      <c r="G835" s="6">
        <v>6.0792195642464311</v>
      </c>
    </row>
    <row r="836" spans="1:10" x14ac:dyDescent="0.3">
      <c r="A836" t="s">
        <v>368</v>
      </c>
      <c r="B836" t="s">
        <v>369</v>
      </c>
      <c r="C836" t="s">
        <v>602</v>
      </c>
      <c r="D836">
        <v>2015</v>
      </c>
      <c r="E836" t="s">
        <v>573</v>
      </c>
      <c r="G836" s="6">
        <v>5.1880824110692112</v>
      </c>
    </row>
    <row r="837" spans="1:10" x14ac:dyDescent="0.3">
      <c r="A837" t="s">
        <v>368</v>
      </c>
      <c r="B837" t="s">
        <v>369</v>
      </c>
      <c r="C837" t="s">
        <v>602</v>
      </c>
      <c r="D837">
        <v>2016</v>
      </c>
      <c r="E837" t="s">
        <v>573</v>
      </c>
      <c r="G837" s="6">
        <v>5.3142414697901259</v>
      </c>
    </row>
    <row r="838" spans="1:10" x14ac:dyDescent="0.3">
      <c r="A838" t="s">
        <v>368</v>
      </c>
      <c r="B838" t="s">
        <v>369</v>
      </c>
      <c r="C838" t="s">
        <v>602</v>
      </c>
      <c r="D838">
        <v>2017</v>
      </c>
      <c r="E838" t="s">
        <v>573</v>
      </c>
      <c r="G838" s="6">
        <v>5.835933012164972</v>
      </c>
    </row>
    <row r="839" spans="1:10" x14ac:dyDescent="0.3">
      <c r="A839" t="s">
        <v>368</v>
      </c>
      <c r="B839" t="s">
        <v>369</v>
      </c>
      <c r="C839" t="s">
        <v>602</v>
      </c>
      <c r="D839">
        <v>2018</v>
      </c>
      <c r="E839" t="s">
        <v>573</v>
      </c>
      <c r="G839" s="6">
        <v>7.1695745505257786</v>
      </c>
    </row>
    <row r="840" spans="1:10" x14ac:dyDescent="0.3">
      <c r="A840" t="s">
        <v>368</v>
      </c>
      <c r="B840" t="s">
        <v>369</v>
      </c>
      <c r="C840" t="s">
        <v>602</v>
      </c>
      <c r="D840">
        <v>2019</v>
      </c>
      <c r="E840" t="s">
        <v>573</v>
      </c>
      <c r="G840" s="6">
        <v>6.79632942237469</v>
      </c>
    </row>
    <row r="841" spans="1:10" x14ac:dyDescent="0.3">
      <c r="A841" t="s">
        <v>368</v>
      </c>
      <c r="B841" t="s">
        <v>369</v>
      </c>
      <c r="C841" t="s">
        <v>602</v>
      </c>
      <c r="D841">
        <v>2020</v>
      </c>
      <c r="E841" t="s">
        <v>573</v>
      </c>
      <c r="G841" s="6">
        <v>6.93427255357585</v>
      </c>
    </row>
    <row r="842" spans="1:10" x14ac:dyDescent="0.3">
      <c r="A842" t="s">
        <v>368</v>
      </c>
      <c r="B842" t="s">
        <v>369</v>
      </c>
      <c r="C842" t="s">
        <v>602</v>
      </c>
      <c r="D842">
        <v>2021</v>
      </c>
      <c r="E842" t="s">
        <v>573</v>
      </c>
      <c r="G842" s="6">
        <v>7.6097506050307624</v>
      </c>
    </row>
    <row r="843" spans="1:10" x14ac:dyDescent="0.3">
      <c r="A843" t="s">
        <v>368</v>
      </c>
      <c r="B843" t="s">
        <v>369</v>
      </c>
      <c r="C843" t="s">
        <v>602</v>
      </c>
      <c r="D843">
        <v>2022</v>
      </c>
      <c r="E843" t="s">
        <v>573</v>
      </c>
      <c r="G843" s="6">
        <v>6.8016408181850538</v>
      </c>
    </row>
    <row r="844" spans="1:10" x14ac:dyDescent="0.3">
      <c r="A844" t="s">
        <v>368</v>
      </c>
      <c r="B844" t="s">
        <v>369</v>
      </c>
      <c r="C844" t="s">
        <v>602</v>
      </c>
      <c r="D844">
        <v>2023</v>
      </c>
      <c r="E844" t="s">
        <v>573</v>
      </c>
      <c r="G844" s="6">
        <v>7.5710425894392932</v>
      </c>
    </row>
    <row r="845" spans="1:10" x14ac:dyDescent="0.3">
      <c r="A845" t="s">
        <v>368</v>
      </c>
      <c r="B845" t="s">
        <v>369</v>
      </c>
      <c r="C845" t="s">
        <v>602</v>
      </c>
      <c r="D845">
        <v>2024</v>
      </c>
      <c r="E845" t="s">
        <v>573</v>
      </c>
      <c r="G845" s="6">
        <v>7.88189496687645</v>
      </c>
    </row>
    <row r="846" spans="1:10" x14ac:dyDescent="0.3">
      <c r="A846" t="s">
        <v>408</v>
      </c>
      <c r="B846" t="s">
        <v>409</v>
      </c>
      <c r="C846" t="s">
        <v>603</v>
      </c>
      <c r="D846">
        <v>1996</v>
      </c>
      <c r="E846" t="s">
        <v>573</v>
      </c>
      <c r="G846" s="6"/>
      <c r="I846" s="6">
        <v>7.4110733218725269</v>
      </c>
      <c r="J846" s="6"/>
    </row>
    <row r="847" spans="1:10" x14ac:dyDescent="0.3">
      <c r="A847" t="s">
        <v>408</v>
      </c>
      <c r="B847" t="s">
        <v>409</v>
      </c>
      <c r="C847" t="s">
        <v>603</v>
      </c>
      <c r="D847">
        <v>1997</v>
      </c>
      <c r="E847" t="s">
        <v>573</v>
      </c>
      <c r="F847" s="6"/>
      <c r="G847" s="6"/>
      <c r="H847" s="6"/>
      <c r="I847" s="6">
        <v>16.031891872099436</v>
      </c>
      <c r="J847" s="6"/>
    </row>
    <row r="848" spans="1:10" x14ac:dyDescent="0.3">
      <c r="A848" t="s">
        <v>408</v>
      </c>
      <c r="B848" t="s">
        <v>409</v>
      </c>
      <c r="C848" t="s">
        <v>603</v>
      </c>
      <c r="D848">
        <v>1998</v>
      </c>
      <c r="E848" t="s">
        <v>573</v>
      </c>
      <c r="F848" s="6"/>
      <c r="G848" s="6"/>
      <c r="H848" s="6"/>
      <c r="I848" s="6">
        <v>22.769753655917214</v>
      </c>
      <c r="J848" s="6"/>
    </row>
    <row r="849" spans="1:10" x14ac:dyDescent="0.3">
      <c r="A849" t="s">
        <v>408</v>
      </c>
      <c r="B849" t="s">
        <v>409</v>
      </c>
      <c r="C849" t="s">
        <v>603</v>
      </c>
      <c r="D849">
        <v>1999</v>
      </c>
      <c r="E849" t="s">
        <v>573</v>
      </c>
      <c r="F849" s="6"/>
      <c r="G849" s="6"/>
      <c r="H849" s="6"/>
      <c r="I849" s="6">
        <v>28.515851235983927</v>
      </c>
      <c r="J849" s="6"/>
    </row>
    <row r="850" spans="1:10" x14ac:dyDescent="0.3">
      <c r="A850" t="s">
        <v>408</v>
      </c>
      <c r="B850" t="s">
        <v>409</v>
      </c>
      <c r="C850" t="s">
        <v>603</v>
      </c>
      <c r="D850">
        <v>2000</v>
      </c>
      <c r="E850" t="s">
        <v>573</v>
      </c>
      <c r="F850" s="6"/>
      <c r="G850" s="6"/>
      <c r="H850" s="6"/>
      <c r="I850" s="6">
        <v>43.899901861451269</v>
      </c>
      <c r="J850" s="6"/>
    </row>
    <row r="851" spans="1:10" x14ac:dyDescent="0.3">
      <c r="A851" t="s">
        <v>408</v>
      </c>
      <c r="B851" t="s">
        <v>409</v>
      </c>
      <c r="C851" t="s">
        <v>603</v>
      </c>
      <c r="D851">
        <v>2001</v>
      </c>
      <c r="E851" t="s">
        <v>573</v>
      </c>
      <c r="F851" s="6"/>
      <c r="G851" s="6"/>
      <c r="H851" s="6"/>
      <c r="I851" s="6">
        <v>68.252181411784747</v>
      </c>
      <c r="J851" s="6"/>
    </row>
    <row r="852" spans="1:10" x14ac:dyDescent="0.3">
      <c r="A852" t="s">
        <v>408</v>
      </c>
      <c r="B852" t="s">
        <v>409</v>
      </c>
      <c r="C852" t="s">
        <v>603</v>
      </c>
      <c r="D852">
        <v>2002</v>
      </c>
      <c r="E852" t="s">
        <v>573</v>
      </c>
      <c r="F852" s="6"/>
      <c r="G852" s="6"/>
      <c r="H852" s="6"/>
      <c r="I852" s="6">
        <v>76.279666558906499</v>
      </c>
      <c r="J852" s="6"/>
    </row>
    <row r="853" spans="1:10" x14ac:dyDescent="0.3">
      <c r="A853" t="s">
        <v>408</v>
      </c>
      <c r="B853" t="s">
        <v>409</v>
      </c>
      <c r="C853" t="s">
        <v>603</v>
      </c>
      <c r="D853">
        <v>2003</v>
      </c>
      <c r="E853" t="s">
        <v>573</v>
      </c>
      <c r="F853" s="6"/>
      <c r="G853" s="6"/>
      <c r="H853" s="6"/>
      <c r="I853" s="6">
        <v>119.388996128226</v>
      </c>
      <c r="J853" s="6"/>
    </row>
    <row r="854" spans="1:10" x14ac:dyDescent="0.3">
      <c r="A854" t="s">
        <v>408</v>
      </c>
      <c r="B854" t="s">
        <v>409</v>
      </c>
      <c r="C854" t="s">
        <v>603</v>
      </c>
      <c r="D854">
        <v>2004</v>
      </c>
      <c r="E854" t="s">
        <v>573</v>
      </c>
      <c r="F854" s="6"/>
      <c r="G854" s="6"/>
      <c r="H854" s="6"/>
      <c r="I854" s="6">
        <v>150.78255165199909</v>
      </c>
      <c r="J854" s="6"/>
    </row>
    <row r="855" spans="1:10" x14ac:dyDescent="0.3">
      <c r="A855" t="s">
        <v>408</v>
      </c>
      <c r="B855" t="s">
        <v>409</v>
      </c>
      <c r="C855" t="s">
        <v>603</v>
      </c>
      <c r="D855">
        <v>2005</v>
      </c>
      <c r="E855" t="s">
        <v>573</v>
      </c>
      <c r="F855" s="6"/>
      <c r="G855" s="6"/>
      <c r="H855" s="6"/>
      <c r="I855" s="6">
        <v>217.15172681412494</v>
      </c>
      <c r="J855" s="6"/>
    </row>
    <row r="856" spans="1:10" x14ac:dyDescent="0.3">
      <c r="A856" t="s">
        <v>408</v>
      </c>
      <c r="B856" t="s">
        <v>409</v>
      </c>
      <c r="C856" t="s">
        <v>603</v>
      </c>
      <c r="D856">
        <v>2006</v>
      </c>
      <c r="E856" t="s">
        <v>573</v>
      </c>
      <c r="F856" s="6">
        <v>277.88031589814534</v>
      </c>
      <c r="G856" s="6">
        <v>392.98349235880937</v>
      </c>
      <c r="H856" s="6">
        <v>115.10317646066406</v>
      </c>
      <c r="I856" s="6">
        <v>278.12106435140669</v>
      </c>
      <c r="J856" s="6"/>
    </row>
    <row r="857" spans="1:10" x14ac:dyDescent="0.3">
      <c r="A857" t="s">
        <v>408</v>
      </c>
      <c r="B857" t="s">
        <v>409</v>
      </c>
      <c r="C857" t="s">
        <v>603</v>
      </c>
      <c r="D857">
        <v>2007</v>
      </c>
      <c r="E857" t="s">
        <v>573</v>
      </c>
      <c r="F857" s="6">
        <v>344.09238873514994</v>
      </c>
      <c r="G857" s="6">
        <v>523.24364383033026</v>
      </c>
      <c r="H857" s="6">
        <v>179.15125509518026</v>
      </c>
      <c r="I857" s="6">
        <v>329.59907139044236</v>
      </c>
      <c r="J857" s="6"/>
    </row>
    <row r="858" spans="1:10" x14ac:dyDescent="0.3">
      <c r="A858" t="s">
        <v>408</v>
      </c>
      <c r="B858" t="s">
        <v>409</v>
      </c>
      <c r="C858" t="s">
        <v>603</v>
      </c>
      <c r="D858">
        <v>2008</v>
      </c>
      <c r="E858" t="s">
        <v>573</v>
      </c>
      <c r="F858" s="6">
        <v>403.06542553191491</v>
      </c>
      <c r="G858" s="6">
        <v>565.72163120567382</v>
      </c>
      <c r="H858" s="6">
        <v>162.65620567375888</v>
      </c>
      <c r="I858" s="6">
        <v>403.36879432624113</v>
      </c>
      <c r="J858" s="6"/>
    </row>
    <row r="859" spans="1:10" x14ac:dyDescent="0.3">
      <c r="A859" t="s">
        <v>408</v>
      </c>
      <c r="B859" t="s">
        <v>409</v>
      </c>
      <c r="C859" t="s">
        <v>603</v>
      </c>
      <c r="D859">
        <v>2009</v>
      </c>
      <c r="E859" t="s">
        <v>573</v>
      </c>
      <c r="F859" s="6">
        <v>419.31860160713501</v>
      </c>
      <c r="G859" s="6">
        <v>468.23840276906458</v>
      </c>
      <c r="H859" s="6">
        <v>48.919801161929563</v>
      </c>
      <c r="I859" s="6">
        <v>419.82509514047683</v>
      </c>
      <c r="J859" s="6"/>
    </row>
    <row r="860" spans="1:10" x14ac:dyDescent="0.3">
      <c r="A860" t="s">
        <v>408</v>
      </c>
      <c r="B860" t="s">
        <v>409</v>
      </c>
      <c r="C860" t="s">
        <v>603</v>
      </c>
      <c r="D860">
        <v>2010</v>
      </c>
      <c r="E860" t="s">
        <v>573</v>
      </c>
      <c r="F860" s="6">
        <v>508.66579298685821</v>
      </c>
      <c r="G860" s="6">
        <v>565.97344183243115</v>
      </c>
      <c r="H860" s="6">
        <v>57.307648845572935</v>
      </c>
      <c r="I860" s="6">
        <v>509.08586741564221</v>
      </c>
      <c r="J860" s="6"/>
    </row>
    <row r="861" spans="1:10" x14ac:dyDescent="0.3">
      <c r="A861" t="s">
        <v>408</v>
      </c>
      <c r="B861" t="s">
        <v>409</v>
      </c>
      <c r="C861" t="s">
        <v>603</v>
      </c>
      <c r="D861">
        <v>2011</v>
      </c>
      <c r="E861" t="s">
        <v>573</v>
      </c>
      <c r="F861" s="6">
        <v>590.41302985204845</v>
      </c>
      <c r="G861" s="6">
        <v>602.594793890098</v>
      </c>
      <c r="H861" s="6">
        <v>12.181764038049412</v>
      </c>
      <c r="I861" s="6">
        <v>590.94241576617242</v>
      </c>
      <c r="J861" s="6"/>
    </row>
    <row r="862" spans="1:10" x14ac:dyDescent="0.3">
      <c r="A862" t="s">
        <v>408</v>
      </c>
      <c r="B862" t="s">
        <v>409</v>
      </c>
      <c r="C862" t="s">
        <v>603</v>
      </c>
      <c r="D862">
        <v>2012</v>
      </c>
      <c r="E862" t="s">
        <v>573</v>
      </c>
      <c r="F862" s="6">
        <v>655.53519553072624</v>
      </c>
      <c r="G862" s="6">
        <v>666.50485603781692</v>
      </c>
      <c r="H862" s="6">
        <v>10.969660507090675</v>
      </c>
      <c r="I862" s="6">
        <v>655.95186935969059</v>
      </c>
      <c r="J862" s="6"/>
    </row>
    <row r="863" spans="1:10" x14ac:dyDescent="0.3">
      <c r="A863" t="s">
        <v>408</v>
      </c>
      <c r="B863" t="s">
        <v>409</v>
      </c>
      <c r="C863" t="s">
        <v>603</v>
      </c>
      <c r="D863">
        <v>2013</v>
      </c>
      <c r="E863" t="s">
        <v>573</v>
      </c>
      <c r="F863" s="6">
        <v>856.99506382978723</v>
      </c>
      <c r="G863" s="6">
        <v>878.97804255319159</v>
      </c>
      <c r="H863" s="6">
        <v>21.982978723404255</v>
      </c>
      <c r="I863" s="6">
        <v>857.531914893617</v>
      </c>
      <c r="J863" s="6"/>
    </row>
    <row r="864" spans="1:10" x14ac:dyDescent="0.3">
      <c r="A864" t="s">
        <v>408</v>
      </c>
      <c r="B864" t="s">
        <v>409</v>
      </c>
      <c r="C864" t="s">
        <v>603</v>
      </c>
      <c r="D864">
        <v>2014</v>
      </c>
      <c r="E864" t="s">
        <v>573</v>
      </c>
      <c r="F864" s="6">
        <v>1019.9740798744206</v>
      </c>
      <c r="G864" s="6">
        <v>1028.8501439381039</v>
      </c>
      <c r="H864" s="6">
        <v>8.8760640636834669</v>
      </c>
      <c r="I864" s="6">
        <v>1020.5236170048338</v>
      </c>
      <c r="J864" s="6"/>
    </row>
    <row r="865" spans="1:10" x14ac:dyDescent="0.3">
      <c r="A865" t="s">
        <v>408</v>
      </c>
      <c r="B865" t="s">
        <v>409</v>
      </c>
      <c r="C865" t="s">
        <v>603</v>
      </c>
      <c r="D865">
        <v>2015</v>
      </c>
      <c r="E865" t="s">
        <v>573</v>
      </c>
      <c r="F865" s="6">
        <v>926.47138879936404</v>
      </c>
      <c r="G865" s="6">
        <v>949.40903381589203</v>
      </c>
      <c r="H865" s="6">
        <v>22.937645016528059</v>
      </c>
      <c r="I865" s="6">
        <v>926.94012909206867</v>
      </c>
      <c r="J865" s="6"/>
    </row>
    <row r="866" spans="1:10" x14ac:dyDescent="0.3">
      <c r="A866" t="s">
        <v>408</v>
      </c>
      <c r="B866" t="s">
        <v>409</v>
      </c>
      <c r="C866" t="s">
        <v>603</v>
      </c>
      <c r="D866">
        <v>2016</v>
      </c>
      <c r="E866" t="s">
        <v>573</v>
      </c>
      <c r="F866" s="6">
        <v>893.66226190476186</v>
      </c>
      <c r="G866" s="6">
        <v>923.37404761904759</v>
      </c>
      <c r="H866" s="6">
        <v>29.711785714285714</v>
      </c>
      <c r="I866" s="6">
        <v>894.04761904761904</v>
      </c>
      <c r="J866" s="6"/>
    </row>
    <row r="867" spans="1:10" x14ac:dyDescent="0.3">
      <c r="A867" t="s">
        <v>408</v>
      </c>
      <c r="B867" t="s">
        <v>409</v>
      </c>
      <c r="C867" t="s">
        <v>603</v>
      </c>
      <c r="D867">
        <v>2017</v>
      </c>
      <c r="E867" t="s">
        <v>573</v>
      </c>
      <c r="F867" s="6">
        <v>1025.6369121242428</v>
      </c>
      <c r="G867" s="6">
        <v>1060.8058810878144</v>
      </c>
      <c r="H867" s="6">
        <v>35.169089858186986</v>
      </c>
      <c r="I867" s="6">
        <v>1026.1534948154947</v>
      </c>
      <c r="J867" s="6"/>
    </row>
    <row r="868" spans="1:10" x14ac:dyDescent="0.3">
      <c r="A868" t="s">
        <v>408</v>
      </c>
      <c r="B868" t="s">
        <v>409</v>
      </c>
      <c r="C868" t="s">
        <v>603</v>
      </c>
      <c r="D868">
        <v>2018</v>
      </c>
      <c r="E868" t="s">
        <v>573</v>
      </c>
      <c r="F868" s="6">
        <v>1014.6204734091607</v>
      </c>
      <c r="G868" s="6">
        <v>1062.5136181985858</v>
      </c>
      <c r="H868" s="6">
        <v>47.893144789425143</v>
      </c>
      <c r="I868" s="6">
        <v>1015.1859821703043</v>
      </c>
      <c r="J868" s="6"/>
    </row>
    <row r="869" spans="1:10" x14ac:dyDescent="0.3">
      <c r="A869" t="s">
        <v>408</v>
      </c>
      <c r="B869" t="s">
        <v>409</v>
      </c>
      <c r="C869" t="s">
        <v>603</v>
      </c>
      <c r="D869">
        <v>2019</v>
      </c>
      <c r="E869" t="s">
        <v>573</v>
      </c>
      <c r="F869" s="6">
        <v>1145.8830681818181</v>
      </c>
      <c r="G869" s="6">
        <v>1187.589318181818</v>
      </c>
      <c r="H869" s="6">
        <v>41.706249999999997</v>
      </c>
      <c r="I869" s="6">
        <v>1146.3636363636363</v>
      </c>
      <c r="J869" s="6"/>
    </row>
    <row r="870" spans="1:10" x14ac:dyDescent="0.3">
      <c r="A870" t="s">
        <v>408</v>
      </c>
      <c r="B870" t="s">
        <v>409</v>
      </c>
      <c r="C870" t="s">
        <v>603</v>
      </c>
      <c r="D870">
        <v>2020</v>
      </c>
      <c r="E870" t="s">
        <v>573</v>
      </c>
      <c r="F870" s="6">
        <v>1158.5227775386415</v>
      </c>
      <c r="G870" s="6">
        <v>1204.4011400796937</v>
      </c>
      <c r="H870" s="6">
        <v>45.878362541051864</v>
      </c>
      <c r="I870" s="6">
        <v>1159.1114668240186</v>
      </c>
      <c r="J870" s="6"/>
    </row>
    <row r="871" spans="1:10" x14ac:dyDescent="0.3">
      <c r="A871" t="s">
        <v>408</v>
      </c>
      <c r="B871" t="s">
        <v>409</v>
      </c>
      <c r="C871" t="s">
        <v>603</v>
      </c>
      <c r="D871">
        <v>2021</v>
      </c>
      <c r="E871" t="s">
        <v>573</v>
      </c>
      <c r="F871" s="6">
        <v>1436.5640279394645</v>
      </c>
      <c r="G871" s="6">
        <v>1511.1514551804423</v>
      </c>
      <c r="H871" s="6">
        <v>74.587427240977874</v>
      </c>
      <c r="I871" s="6">
        <v>1436.5541327124563</v>
      </c>
      <c r="J871" s="6"/>
    </row>
    <row r="872" spans="1:10" x14ac:dyDescent="0.3">
      <c r="A872" t="s">
        <v>408</v>
      </c>
      <c r="B872" t="s">
        <v>409</v>
      </c>
      <c r="C872" t="s">
        <v>603</v>
      </c>
      <c r="D872">
        <v>2022</v>
      </c>
      <c r="E872" t="s">
        <v>573</v>
      </c>
      <c r="F872" s="6">
        <v>1292.8145821488831</v>
      </c>
      <c r="G872" s="6">
        <v>1386.4175010084077</v>
      </c>
      <c r="H872" s="6">
        <v>93.603022872706788</v>
      </c>
      <c r="I872" s="6">
        <v>1292.7798417460233</v>
      </c>
      <c r="J872" s="6"/>
    </row>
    <row r="873" spans="1:10" x14ac:dyDescent="0.3">
      <c r="A873" t="s">
        <v>408</v>
      </c>
      <c r="B873" t="s">
        <v>409</v>
      </c>
      <c r="C873" t="s">
        <v>603</v>
      </c>
      <c r="D873">
        <v>2023</v>
      </c>
      <c r="E873" t="s">
        <v>573</v>
      </c>
      <c r="F873" s="6">
        <v>1491.6431655548013</v>
      </c>
      <c r="G873" s="6">
        <v>1588.7680305358253</v>
      </c>
      <c r="H873" s="6">
        <v>97.124864981023975</v>
      </c>
      <c r="I873" s="6">
        <v>1491.6697670147576</v>
      </c>
      <c r="J873" s="6"/>
    </row>
    <row r="874" spans="1:10" x14ac:dyDescent="0.3">
      <c r="A874" t="s">
        <v>408</v>
      </c>
      <c r="B874" t="s">
        <v>409</v>
      </c>
      <c r="C874" t="s">
        <v>603</v>
      </c>
      <c r="D874">
        <v>2024</v>
      </c>
      <c r="E874" t="s">
        <v>573</v>
      </c>
      <c r="F874" s="6">
        <v>1837.1396160184927</v>
      </c>
      <c r="G874" s="6">
        <v>1980.8309828091456</v>
      </c>
      <c r="H874" s="6">
        <v>143.69136679065275</v>
      </c>
      <c r="I874" s="6">
        <v>1837.1777703537093</v>
      </c>
      <c r="J874" s="6"/>
    </row>
    <row r="875" spans="1:10" x14ac:dyDescent="0.3">
      <c r="A875" t="s">
        <v>395</v>
      </c>
      <c r="B875" t="s">
        <v>396</v>
      </c>
      <c r="C875" t="s">
        <v>604</v>
      </c>
      <c r="D875">
        <v>2016</v>
      </c>
      <c r="E875" t="s">
        <v>573</v>
      </c>
      <c r="F875" s="6">
        <v>2.6253815378073676E-2</v>
      </c>
      <c r="G875" s="6">
        <v>2.6253815378073676E-2</v>
      </c>
      <c r="H875" s="6">
        <v>0</v>
      </c>
      <c r="I875" s="6"/>
      <c r="J875" s="6"/>
    </row>
    <row r="876" spans="1:10" x14ac:dyDescent="0.3">
      <c r="A876" t="s">
        <v>395</v>
      </c>
      <c r="B876" t="s">
        <v>396</v>
      </c>
      <c r="C876" t="s">
        <v>604</v>
      </c>
      <c r="D876">
        <v>2017</v>
      </c>
      <c r="E876" t="s">
        <v>573</v>
      </c>
      <c r="F876" s="6">
        <v>4.2935164988449966E-2</v>
      </c>
      <c r="G876" s="6">
        <v>4.4859659798981877E-2</v>
      </c>
      <c r="H876" s="6">
        <v>1.9244948105319147E-3</v>
      </c>
      <c r="I876" s="6"/>
      <c r="J876" s="6"/>
    </row>
    <row r="877" spans="1:10" x14ac:dyDescent="0.3">
      <c r="A877" t="s">
        <v>395</v>
      </c>
      <c r="B877" t="s">
        <v>396</v>
      </c>
      <c r="C877" t="s">
        <v>604</v>
      </c>
      <c r="D877">
        <v>2018</v>
      </c>
      <c r="E877" t="s">
        <v>573</v>
      </c>
      <c r="F877" s="6">
        <v>6.3079978362417549E-2</v>
      </c>
      <c r="G877" s="6">
        <v>6.6561716422148032E-2</v>
      </c>
      <c r="H877" s="6">
        <v>3.4817380597304869E-3</v>
      </c>
      <c r="I877" s="6"/>
      <c r="J877" s="6"/>
    </row>
    <row r="878" spans="1:10" x14ac:dyDescent="0.3">
      <c r="A878" t="s">
        <v>395</v>
      </c>
      <c r="B878" t="s">
        <v>396</v>
      </c>
      <c r="C878" t="s">
        <v>604</v>
      </c>
      <c r="D878">
        <v>2019</v>
      </c>
      <c r="E878" t="s">
        <v>573</v>
      </c>
      <c r="F878" s="6">
        <v>7.7055586104203877E-2</v>
      </c>
      <c r="G878" s="6">
        <v>7.9256479113414116E-2</v>
      </c>
      <c r="H878" s="6">
        <v>2.2008930092102439E-3</v>
      </c>
      <c r="I878" s="6"/>
      <c r="J878" s="6"/>
    </row>
    <row r="879" spans="1:10" x14ac:dyDescent="0.3">
      <c r="A879" t="s">
        <v>395</v>
      </c>
      <c r="B879" t="s">
        <v>396</v>
      </c>
      <c r="C879" t="s">
        <v>604</v>
      </c>
      <c r="D879">
        <v>2020</v>
      </c>
      <c r="E879" t="s">
        <v>573</v>
      </c>
      <c r="F879" s="6">
        <v>9.2146020363571293E-2</v>
      </c>
      <c r="G879" s="6">
        <v>9.7827725150283706E-2</v>
      </c>
      <c r="H879" s="6">
        <v>5.681704786712408E-3</v>
      </c>
      <c r="I879" s="6"/>
      <c r="J879" s="6"/>
    </row>
    <row r="880" spans="1:10" x14ac:dyDescent="0.3">
      <c r="A880" t="s">
        <v>395</v>
      </c>
      <c r="B880" t="s">
        <v>396</v>
      </c>
      <c r="C880" t="s">
        <v>604</v>
      </c>
      <c r="D880">
        <v>2021</v>
      </c>
      <c r="E880" t="s">
        <v>573</v>
      </c>
      <c r="F880" s="6">
        <v>0.15835727120304324</v>
      </c>
      <c r="G880" s="6">
        <v>0.16372300980150598</v>
      </c>
      <c r="H880" s="6">
        <v>5.3657385984627682E-3</v>
      </c>
      <c r="I880" s="6"/>
      <c r="J880" s="6"/>
    </row>
    <row r="881" spans="1:10" x14ac:dyDescent="0.3">
      <c r="A881" t="s">
        <v>395</v>
      </c>
      <c r="B881" t="s">
        <v>396</v>
      </c>
      <c r="C881" t="s">
        <v>604</v>
      </c>
      <c r="D881">
        <v>2022</v>
      </c>
      <c r="E881" t="s">
        <v>573</v>
      </c>
      <c r="F881" s="6">
        <v>0.15807844268844889</v>
      </c>
      <c r="G881" s="6">
        <v>0.16579244539643079</v>
      </c>
      <c r="H881" s="6">
        <v>7.7140027079818877E-3</v>
      </c>
      <c r="I881" s="6"/>
      <c r="J881" s="6"/>
    </row>
    <row r="882" spans="1:10" x14ac:dyDescent="0.3">
      <c r="A882" t="s">
        <v>395</v>
      </c>
      <c r="B882" t="s">
        <v>396</v>
      </c>
      <c r="C882" t="s">
        <v>604</v>
      </c>
      <c r="D882">
        <v>2023</v>
      </c>
      <c r="E882" t="s">
        <v>573</v>
      </c>
      <c r="F882" s="6">
        <v>0.19148001815052046</v>
      </c>
      <c r="G882" s="6">
        <v>0.19703479491971451</v>
      </c>
      <c r="H882" s="6">
        <v>5.5547767691940765E-3</v>
      </c>
      <c r="I882" s="6"/>
      <c r="J882" s="6"/>
    </row>
    <row r="883" spans="1:10" x14ac:dyDescent="0.3">
      <c r="A883" t="s">
        <v>395</v>
      </c>
      <c r="B883" t="s">
        <v>396</v>
      </c>
      <c r="C883" t="s">
        <v>604</v>
      </c>
      <c r="D883">
        <v>2024</v>
      </c>
      <c r="E883" t="s">
        <v>573</v>
      </c>
      <c r="F883" s="6">
        <v>0.23162843367705849</v>
      </c>
      <c r="G883" s="6">
        <v>0.23496955834858826</v>
      </c>
      <c r="H883" s="6">
        <v>3.3411246715297637E-3</v>
      </c>
      <c r="I883" s="6"/>
      <c r="J883" s="6"/>
    </row>
    <row r="884" spans="1:10" x14ac:dyDescent="0.3">
      <c r="A884" t="s">
        <v>400</v>
      </c>
      <c r="B884" t="s">
        <v>401</v>
      </c>
      <c r="C884" t="s">
        <v>605</v>
      </c>
      <c r="D884">
        <v>2002</v>
      </c>
      <c r="E884" t="s">
        <v>573</v>
      </c>
      <c r="F884" s="6">
        <v>0.28443370636544135</v>
      </c>
      <c r="G884" s="6">
        <v>0.28443370636544135</v>
      </c>
      <c r="H884" s="6">
        <v>0</v>
      </c>
      <c r="I884" s="6"/>
      <c r="J884" s="6"/>
    </row>
    <row r="885" spans="1:10" x14ac:dyDescent="0.3">
      <c r="A885" t="s">
        <v>400</v>
      </c>
      <c r="B885" t="s">
        <v>401</v>
      </c>
      <c r="C885" t="s">
        <v>605</v>
      </c>
      <c r="D885">
        <v>2003</v>
      </c>
      <c r="E885" t="s">
        <v>573</v>
      </c>
      <c r="F885" s="6">
        <v>1.0940137587908709</v>
      </c>
      <c r="G885" s="6">
        <v>1.0940137587908709</v>
      </c>
      <c r="H885" s="6">
        <v>0</v>
      </c>
      <c r="I885" s="6"/>
      <c r="J885" s="6"/>
    </row>
    <row r="886" spans="1:10" x14ac:dyDescent="0.3">
      <c r="A886" t="s">
        <v>400</v>
      </c>
      <c r="B886" t="s">
        <v>401</v>
      </c>
      <c r="C886" t="s">
        <v>605</v>
      </c>
      <c r="D886">
        <v>2004</v>
      </c>
      <c r="E886" t="s">
        <v>573</v>
      </c>
      <c r="F886" s="6">
        <v>2.6220904220309</v>
      </c>
      <c r="G886" s="6">
        <v>2.7785714806509794</v>
      </c>
      <c r="H886" s="6">
        <v>0.15648105862007938</v>
      </c>
      <c r="I886" s="6"/>
      <c r="J886" s="6"/>
    </row>
    <row r="887" spans="1:10" x14ac:dyDescent="0.3">
      <c r="A887" t="s">
        <v>400</v>
      </c>
      <c r="B887" t="s">
        <v>401</v>
      </c>
      <c r="C887" t="s">
        <v>605</v>
      </c>
      <c r="D887">
        <v>2005</v>
      </c>
      <c r="E887" t="s">
        <v>573</v>
      </c>
      <c r="F887" s="6">
        <v>4.6151901782262987</v>
      </c>
      <c r="G887" s="6">
        <v>4.7002829737663108</v>
      </c>
      <c r="H887" s="6">
        <v>8.5092795540012395E-2</v>
      </c>
      <c r="I887" s="6"/>
      <c r="J887" s="6"/>
    </row>
    <row r="888" spans="1:10" x14ac:dyDescent="0.3">
      <c r="A888" t="s">
        <v>400</v>
      </c>
      <c r="B888" t="s">
        <v>401</v>
      </c>
      <c r="C888" t="s">
        <v>605</v>
      </c>
      <c r="D888">
        <v>2006</v>
      </c>
      <c r="E888" t="s">
        <v>573</v>
      </c>
      <c r="F888" s="6">
        <v>6.3969239768205561</v>
      </c>
      <c r="G888" s="6">
        <v>6.6663720383695528</v>
      </c>
      <c r="H888" s="6">
        <v>0.26944806154899686</v>
      </c>
      <c r="I888" s="6"/>
      <c r="J888" s="6"/>
    </row>
    <row r="889" spans="1:10" x14ac:dyDescent="0.3">
      <c r="A889" t="s">
        <v>400</v>
      </c>
      <c r="B889" t="s">
        <v>401</v>
      </c>
      <c r="C889" t="s">
        <v>605</v>
      </c>
      <c r="D889">
        <v>2007</v>
      </c>
      <c r="E889" t="s">
        <v>573</v>
      </c>
      <c r="F889" s="6">
        <v>9.5478361842467869</v>
      </c>
      <c r="G889" s="6">
        <v>9.7322872838848369</v>
      </c>
      <c r="H889" s="6">
        <v>0.18445109963804729</v>
      </c>
      <c r="I889" s="6"/>
      <c r="J889" s="6"/>
    </row>
    <row r="890" spans="1:10" x14ac:dyDescent="0.3">
      <c r="A890" t="s">
        <v>400</v>
      </c>
      <c r="B890" t="s">
        <v>401</v>
      </c>
      <c r="C890" t="s">
        <v>605</v>
      </c>
      <c r="D890">
        <v>2008</v>
      </c>
      <c r="E890" t="s">
        <v>573</v>
      </c>
      <c r="F890" s="6">
        <v>9.9892129691782046</v>
      </c>
      <c r="G890" s="6">
        <v>10.394290682611631</v>
      </c>
      <c r="H890" s="6">
        <v>0.40507771343342747</v>
      </c>
      <c r="I890" s="6"/>
      <c r="J890" s="6"/>
    </row>
    <row r="891" spans="1:10" x14ac:dyDescent="0.3">
      <c r="A891" t="s">
        <v>400</v>
      </c>
      <c r="B891" t="s">
        <v>401</v>
      </c>
      <c r="C891" t="s">
        <v>605</v>
      </c>
      <c r="D891">
        <v>2009</v>
      </c>
      <c r="E891" t="s">
        <v>573</v>
      </c>
      <c r="F891" s="6">
        <v>8.5502565156473604</v>
      </c>
      <c r="G891" s="6">
        <v>8.9227623358946371</v>
      </c>
      <c r="H891" s="6">
        <v>0.37250582024727691</v>
      </c>
      <c r="I891" s="6"/>
      <c r="J891" s="6"/>
    </row>
    <row r="892" spans="1:10" x14ac:dyDescent="0.3">
      <c r="A892" t="s">
        <v>400</v>
      </c>
      <c r="B892" t="s">
        <v>401</v>
      </c>
      <c r="C892" t="s">
        <v>605</v>
      </c>
      <c r="D892">
        <v>2010</v>
      </c>
      <c r="E892" t="s">
        <v>573</v>
      </c>
      <c r="F892" s="6">
        <v>11.280679821938358</v>
      </c>
      <c r="G892" s="6">
        <v>12.046399641455679</v>
      </c>
      <c r="H892" s="6">
        <v>0.76571981951731982</v>
      </c>
      <c r="I892" s="6"/>
      <c r="J892" s="6"/>
    </row>
    <row r="893" spans="1:10" x14ac:dyDescent="0.3">
      <c r="A893" t="s">
        <v>400</v>
      </c>
      <c r="B893" t="s">
        <v>401</v>
      </c>
      <c r="C893" t="s">
        <v>605</v>
      </c>
      <c r="D893">
        <v>2011</v>
      </c>
      <c r="E893" t="s">
        <v>573</v>
      </c>
      <c r="F893" s="6">
        <v>14.734833241297476</v>
      </c>
      <c r="G893" s="6">
        <v>15.720539638224032</v>
      </c>
      <c r="H893" s="6">
        <v>0.98570639692655526</v>
      </c>
      <c r="I893" s="6"/>
      <c r="J893" s="6"/>
    </row>
    <row r="894" spans="1:10" x14ac:dyDescent="0.3">
      <c r="A894" t="s">
        <v>400</v>
      </c>
      <c r="B894" t="s">
        <v>401</v>
      </c>
      <c r="C894" t="s">
        <v>605</v>
      </c>
      <c r="D894">
        <v>2012</v>
      </c>
      <c r="E894" t="s">
        <v>573</v>
      </c>
      <c r="F894" s="6">
        <v>15.168055326002769</v>
      </c>
      <c r="G894" s="6">
        <v>16.037971001811577</v>
      </c>
      <c r="H894" s="6">
        <v>0.86991567580880902</v>
      </c>
      <c r="I894" s="6"/>
      <c r="J894" s="6"/>
    </row>
    <row r="895" spans="1:10" x14ac:dyDescent="0.3">
      <c r="A895" t="s">
        <v>400</v>
      </c>
      <c r="B895" t="s">
        <v>401</v>
      </c>
      <c r="C895" t="s">
        <v>605</v>
      </c>
      <c r="D895">
        <v>2013</v>
      </c>
      <c r="E895" t="s">
        <v>573</v>
      </c>
      <c r="F895" s="6">
        <v>18.503373768254761</v>
      </c>
      <c r="G895" s="6">
        <v>20.055347348877486</v>
      </c>
      <c r="H895" s="6">
        <v>1.5519735806227284</v>
      </c>
      <c r="I895" s="6"/>
      <c r="J895" s="6"/>
    </row>
    <row r="896" spans="1:10" x14ac:dyDescent="0.3">
      <c r="A896" t="s">
        <v>400</v>
      </c>
      <c r="B896" t="s">
        <v>401</v>
      </c>
      <c r="C896" t="s">
        <v>605</v>
      </c>
      <c r="D896">
        <v>2014</v>
      </c>
      <c r="E896" t="s">
        <v>573</v>
      </c>
      <c r="F896" s="6">
        <v>21.423594675108447</v>
      </c>
      <c r="G896" s="6">
        <v>23.219805663193227</v>
      </c>
      <c r="H896" s="6">
        <v>1.7962109880847796</v>
      </c>
      <c r="I896" s="6"/>
      <c r="J896" s="6"/>
    </row>
    <row r="897" spans="1:10" x14ac:dyDescent="0.3">
      <c r="A897" t="s">
        <v>400</v>
      </c>
      <c r="B897" t="s">
        <v>401</v>
      </c>
      <c r="C897" t="s">
        <v>605</v>
      </c>
      <c r="D897">
        <v>2015</v>
      </c>
      <c r="E897" t="s">
        <v>573</v>
      </c>
      <c r="F897" s="6">
        <v>20.60095678097596</v>
      </c>
      <c r="G897" s="6">
        <v>22.914621942502485</v>
      </c>
      <c r="H897" s="6">
        <v>2.3136651615265258</v>
      </c>
      <c r="I897" s="6"/>
      <c r="J897" s="6"/>
    </row>
    <row r="898" spans="1:10" x14ac:dyDescent="0.3">
      <c r="A898" t="s">
        <v>400</v>
      </c>
      <c r="B898" t="s">
        <v>401</v>
      </c>
      <c r="C898" t="s">
        <v>605</v>
      </c>
      <c r="D898">
        <v>2016</v>
      </c>
      <c r="E898" t="s">
        <v>573</v>
      </c>
      <c r="F898" s="6">
        <v>20.571769374010199</v>
      </c>
      <c r="G898" s="6">
        <v>22.144630967090723</v>
      </c>
      <c r="H898" s="6">
        <v>1.5728615930805241</v>
      </c>
      <c r="I898" s="6"/>
      <c r="J898" s="6"/>
    </row>
    <row r="899" spans="1:10" x14ac:dyDescent="0.3">
      <c r="A899" t="s">
        <v>400</v>
      </c>
      <c r="B899" t="s">
        <v>401</v>
      </c>
      <c r="C899" t="s">
        <v>605</v>
      </c>
      <c r="D899">
        <v>2017</v>
      </c>
      <c r="E899" t="s">
        <v>573</v>
      </c>
      <c r="F899" s="6">
        <v>24.515738151268145</v>
      </c>
      <c r="G899" s="6">
        <v>27.677864556688608</v>
      </c>
      <c r="H899" s="6">
        <v>3.1621264054204605</v>
      </c>
      <c r="I899" s="6"/>
      <c r="J899" s="6"/>
    </row>
    <row r="900" spans="1:10" x14ac:dyDescent="0.3">
      <c r="A900" t="s">
        <v>400</v>
      </c>
      <c r="B900" t="s">
        <v>401</v>
      </c>
      <c r="C900" t="s">
        <v>605</v>
      </c>
      <c r="D900">
        <v>2018</v>
      </c>
      <c r="E900" t="s">
        <v>573</v>
      </c>
      <c r="F900" s="6">
        <v>26.99983947502799</v>
      </c>
      <c r="G900" s="6">
        <v>29.362905446639978</v>
      </c>
      <c r="H900" s="6">
        <v>2.3630659716119893</v>
      </c>
      <c r="I900" s="6"/>
      <c r="J900" s="6"/>
    </row>
    <row r="901" spans="1:10" x14ac:dyDescent="0.3">
      <c r="A901" t="s">
        <v>400</v>
      </c>
      <c r="B901" t="s">
        <v>401</v>
      </c>
      <c r="C901" t="s">
        <v>605</v>
      </c>
      <c r="D901">
        <v>2019</v>
      </c>
      <c r="E901" t="s">
        <v>573</v>
      </c>
      <c r="F901" s="6">
        <v>27.878510417524499</v>
      </c>
      <c r="G901" s="6">
        <v>28.977840072469732</v>
      </c>
      <c r="H901" s="6">
        <v>1.0993296549452358</v>
      </c>
      <c r="I901" s="6"/>
      <c r="J901" s="6"/>
    </row>
    <row r="902" spans="1:10" x14ac:dyDescent="0.3">
      <c r="A902" t="s">
        <v>400</v>
      </c>
      <c r="B902" t="s">
        <v>401</v>
      </c>
      <c r="C902" t="s">
        <v>605</v>
      </c>
      <c r="D902">
        <v>2020</v>
      </c>
      <c r="E902" t="s">
        <v>573</v>
      </c>
      <c r="F902" s="6">
        <v>28.531549396974693</v>
      </c>
      <c r="G902" s="6">
        <v>31.066032535741197</v>
      </c>
      <c r="H902" s="6">
        <v>2.5344831387665057</v>
      </c>
      <c r="I902" s="6"/>
      <c r="J902" s="6"/>
    </row>
    <row r="903" spans="1:10" x14ac:dyDescent="0.3">
      <c r="A903" t="s">
        <v>400</v>
      </c>
      <c r="B903" t="s">
        <v>401</v>
      </c>
      <c r="C903" t="s">
        <v>605</v>
      </c>
      <c r="D903">
        <v>2021</v>
      </c>
      <c r="E903" t="s">
        <v>573</v>
      </c>
      <c r="F903" s="6">
        <v>40.574759513368228</v>
      </c>
      <c r="G903" s="6">
        <v>43.850474607440944</v>
      </c>
      <c r="H903" s="6">
        <v>3.2757150940727122</v>
      </c>
      <c r="I903" s="6"/>
      <c r="J903" s="6"/>
    </row>
    <row r="904" spans="1:10" ht="16.95" customHeight="1" x14ac:dyDescent="0.3">
      <c r="A904" t="s">
        <v>400</v>
      </c>
      <c r="B904" t="s">
        <v>401</v>
      </c>
      <c r="C904" t="s">
        <v>605</v>
      </c>
      <c r="D904">
        <v>2022</v>
      </c>
      <c r="E904" t="s">
        <v>573</v>
      </c>
      <c r="F904" s="6">
        <v>35.639784349691823</v>
      </c>
      <c r="G904" s="6">
        <v>42.053794645263103</v>
      </c>
      <c r="H904" s="6">
        <v>6.4140102955712814</v>
      </c>
      <c r="I904" s="6"/>
      <c r="J904" s="6"/>
    </row>
    <row r="905" spans="1:10" x14ac:dyDescent="0.3">
      <c r="A905" t="s">
        <v>400</v>
      </c>
      <c r="B905" t="s">
        <v>401</v>
      </c>
      <c r="C905" t="s">
        <v>605</v>
      </c>
      <c r="D905">
        <v>2023</v>
      </c>
      <c r="E905" t="s">
        <v>573</v>
      </c>
      <c r="F905" s="6">
        <v>39.715045691164448</v>
      </c>
      <c r="G905" s="6">
        <v>41.765547001319675</v>
      </c>
      <c r="H905" s="6">
        <v>2.050501310155223</v>
      </c>
      <c r="I905" s="6"/>
      <c r="J905" s="6"/>
    </row>
    <row r="906" spans="1:10" x14ac:dyDescent="0.3">
      <c r="A906" t="s">
        <v>400</v>
      </c>
      <c r="B906" t="s">
        <v>401</v>
      </c>
      <c r="C906" t="s">
        <v>605</v>
      </c>
      <c r="D906">
        <v>2024</v>
      </c>
      <c r="E906" t="s">
        <v>573</v>
      </c>
      <c r="F906" s="6">
        <v>45.279740217925465</v>
      </c>
      <c r="G906" s="6">
        <v>47.797313818004866</v>
      </c>
      <c r="H906" s="6">
        <v>2.5175736000794036</v>
      </c>
      <c r="I906" s="6"/>
      <c r="J906" s="6"/>
    </row>
    <row r="907" spans="1:10" x14ac:dyDescent="0.3">
      <c r="A907" t="s">
        <v>404</v>
      </c>
      <c r="B907" t="s">
        <v>405</v>
      </c>
      <c r="C907" t="s">
        <v>606</v>
      </c>
      <c r="D907">
        <v>2012</v>
      </c>
      <c r="E907" t="s">
        <v>573</v>
      </c>
      <c r="F907" s="6">
        <v>1</v>
      </c>
      <c r="G907" s="6">
        <v>1</v>
      </c>
      <c r="H907" s="6">
        <v>0</v>
      </c>
    </row>
    <row r="908" spans="1:10" x14ac:dyDescent="0.3">
      <c r="A908" t="s">
        <v>404</v>
      </c>
      <c r="B908" t="s">
        <v>405</v>
      </c>
      <c r="C908" t="s">
        <v>606</v>
      </c>
      <c r="D908">
        <v>2013</v>
      </c>
      <c r="E908" t="s">
        <v>573</v>
      </c>
      <c r="F908" s="6">
        <v>1.0783713862350988</v>
      </c>
      <c r="G908" s="6">
        <v>1.0816026970657617</v>
      </c>
      <c r="H908" s="6">
        <v>3.2313108306629449E-3</v>
      </c>
    </row>
    <row r="909" spans="1:10" x14ac:dyDescent="0.3">
      <c r="A909" t="s">
        <v>404</v>
      </c>
      <c r="B909" t="s">
        <v>405</v>
      </c>
      <c r="C909" t="s">
        <v>606</v>
      </c>
      <c r="D909">
        <v>2014</v>
      </c>
      <c r="E909" t="s">
        <v>573</v>
      </c>
      <c r="F909" s="6">
        <v>1.0818382480009787</v>
      </c>
      <c r="G909" s="6">
        <v>1.1216375890398518</v>
      </c>
      <c r="H909" s="6">
        <v>3.97993410388729E-2</v>
      </c>
    </row>
    <row r="910" spans="1:10" x14ac:dyDescent="0.3">
      <c r="A910" t="s">
        <v>404</v>
      </c>
      <c r="B910" t="s">
        <v>405</v>
      </c>
      <c r="C910" t="s">
        <v>606</v>
      </c>
      <c r="D910">
        <v>2015</v>
      </c>
      <c r="E910" t="s">
        <v>573</v>
      </c>
      <c r="F910" s="6">
        <v>1.0282995661511647</v>
      </c>
      <c r="G910" s="6">
        <v>1.1103432389161729</v>
      </c>
      <c r="H910" s="6">
        <v>8.2043672765008166E-2</v>
      </c>
    </row>
    <row r="911" spans="1:10" x14ac:dyDescent="0.3">
      <c r="A911" t="s">
        <v>404</v>
      </c>
      <c r="B911" t="s">
        <v>405</v>
      </c>
      <c r="C911" t="s">
        <v>606</v>
      </c>
      <c r="D911">
        <v>2016</v>
      </c>
      <c r="E911" t="s">
        <v>573</v>
      </c>
      <c r="F911" s="6">
        <v>1.5655113968093668</v>
      </c>
      <c r="G911" s="6">
        <v>1.660542249854039</v>
      </c>
      <c r="H911" s="6">
        <v>9.5030853044672028E-2</v>
      </c>
    </row>
    <row r="912" spans="1:10" x14ac:dyDescent="0.3">
      <c r="A912" t="s">
        <v>404</v>
      </c>
      <c r="B912" t="s">
        <v>405</v>
      </c>
      <c r="C912" t="s">
        <v>606</v>
      </c>
      <c r="D912">
        <v>2017</v>
      </c>
      <c r="E912" t="s">
        <v>573</v>
      </c>
      <c r="F912" s="6">
        <v>1.6385815727847304</v>
      </c>
      <c r="G912" s="6">
        <v>1.7459119147415172</v>
      </c>
      <c r="H912" s="6">
        <v>0.1073303419567867</v>
      </c>
    </row>
    <row r="913" spans="1:10" x14ac:dyDescent="0.3">
      <c r="A913" t="s">
        <v>404</v>
      </c>
      <c r="B913" t="s">
        <v>405</v>
      </c>
      <c r="C913" t="s">
        <v>606</v>
      </c>
      <c r="D913">
        <v>2018</v>
      </c>
      <c r="E913" t="s">
        <v>573</v>
      </c>
      <c r="F913" s="6">
        <v>1.7752901771639586</v>
      </c>
      <c r="G913" s="6">
        <v>2.0180692666744422</v>
      </c>
      <c r="H913" s="6">
        <v>0.24277908951048355</v>
      </c>
    </row>
    <row r="914" spans="1:10" x14ac:dyDescent="0.3">
      <c r="A914" t="s">
        <v>404</v>
      </c>
      <c r="B914" t="s">
        <v>405</v>
      </c>
      <c r="C914" t="s">
        <v>606</v>
      </c>
      <c r="D914">
        <v>2019</v>
      </c>
      <c r="E914" t="s">
        <v>573</v>
      </c>
      <c r="F914" s="6">
        <v>1.8882234386047225</v>
      </c>
      <c r="G914" s="6">
        <v>2.1173072158633657</v>
      </c>
      <c r="H914" s="6">
        <v>0.22908377725864312</v>
      </c>
    </row>
    <row r="915" spans="1:10" x14ac:dyDescent="0.3">
      <c r="A915" t="s">
        <v>404</v>
      </c>
      <c r="B915" t="s">
        <v>405</v>
      </c>
      <c r="C915" t="s">
        <v>606</v>
      </c>
      <c r="D915">
        <v>2020</v>
      </c>
      <c r="E915" t="s">
        <v>573</v>
      </c>
      <c r="F915" s="6">
        <v>2.1536350466596881</v>
      </c>
      <c r="G915" s="6">
        <v>2.7362081185962075</v>
      </c>
      <c r="H915" s="6">
        <v>0.58257307193651919</v>
      </c>
    </row>
    <row r="916" spans="1:10" x14ac:dyDescent="0.3">
      <c r="A916" t="s">
        <v>404</v>
      </c>
      <c r="B916" t="s">
        <v>405</v>
      </c>
      <c r="C916" t="s">
        <v>606</v>
      </c>
      <c r="D916">
        <v>2021</v>
      </c>
      <c r="E916" t="s">
        <v>573</v>
      </c>
      <c r="F916" s="6">
        <v>2.2927136098037653</v>
      </c>
      <c r="G916" s="6">
        <v>3.0607577152799936</v>
      </c>
      <c r="H916" s="6">
        <v>0.76804410547622848</v>
      </c>
    </row>
    <row r="917" spans="1:10" x14ac:dyDescent="0.3">
      <c r="A917" t="s">
        <v>404</v>
      </c>
      <c r="B917" t="s">
        <v>405</v>
      </c>
      <c r="C917" t="s">
        <v>606</v>
      </c>
      <c r="D917">
        <v>2022</v>
      </c>
      <c r="E917" t="s">
        <v>573</v>
      </c>
      <c r="F917" s="6">
        <v>2.3867102736471639</v>
      </c>
      <c r="G917" s="6">
        <v>2.4243166872936519</v>
      </c>
      <c r="H917" s="6">
        <v>3.7606413646487903E-2</v>
      </c>
    </row>
    <row r="918" spans="1:10" x14ac:dyDescent="0.3">
      <c r="A918" t="s">
        <v>404</v>
      </c>
      <c r="B918" t="s">
        <v>405</v>
      </c>
      <c r="C918" t="s">
        <v>606</v>
      </c>
      <c r="D918">
        <v>2023</v>
      </c>
      <c r="E918" t="s">
        <v>573</v>
      </c>
      <c r="F918" s="6">
        <v>3.4442479588700516</v>
      </c>
      <c r="G918" s="6">
        <v>3.5011933835104809</v>
      </c>
      <c r="H918" s="6">
        <v>5.6945424640429905E-2</v>
      </c>
    </row>
    <row r="919" spans="1:10" x14ac:dyDescent="0.3">
      <c r="A919" t="s">
        <v>404</v>
      </c>
      <c r="B919" t="s">
        <v>405</v>
      </c>
      <c r="C919" t="s">
        <v>606</v>
      </c>
      <c r="D919">
        <v>2024</v>
      </c>
      <c r="E919" t="s">
        <v>573</v>
      </c>
      <c r="F919" s="6">
        <v>2.9441377233403094</v>
      </c>
      <c r="G919" s="6">
        <v>2.9905048429137948</v>
      </c>
      <c r="H919" s="6">
        <v>4.6367119573485514E-2</v>
      </c>
    </row>
    <row r="920" spans="1:10" x14ac:dyDescent="0.3">
      <c r="A920" t="s">
        <v>425</v>
      </c>
      <c r="B920" t="s">
        <v>426</v>
      </c>
      <c r="C920" t="s">
        <v>607</v>
      </c>
      <c r="D920">
        <v>2012</v>
      </c>
      <c r="E920" t="s">
        <v>573</v>
      </c>
      <c r="F920" s="6"/>
      <c r="G920" s="6"/>
      <c r="H920" s="6"/>
    </row>
    <row r="921" spans="1:10" x14ac:dyDescent="0.3">
      <c r="A921" t="s">
        <v>425</v>
      </c>
      <c r="B921" t="s">
        <v>426</v>
      </c>
      <c r="C921" t="s">
        <v>607</v>
      </c>
      <c r="D921">
        <v>2013</v>
      </c>
      <c r="E921" t="s">
        <v>573</v>
      </c>
      <c r="F921" s="6">
        <v>1.2336060609999999</v>
      </c>
      <c r="G921" s="6">
        <v>1.408226813</v>
      </c>
      <c r="H921" s="6">
        <v>0.17462075199999999</v>
      </c>
      <c r="I921" s="6"/>
      <c r="J921" s="6"/>
    </row>
    <row r="922" spans="1:10" x14ac:dyDescent="0.3">
      <c r="A922" t="s">
        <v>425</v>
      </c>
      <c r="B922" t="s">
        <v>426</v>
      </c>
      <c r="C922" t="s">
        <v>607</v>
      </c>
      <c r="D922">
        <v>2014</v>
      </c>
      <c r="E922" t="s">
        <v>573</v>
      </c>
      <c r="F922" s="6">
        <v>1.2864237869999999</v>
      </c>
      <c r="G922" s="6">
        <v>1.4107506270000001</v>
      </c>
      <c r="H922" s="6">
        <v>0.12432683999999999</v>
      </c>
      <c r="I922" s="6"/>
      <c r="J922" s="6"/>
    </row>
    <row r="923" spans="1:10" x14ac:dyDescent="0.3">
      <c r="A923" t="s">
        <v>425</v>
      </c>
      <c r="B923" t="s">
        <v>426</v>
      </c>
      <c r="C923" t="s">
        <v>607</v>
      </c>
      <c r="D923">
        <v>2015</v>
      </c>
      <c r="E923" t="s">
        <v>573</v>
      </c>
      <c r="F923" s="6">
        <v>1.2249711249999999</v>
      </c>
      <c r="G923" s="6">
        <v>1.389501917</v>
      </c>
      <c r="H923" s="6">
        <v>0.16453079200000001</v>
      </c>
      <c r="I923" s="6"/>
      <c r="J923" s="6"/>
    </row>
    <row r="924" spans="1:10" x14ac:dyDescent="0.3">
      <c r="A924" t="s">
        <v>425</v>
      </c>
      <c r="B924" t="s">
        <v>426</v>
      </c>
      <c r="C924" t="s">
        <v>607</v>
      </c>
      <c r="D924">
        <v>2016</v>
      </c>
      <c r="E924" t="s">
        <v>573</v>
      </c>
      <c r="F924" s="6">
        <v>1.2650360030000001</v>
      </c>
      <c r="G924" s="6">
        <v>1.384378194</v>
      </c>
      <c r="H924" s="6">
        <v>0.119342191</v>
      </c>
      <c r="I924" s="6"/>
      <c r="J924" s="6"/>
    </row>
    <row r="925" spans="1:10" x14ac:dyDescent="0.3">
      <c r="A925" t="s">
        <v>425</v>
      </c>
      <c r="B925" t="s">
        <v>426</v>
      </c>
      <c r="C925" t="s">
        <v>607</v>
      </c>
      <c r="D925">
        <v>2017</v>
      </c>
      <c r="E925" t="s">
        <v>573</v>
      </c>
      <c r="F925" s="6">
        <v>1.3101606770000001</v>
      </c>
      <c r="G925" s="6">
        <v>1.374680747</v>
      </c>
      <c r="H925" s="6">
        <v>6.4520069999999999E-2</v>
      </c>
      <c r="I925" s="6"/>
      <c r="J925" s="6"/>
    </row>
    <row r="926" spans="1:10" x14ac:dyDescent="0.3">
      <c r="A926" t="s">
        <v>425</v>
      </c>
      <c r="B926" t="s">
        <v>426</v>
      </c>
      <c r="C926" t="s">
        <v>607</v>
      </c>
      <c r="D926">
        <v>2018</v>
      </c>
      <c r="E926" t="s">
        <v>573</v>
      </c>
      <c r="F926" s="6">
        <v>1.2749042509999999</v>
      </c>
      <c r="G926" s="6">
        <v>1.352387142</v>
      </c>
      <c r="H926" s="6">
        <v>7.7482890999999998E-2</v>
      </c>
      <c r="I926" s="6"/>
      <c r="J926" s="6"/>
    </row>
    <row r="927" spans="1:10" x14ac:dyDescent="0.3">
      <c r="A927" t="s">
        <v>425</v>
      </c>
      <c r="B927" t="s">
        <v>426</v>
      </c>
      <c r="C927" t="s">
        <v>607</v>
      </c>
      <c r="D927">
        <v>2019</v>
      </c>
      <c r="E927" t="s">
        <v>573</v>
      </c>
      <c r="F927" s="6">
        <v>1.393072466</v>
      </c>
      <c r="G927" s="6">
        <v>1.4604431579999999</v>
      </c>
      <c r="H927" s="6">
        <v>6.7370691999999996E-2</v>
      </c>
      <c r="I927" s="6"/>
      <c r="J927" s="6"/>
    </row>
    <row r="928" spans="1:10" x14ac:dyDescent="0.3">
      <c r="A928" t="s">
        <v>425</v>
      </c>
      <c r="B928" t="s">
        <v>426</v>
      </c>
      <c r="C928" t="s">
        <v>607</v>
      </c>
      <c r="D928">
        <v>2020</v>
      </c>
      <c r="E928" t="s">
        <v>573</v>
      </c>
      <c r="F928" s="6">
        <v>1.3806529869999999</v>
      </c>
      <c r="G928" s="6">
        <v>1.4726668979999999</v>
      </c>
      <c r="H928" s="6">
        <v>9.2013911000000004E-2</v>
      </c>
      <c r="I928" s="6"/>
      <c r="J928" s="6"/>
    </row>
    <row r="929" spans="1:10" x14ac:dyDescent="0.3">
      <c r="A929" t="s">
        <v>425</v>
      </c>
      <c r="B929" t="s">
        <v>426</v>
      </c>
      <c r="C929" t="s">
        <v>607</v>
      </c>
      <c r="D929">
        <v>2021</v>
      </c>
      <c r="E929" t="s">
        <v>573</v>
      </c>
      <c r="F929" s="6">
        <v>1.422360066</v>
      </c>
      <c r="G929" s="6">
        <v>1.4965239720000001</v>
      </c>
      <c r="H929" s="6">
        <v>7.4163906000000002E-2</v>
      </c>
      <c r="I929" s="6"/>
      <c r="J929" s="6"/>
    </row>
    <row r="930" spans="1:10" x14ac:dyDescent="0.3">
      <c r="A930" t="s">
        <v>425</v>
      </c>
      <c r="B930" t="s">
        <v>426</v>
      </c>
      <c r="C930" t="s">
        <v>607</v>
      </c>
      <c r="D930">
        <v>2022</v>
      </c>
      <c r="E930" t="s">
        <v>573</v>
      </c>
      <c r="F930" s="6">
        <v>1.2932511229999999</v>
      </c>
      <c r="G930" s="6">
        <v>1.45531287</v>
      </c>
      <c r="H930" s="6">
        <v>0.16206174700000001</v>
      </c>
      <c r="I930" s="6"/>
      <c r="J930" s="6"/>
    </row>
    <row r="931" spans="1:10" x14ac:dyDescent="0.3">
      <c r="A931" t="s">
        <v>425</v>
      </c>
      <c r="B931" t="s">
        <v>426</v>
      </c>
      <c r="C931" t="s">
        <v>607</v>
      </c>
      <c r="D931">
        <v>2023</v>
      </c>
      <c r="E931" t="s">
        <v>573</v>
      </c>
      <c r="F931" s="6">
        <v>1.416130106</v>
      </c>
      <c r="G931" s="6">
        <v>1.4782260810000001</v>
      </c>
      <c r="H931" s="6">
        <v>6.2095974999999998E-2</v>
      </c>
      <c r="I931" s="6"/>
      <c r="J931" s="6"/>
    </row>
    <row r="932" spans="1:10" x14ac:dyDescent="0.3">
      <c r="A932" t="s">
        <v>425</v>
      </c>
      <c r="B932" t="s">
        <v>426</v>
      </c>
      <c r="C932" t="s">
        <v>607</v>
      </c>
      <c r="D932">
        <v>2024</v>
      </c>
      <c r="E932" t="s">
        <v>573</v>
      </c>
      <c r="F932" s="6">
        <v>1.5421156949999999</v>
      </c>
      <c r="G932" s="6">
        <v>1.6283225480000001</v>
      </c>
      <c r="H932" s="6">
        <v>8.6206853E-2</v>
      </c>
      <c r="I932" s="6"/>
      <c r="J932" s="6"/>
    </row>
    <row r="933" spans="1:10" x14ac:dyDescent="0.3">
      <c r="A933" t="s">
        <v>430</v>
      </c>
      <c r="B933" t="s">
        <v>431</v>
      </c>
      <c r="C933" t="s">
        <v>608</v>
      </c>
      <c r="D933">
        <v>1999</v>
      </c>
      <c r="E933" t="s">
        <v>573</v>
      </c>
      <c r="F933" s="6"/>
      <c r="G933" s="6"/>
      <c r="H933" s="6"/>
      <c r="I933" s="6"/>
      <c r="J933" s="6"/>
    </row>
    <row r="934" spans="1:10" x14ac:dyDescent="0.3">
      <c r="A934" t="s">
        <v>430</v>
      </c>
      <c r="B934" t="s">
        <v>431</v>
      </c>
      <c r="C934" t="s">
        <v>608</v>
      </c>
      <c r="D934">
        <v>2000</v>
      </c>
      <c r="E934" t="s">
        <v>573</v>
      </c>
      <c r="F934" s="6"/>
      <c r="G934" s="6"/>
      <c r="H934" s="6"/>
      <c r="I934" s="6"/>
      <c r="J934" s="6"/>
    </row>
    <row r="935" spans="1:10" x14ac:dyDescent="0.3">
      <c r="A935" t="s">
        <v>430</v>
      </c>
      <c r="B935" t="s">
        <v>431</v>
      </c>
      <c r="C935" t="s">
        <v>608</v>
      </c>
      <c r="D935">
        <v>2001</v>
      </c>
      <c r="E935" t="s">
        <v>573</v>
      </c>
      <c r="F935" s="6"/>
      <c r="G935" s="6"/>
      <c r="H935" s="6"/>
      <c r="I935" s="6"/>
      <c r="J935" s="6"/>
    </row>
    <row r="936" spans="1:10" x14ac:dyDescent="0.3">
      <c r="A936" t="s">
        <v>430</v>
      </c>
      <c r="B936" t="s">
        <v>431</v>
      </c>
      <c r="C936" t="s">
        <v>608</v>
      </c>
      <c r="D936">
        <v>2002</v>
      </c>
      <c r="E936" t="s">
        <v>573</v>
      </c>
      <c r="F936" s="6"/>
      <c r="G936" s="6"/>
      <c r="H936" s="6"/>
      <c r="I936" s="6"/>
      <c r="J936" s="6"/>
    </row>
    <row r="937" spans="1:10" x14ac:dyDescent="0.3">
      <c r="A937" t="s">
        <v>430</v>
      </c>
      <c r="B937" t="s">
        <v>431</v>
      </c>
      <c r="C937" t="s">
        <v>608</v>
      </c>
      <c r="D937">
        <v>2003</v>
      </c>
      <c r="E937" t="s">
        <v>573</v>
      </c>
      <c r="F937" s="6"/>
      <c r="G937" s="6"/>
      <c r="H937" s="6"/>
      <c r="I937" s="6"/>
      <c r="J937" s="6"/>
    </row>
    <row r="938" spans="1:10" x14ac:dyDescent="0.3">
      <c r="A938" t="s">
        <v>430</v>
      </c>
      <c r="B938" t="s">
        <v>431</v>
      </c>
      <c r="C938" t="s">
        <v>608</v>
      </c>
      <c r="D938">
        <v>2004</v>
      </c>
      <c r="E938" t="s">
        <v>573</v>
      </c>
      <c r="F938" s="6"/>
      <c r="G938" s="6"/>
      <c r="H938" s="6"/>
      <c r="I938" s="6"/>
      <c r="J938" s="6"/>
    </row>
    <row r="939" spans="1:10" x14ac:dyDescent="0.3">
      <c r="A939" t="s">
        <v>430</v>
      </c>
      <c r="B939" t="s">
        <v>431</v>
      </c>
      <c r="C939" t="s">
        <v>608</v>
      </c>
      <c r="D939">
        <v>2005</v>
      </c>
      <c r="E939" t="s">
        <v>573</v>
      </c>
      <c r="F939" s="6"/>
      <c r="G939" s="6"/>
      <c r="H939" s="6"/>
      <c r="I939" s="6"/>
      <c r="J939" s="6"/>
    </row>
    <row r="940" spans="1:10" x14ac:dyDescent="0.3">
      <c r="A940" t="s">
        <v>430</v>
      </c>
      <c r="B940" t="s">
        <v>431</v>
      </c>
      <c r="C940" t="s">
        <v>608</v>
      </c>
      <c r="D940">
        <v>2006</v>
      </c>
      <c r="E940" t="s">
        <v>573</v>
      </c>
      <c r="G940" s="6">
        <v>0.33629777558999996</v>
      </c>
      <c r="H940" s="6"/>
      <c r="I940" s="6"/>
      <c r="J940" s="6"/>
    </row>
    <row r="941" spans="1:10" x14ac:dyDescent="0.3">
      <c r="A941" t="s">
        <v>430</v>
      </c>
      <c r="B941" t="s">
        <v>431</v>
      </c>
      <c r="C941" t="s">
        <v>608</v>
      </c>
      <c r="D941">
        <v>2007</v>
      </c>
      <c r="E941" t="s">
        <v>573</v>
      </c>
      <c r="G941" s="6">
        <v>0.48522596186</v>
      </c>
      <c r="H941" s="6"/>
      <c r="I941" s="6"/>
      <c r="J941" s="6"/>
    </row>
    <row r="942" spans="1:10" x14ac:dyDescent="0.3">
      <c r="A942" t="s">
        <v>430</v>
      </c>
      <c r="B942" t="s">
        <v>431</v>
      </c>
      <c r="C942" t="s">
        <v>608</v>
      </c>
      <c r="D942">
        <v>2008</v>
      </c>
      <c r="E942" t="s">
        <v>573</v>
      </c>
      <c r="G942" s="6">
        <v>1.8065645369300001</v>
      </c>
      <c r="H942" s="6"/>
      <c r="I942" s="6"/>
      <c r="J942" s="6"/>
    </row>
    <row r="943" spans="1:10" x14ac:dyDescent="0.3">
      <c r="A943" t="s">
        <v>430</v>
      </c>
      <c r="B943" t="s">
        <v>431</v>
      </c>
      <c r="C943" t="s">
        <v>608</v>
      </c>
      <c r="D943">
        <v>2009</v>
      </c>
      <c r="E943" t="s">
        <v>573</v>
      </c>
      <c r="G943" s="6">
        <v>1.8136593478599998</v>
      </c>
      <c r="H943" s="6"/>
      <c r="I943" s="6"/>
      <c r="J943" s="6"/>
    </row>
    <row r="944" spans="1:10" x14ac:dyDescent="0.3">
      <c r="A944" t="s">
        <v>430</v>
      </c>
      <c r="B944" t="s">
        <v>431</v>
      </c>
      <c r="C944" t="s">
        <v>608</v>
      </c>
      <c r="D944">
        <v>2010</v>
      </c>
      <c r="E944" t="s">
        <v>573</v>
      </c>
      <c r="G944" s="6">
        <v>2.1136477497300001</v>
      </c>
      <c r="H944" s="6"/>
      <c r="I944" s="6"/>
      <c r="J944" s="6"/>
    </row>
    <row r="945" spans="1:10" x14ac:dyDescent="0.3">
      <c r="A945" t="s">
        <v>430</v>
      </c>
      <c r="B945" t="s">
        <v>431</v>
      </c>
      <c r="C945" t="s">
        <v>608</v>
      </c>
      <c r="D945">
        <v>2011</v>
      </c>
      <c r="E945" t="s">
        <v>573</v>
      </c>
      <c r="G945" s="6">
        <v>5.6265592411899998</v>
      </c>
      <c r="H945" s="6"/>
      <c r="I945" s="6"/>
      <c r="J945" s="6"/>
    </row>
    <row r="946" spans="1:10" x14ac:dyDescent="0.3">
      <c r="A946" t="s">
        <v>430</v>
      </c>
      <c r="B946" t="s">
        <v>431</v>
      </c>
      <c r="C946" t="s">
        <v>608</v>
      </c>
      <c r="D946">
        <v>2012</v>
      </c>
      <c r="E946" t="s">
        <v>573</v>
      </c>
      <c r="G946" s="6">
        <v>7.1691234579599996</v>
      </c>
      <c r="H946" s="6"/>
      <c r="I946" s="6"/>
      <c r="J946" s="6"/>
    </row>
    <row r="947" spans="1:10" x14ac:dyDescent="0.3">
      <c r="A947" t="s">
        <v>430</v>
      </c>
      <c r="B947" t="s">
        <v>431</v>
      </c>
      <c r="C947" t="s">
        <v>608</v>
      </c>
      <c r="D947">
        <v>2013</v>
      </c>
      <c r="E947" t="s">
        <v>573</v>
      </c>
      <c r="G947" s="6">
        <v>8.5904239040999997</v>
      </c>
      <c r="H947" s="6"/>
      <c r="I947" s="6"/>
      <c r="J947" s="6"/>
    </row>
    <row r="948" spans="1:10" x14ac:dyDescent="0.3">
      <c r="A948" t="s">
        <v>430</v>
      </c>
      <c r="B948" t="s">
        <v>431</v>
      </c>
      <c r="C948" t="s">
        <v>608</v>
      </c>
      <c r="D948">
        <v>2014</v>
      </c>
      <c r="E948" t="s">
        <v>573</v>
      </c>
      <c r="G948" s="6">
        <v>9.1594782651699997</v>
      </c>
      <c r="H948" s="6"/>
      <c r="I948" s="6"/>
      <c r="J948" s="6"/>
    </row>
    <row r="949" spans="1:10" x14ac:dyDescent="0.3">
      <c r="A949" t="s">
        <v>430</v>
      </c>
      <c r="B949" t="s">
        <v>431</v>
      </c>
      <c r="C949" t="s">
        <v>608</v>
      </c>
      <c r="D949">
        <v>2015</v>
      </c>
      <c r="E949" t="s">
        <v>573</v>
      </c>
      <c r="G949" s="6">
        <v>7.9024648683900001</v>
      </c>
      <c r="H949" s="6"/>
      <c r="I949" s="6"/>
      <c r="J949" s="6"/>
    </row>
    <row r="950" spans="1:10" x14ac:dyDescent="0.3">
      <c r="A950" t="s">
        <v>430</v>
      </c>
      <c r="B950" t="s">
        <v>431</v>
      </c>
      <c r="C950" t="s">
        <v>608</v>
      </c>
      <c r="D950">
        <v>2016</v>
      </c>
      <c r="E950" t="s">
        <v>573</v>
      </c>
      <c r="G950" s="6">
        <v>8.2580167843499996</v>
      </c>
      <c r="H950" s="6"/>
      <c r="I950" s="6"/>
      <c r="J950" s="6"/>
    </row>
    <row r="951" spans="1:10" x14ac:dyDescent="0.3">
      <c r="A951" t="s">
        <v>430</v>
      </c>
      <c r="B951" t="s">
        <v>431</v>
      </c>
      <c r="C951" t="s">
        <v>608</v>
      </c>
      <c r="D951">
        <v>2017</v>
      </c>
      <c r="E951" t="s">
        <v>573</v>
      </c>
      <c r="G951" s="6">
        <v>6.3984613423800001</v>
      </c>
      <c r="H951" s="6"/>
      <c r="I951" s="6"/>
      <c r="J951" s="6"/>
    </row>
    <row r="952" spans="1:10" x14ac:dyDescent="0.3">
      <c r="A952" t="s">
        <v>430</v>
      </c>
      <c r="B952" t="s">
        <v>431</v>
      </c>
      <c r="C952" t="s">
        <v>608</v>
      </c>
      <c r="D952">
        <v>2018</v>
      </c>
      <c r="E952" t="s">
        <v>573</v>
      </c>
      <c r="G952" s="6">
        <v>5.7698215833500006</v>
      </c>
      <c r="H952" s="6"/>
      <c r="I952" s="6"/>
      <c r="J952" s="6"/>
    </row>
    <row r="953" spans="1:10" x14ac:dyDescent="0.3">
      <c r="A953" t="s">
        <v>430</v>
      </c>
      <c r="B953" t="s">
        <v>431</v>
      </c>
      <c r="C953" t="s">
        <v>608</v>
      </c>
      <c r="D953">
        <v>2019</v>
      </c>
      <c r="E953" t="s">
        <v>573</v>
      </c>
      <c r="G953" s="6">
        <v>5.4718766407200006</v>
      </c>
      <c r="H953" s="6"/>
      <c r="I953" s="6"/>
      <c r="J953" s="6"/>
    </row>
    <row r="954" spans="1:10" x14ac:dyDescent="0.3">
      <c r="A954" t="s">
        <v>430</v>
      </c>
      <c r="B954" t="s">
        <v>431</v>
      </c>
      <c r="C954" t="s">
        <v>608</v>
      </c>
      <c r="D954">
        <v>2020</v>
      </c>
      <c r="E954" t="s">
        <v>573</v>
      </c>
      <c r="G954" s="6">
        <v>1.0496558899999999E-3</v>
      </c>
      <c r="H954" s="6"/>
      <c r="I954" s="6"/>
      <c r="J954" s="6"/>
    </row>
    <row r="955" spans="1:10" x14ac:dyDescent="0.3">
      <c r="A955" t="s">
        <v>430</v>
      </c>
      <c r="B955" t="s">
        <v>431</v>
      </c>
      <c r="C955" t="s">
        <v>608</v>
      </c>
      <c r="D955">
        <v>2021</v>
      </c>
      <c r="E955" t="s">
        <v>573</v>
      </c>
      <c r="G955" s="6">
        <v>4.3117282099999999E-3</v>
      </c>
      <c r="H955" s="6"/>
      <c r="I955" s="6"/>
      <c r="J955" s="6"/>
    </row>
    <row r="956" spans="1:10" x14ac:dyDescent="0.3">
      <c r="A956" t="s">
        <v>430</v>
      </c>
      <c r="B956" t="s">
        <v>431</v>
      </c>
      <c r="C956" t="s">
        <v>608</v>
      </c>
      <c r="D956">
        <v>2022</v>
      </c>
      <c r="E956" t="s">
        <v>573</v>
      </c>
      <c r="G956" s="6">
        <v>1.5063309472399999</v>
      </c>
      <c r="H956" s="6"/>
      <c r="I956" s="6"/>
      <c r="J956" s="6"/>
    </row>
    <row r="957" spans="1:10" x14ac:dyDescent="0.3">
      <c r="A957" t="s">
        <v>430</v>
      </c>
      <c r="B957" t="s">
        <v>431</v>
      </c>
      <c r="C957" t="s">
        <v>608</v>
      </c>
      <c r="D957">
        <v>2023</v>
      </c>
      <c r="E957" t="s">
        <v>573</v>
      </c>
      <c r="G957" s="6">
        <v>3.2043571333499998</v>
      </c>
      <c r="H957" s="6"/>
      <c r="I957" s="6"/>
      <c r="J957" s="6"/>
    </row>
    <row r="958" spans="1:10" x14ac:dyDescent="0.3">
      <c r="A958" t="s">
        <v>430</v>
      </c>
      <c r="B958" t="s">
        <v>431</v>
      </c>
      <c r="C958" t="s">
        <v>608</v>
      </c>
      <c r="D958">
        <v>2024</v>
      </c>
      <c r="E958" t="s">
        <v>573</v>
      </c>
      <c r="G958" s="6">
        <v>3.2121859226900003</v>
      </c>
      <c r="H958" s="6"/>
      <c r="I958" s="6"/>
      <c r="J958" s="6"/>
    </row>
    <row r="959" spans="1:10" x14ac:dyDescent="0.3">
      <c r="A959" t="s">
        <v>436</v>
      </c>
      <c r="B959" t="s">
        <v>437</v>
      </c>
      <c r="C959" t="s">
        <v>609</v>
      </c>
      <c r="D959">
        <v>2016</v>
      </c>
      <c r="E959" t="s">
        <v>573</v>
      </c>
      <c r="G959" s="6"/>
      <c r="H959" s="6"/>
      <c r="I959" s="6"/>
      <c r="J959" s="6"/>
    </row>
    <row r="960" spans="1:10" x14ac:dyDescent="0.3">
      <c r="A960" t="s">
        <v>436</v>
      </c>
      <c r="B960" t="s">
        <v>437</v>
      </c>
      <c r="C960" t="s">
        <v>609</v>
      </c>
      <c r="D960">
        <v>2017</v>
      </c>
      <c r="E960" t="s">
        <v>573</v>
      </c>
      <c r="G960" s="6"/>
      <c r="H960" s="6"/>
      <c r="I960" s="6"/>
      <c r="J960" s="6"/>
    </row>
    <row r="961" spans="1:8" x14ac:dyDescent="0.3">
      <c r="A961" t="s">
        <v>436</v>
      </c>
      <c r="B961" t="s">
        <v>437</v>
      </c>
      <c r="C961" t="s">
        <v>609</v>
      </c>
      <c r="D961">
        <v>2018</v>
      </c>
      <c r="E961" t="s">
        <v>573</v>
      </c>
      <c r="F961" s="12">
        <v>0.82857948034134454</v>
      </c>
      <c r="G961" s="6">
        <v>1.633103904874053</v>
      </c>
      <c r="H961" s="6">
        <v>0.80452442453270845</v>
      </c>
    </row>
    <row r="962" spans="1:8" x14ac:dyDescent="0.3">
      <c r="A962" t="s">
        <v>436</v>
      </c>
      <c r="B962" t="s">
        <v>437</v>
      </c>
      <c r="C962" t="s">
        <v>609</v>
      </c>
      <c r="D962">
        <v>2019</v>
      </c>
      <c r="E962" t="s">
        <v>573</v>
      </c>
      <c r="F962" s="12">
        <v>0.7389611994139671</v>
      </c>
      <c r="G962" s="6">
        <v>1.6697381276900538</v>
      </c>
      <c r="H962" s="6">
        <v>0.9307769282760866</v>
      </c>
    </row>
    <row r="963" spans="1:8" x14ac:dyDescent="0.3">
      <c r="A963" t="s">
        <v>436</v>
      </c>
      <c r="B963" t="s">
        <v>437</v>
      </c>
      <c r="C963" t="s">
        <v>609</v>
      </c>
      <c r="D963">
        <v>2020</v>
      </c>
      <c r="E963" t="s">
        <v>573</v>
      </c>
      <c r="F963" s="12">
        <v>1.1435974000331304</v>
      </c>
      <c r="G963" s="6">
        <v>18.536252001799095</v>
      </c>
      <c r="H963" s="6">
        <v>17.392654601765965</v>
      </c>
    </row>
    <row r="964" spans="1:8" x14ac:dyDescent="0.3">
      <c r="A964" t="s">
        <v>436</v>
      </c>
      <c r="B964" t="s">
        <v>437</v>
      </c>
      <c r="C964" t="s">
        <v>609</v>
      </c>
      <c r="D964">
        <v>2021</v>
      </c>
      <c r="E964" t="s">
        <v>573</v>
      </c>
      <c r="F964" s="12">
        <v>3.3335165188687381</v>
      </c>
      <c r="G964" s="6">
        <v>23.130597520868523</v>
      </c>
      <c r="H964" s="6">
        <v>19.797081001999782</v>
      </c>
    </row>
    <row r="965" spans="1:8" x14ac:dyDescent="0.3">
      <c r="A965" t="s">
        <v>436</v>
      </c>
      <c r="B965" t="s">
        <v>437</v>
      </c>
      <c r="C965" t="s">
        <v>609</v>
      </c>
      <c r="D965">
        <v>2022</v>
      </c>
      <c r="E965" t="s">
        <v>573</v>
      </c>
      <c r="F965" s="12">
        <v>2.7644457146395114</v>
      </c>
      <c r="G965" s="6">
        <v>19.937021704632688</v>
      </c>
      <c r="H965" s="6">
        <v>17.17257621432119</v>
      </c>
    </row>
    <row r="966" spans="1:8" x14ac:dyDescent="0.3">
      <c r="A966" t="s">
        <v>436</v>
      </c>
      <c r="B966" t="s">
        <v>437</v>
      </c>
      <c r="C966" t="s">
        <v>609</v>
      </c>
      <c r="D966">
        <v>2023</v>
      </c>
      <c r="E966" t="s">
        <v>573</v>
      </c>
      <c r="F966" s="12">
        <v>3.7111674275531339</v>
      </c>
      <c r="G966" s="6">
        <v>22.036203311484947</v>
      </c>
      <c r="H966" s="6">
        <v>18.325035883931815</v>
      </c>
    </row>
    <row r="967" spans="1:8" x14ac:dyDescent="0.3">
      <c r="A967" t="s">
        <v>436</v>
      </c>
      <c r="B967" t="s">
        <v>437</v>
      </c>
      <c r="C967" t="s">
        <v>609</v>
      </c>
      <c r="D967">
        <v>2024</v>
      </c>
      <c r="E967" t="s">
        <v>573</v>
      </c>
      <c r="F967" s="12">
        <v>4.2441431748477623</v>
      </c>
      <c r="G967" s="6">
        <v>19.578765534318247</v>
      </c>
      <c r="H967" s="6">
        <v>15.334622610677346</v>
      </c>
    </row>
    <row r="968" spans="1:8" x14ac:dyDescent="0.3">
      <c r="A968" t="s">
        <v>444</v>
      </c>
      <c r="B968" t="s">
        <v>445</v>
      </c>
      <c r="C968" t="s">
        <v>610</v>
      </c>
      <c r="D968">
        <v>2008</v>
      </c>
      <c r="E968" t="s">
        <v>573</v>
      </c>
      <c r="G968" s="6">
        <v>103.99161143159724</v>
      </c>
    </row>
    <row r="969" spans="1:8" x14ac:dyDescent="0.3">
      <c r="A969" t="s">
        <v>444</v>
      </c>
      <c r="B969" t="s">
        <v>445</v>
      </c>
      <c r="C969" t="s">
        <v>610</v>
      </c>
      <c r="D969">
        <v>2009</v>
      </c>
      <c r="E969" t="s">
        <v>573</v>
      </c>
      <c r="G969" s="6">
        <v>87.23971624770482</v>
      </c>
    </row>
    <row r="970" spans="1:8" x14ac:dyDescent="0.3">
      <c r="A970" t="s">
        <v>444</v>
      </c>
      <c r="B970" t="s">
        <v>445</v>
      </c>
      <c r="C970" t="s">
        <v>610</v>
      </c>
      <c r="D970">
        <v>2010</v>
      </c>
      <c r="E970" t="s">
        <v>573</v>
      </c>
      <c r="G970" s="6">
        <v>88.76208841435303</v>
      </c>
    </row>
    <row r="971" spans="1:8" x14ac:dyDescent="0.3">
      <c r="A971" t="s">
        <v>444</v>
      </c>
      <c r="B971" t="s">
        <v>445</v>
      </c>
      <c r="C971" t="s">
        <v>610</v>
      </c>
      <c r="D971">
        <v>2011</v>
      </c>
      <c r="E971" t="s">
        <v>573</v>
      </c>
      <c r="G971" s="6">
        <v>95.105767614151901</v>
      </c>
    </row>
    <row r="972" spans="1:8" x14ac:dyDescent="0.3">
      <c r="A972" t="s">
        <v>444</v>
      </c>
      <c r="B972" t="s">
        <v>445</v>
      </c>
      <c r="C972" t="s">
        <v>610</v>
      </c>
      <c r="D972">
        <v>2012</v>
      </c>
      <c r="E972" t="s">
        <v>573</v>
      </c>
      <c r="G972" s="6">
        <v>87.245292856672691</v>
      </c>
    </row>
    <row r="973" spans="1:8" x14ac:dyDescent="0.3">
      <c r="A973" t="s">
        <v>444</v>
      </c>
      <c r="B973" t="s">
        <v>445</v>
      </c>
      <c r="C973" t="s">
        <v>610</v>
      </c>
      <c r="D973">
        <v>2013</v>
      </c>
      <c r="E973" t="s">
        <v>573</v>
      </c>
      <c r="G973" s="6">
        <v>91.108686270186325</v>
      </c>
    </row>
    <row r="974" spans="1:8" x14ac:dyDescent="0.3">
      <c r="A974" t="s">
        <v>444</v>
      </c>
      <c r="B974" t="s">
        <v>445</v>
      </c>
      <c r="C974" t="s">
        <v>610</v>
      </c>
      <c r="D974">
        <v>2014</v>
      </c>
      <c r="E974" t="s">
        <v>573</v>
      </c>
      <c r="G974" s="6">
        <v>114.3380579761276</v>
      </c>
    </row>
    <row r="975" spans="1:8" x14ac:dyDescent="0.3">
      <c r="A975" t="s">
        <v>444</v>
      </c>
      <c r="B975" t="s">
        <v>445</v>
      </c>
      <c r="C975" t="s">
        <v>610</v>
      </c>
      <c r="D975">
        <v>2015</v>
      </c>
      <c r="E975" t="s">
        <v>573</v>
      </c>
      <c r="G975" s="6">
        <v>85.779152953879915</v>
      </c>
    </row>
    <row r="976" spans="1:8" x14ac:dyDescent="0.3">
      <c r="A976" t="s">
        <v>444</v>
      </c>
      <c r="B976" t="s">
        <v>445</v>
      </c>
      <c r="C976" t="s">
        <v>610</v>
      </c>
      <c r="D976">
        <v>2016</v>
      </c>
      <c r="E976" t="s">
        <v>573</v>
      </c>
      <c r="G976" s="6">
        <v>65.007822574379318</v>
      </c>
    </row>
    <row r="977" spans="1:7" x14ac:dyDescent="0.3">
      <c r="A977" t="s">
        <v>444</v>
      </c>
      <c r="B977" t="s">
        <v>445</v>
      </c>
      <c r="C977" t="s">
        <v>610</v>
      </c>
      <c r="D977">
        <v>2017</v>
      </c>
      <c r="E977" t="s">
        <v>573</v>
      </c>
      <c r="G977" s="6">
        <v>64.32567514757605</v>
      </c>
    </row>
    <row r="978" spans="1:7" x14ac:dyDescent="0.3">
      <c r="A978" t="s">
        <v>444</v>
      </c>
      <c r="B978" t="s">
        <v>445</v>
      </c>
      <c r="C978" t="s">
        <v>610</v>
      </c>
      <c r="D978">
        <v>2018</v>
      </c>
      <c r="E978" t="s">
        <v>573</v>
      </c>
      <c r="G978" s="6">
        <v>64.403549300098788</v>
      </c>
    </row>
    <row r="979" spans="1:7" x14ac:dyDescent="0.3">
      <c r="A979" t="s">
        <v>444</v>
      </c>
      <c r="B979" t="s">
        <v>445</v>
      </c>
      <c r="C979" t="s">
        <v>610</v>
      </c>
      <c r="D979">
        <v>2019</v>
      </c>
      <c r="E979" t="s">
        <v>573</v>
      </c>
      <c r="G979" s="6">
        <v>120.07014155284574</v>
      </c>
    </row>
    <row r="980" spans="1:7" x14ac:dyDescent="0.3">
      <c r="A980" t="s">
        <v>444</v>
      </c>
      <c r="B980" t="s">
        <v>445</v>
      </c>
      <c r="C980" t="s">
        <v>610</v>
      </c>
      <c r="D980">
        <v>2020</v>
      </c>
      <c r="E980" t="s">
        <v>573</v>
      </c>
      <c r="G980" s="6">
        <v>187.86043835294987</v>
      </c>
    </row>
    <row r="981" spans="1:7" x14ac:dyDescent="0.3">
      <c r="A981" t="s">
        <v>444</v>
      </c>
      <c r="B981" t="s">
        <v>445</v>
      </c>
      <c r="C981" t="s">
        <v>610</v>
      </c>
      <c r="D981">
        <v>2021</v>
      </c>
      <c r="E981" t="s">
        <v>573</v>
      </c>
      <c r="G981" s="6">
        <v>184.17581582078998</v>
      </c>
    </row>
    <row r="982" spans="1:7" x14ac:dyDescent="0.3">
      <c r="A982" t="s">
        <v>444</v>
      </c>
      <c r="B982" t="s">
        <v>445</v>
      </c>
      <c r="C982" t="s">
        <v>610</v>
      </c>
      <c r="D982">
        <v>2022</v>
      </c>
      <c r="E982" t="s">
        <v>573</v>
      </c>
      <c r="G982" s="6">
        <v>152.36313268289351</v>
      </c>
    </row>
    <row r="983" spans="1:7" x14ac:dyDescent="0.3">
      <c r="A983" t="s">
        <v>444</v>
      </c>
      <c r="B983" t="s">
        <v>445</v>
      </c>
      <c r="C983" t="s">
        <v>610</v>
      </c>
      <c r="D983">
        <v>2023</v>
      </c>
      <c r="E983" t="s">
        <v>573</v>
      </c>
      <c r="G983" s="6">
        <v>140.49774071795628</v>
      </c>
    </row>
    <row r="984" spans="1:7" x14ac:dyDescent="0.3">
      <c r="A984" t="s">
        <v>444</v>
      </c>
      <c r="B984" t="s">
        <v>445</v>
      </c>
      <c r="C984" t="s">
        <v>610</v>
      </c>
      <c r="D984">
        <v>2024</v>
      </c>
      <c r="E984" t="s">
        <v>573</v>
      </c>
      <c r="G984" s="6">
        <v>128.35939424585436</v>
      </c>
    </row>
    <row r="985" spans="1:7" x14ac:dyDescent="0.3">
      <c r="A985" t="s">
        <v>457</v>
      </c>
      <c r="B985" t="s">
        <v>458</v>
      </c>
      <c r="C985" t="s">
        <v>611</v>
      </c>
      <c r="D985">
        <v>1971</v>
      </c>
      <c r="E985" t="s">
        <v>573</v>
      </c>
      <c r="G985" s="6"/>
    </row>
    <row r="986" spans="1:7" x14ac:dyDescent="0.3">
      <c r="A986" t="s">
        <v>457</v>
      </c>
      <c r="B986" t="s">
        <v>458</v>
      </c>
      <c r="C986" t="s">
        <v>611</v>
      </c>
      <c r="D986">
        <v>1972</v>
      </c>
      <c r="E986" t="s">
        <v>573</v>
      </c>
      <c r="G986" s="6"/>
    </row>
    <row r="987" spans="1:7" x14ac:dyDescent="0.3">
      <c r="A987" t="s">
        <v>457</v>
      </c>
      <c r="B987" t="s">
        <v>458</v>
      </c>
      <c r="C987" t="s">
        <v>611</v>
      </c>
      <c r="D987">
        <v>1973</v>
      </c>
      <c r="E987" t="s">
        <v>573</v>
      </c>
      <c r="G987" s="6"/>
    </row>
    <row r="988" spans="1:7" x14ac:dyDescent="0.3">
      <c r="A988" t="s">
        <v>457</v>
      </c>
      <c r="B988" t="s">
        <v>458</v>
      </c>
      <c r="C988" t="s">
        <v>611</v>
      </c>
      <c r="D988">
        <v>1974</v>
      </c>
      <c r="E988" t="s">
        <v>573</v>
      </c>
      <c r="G988" s="6"/>
    </row>
    <row r="989" spans="1:7" x14ac:dyDescent="0.3">
      <c r="A989" t="s">
        <v>457</v>
      </c>
      <c r="B989" t="s">
        <v>458</v>
      </c>
      <c r="C989" t="s">
        <v>611</v>
      </c>
      <c r="D989">
        <v>1975</v>
      </c>
      <c r="E989" t="s">
        <v>573</v>
      </c>
      <c r="G989" s="6"/>
    </row>
    <row r="990" spans="1:7" x14ac:dyDescent="0.3">
      <c r="A990" t="s">
        <v>457</v>
      </c>
      <c r="B990" t="s">
        <v>458</v>
      </c>
      <c r="C990" t="s">
        <v>611</v>
      </c>
      <c r="D990">
        <v>1976</v>
      </c>
      <c r="E990" t="s">
        <v>573</v>
      </c>
      <c r="G990" s="6"/>
    </row>
    <row r="991" spans="1:7" x14ac:dyDescent="0.3">
      <c r="A991" t="s">
        <v>457</v>
      </c>
      <c r="B991" t="s">
        <v>458</v>
      </c>
      <c r="C991" t="s">
        <v>611</v>
      </c>
      <c r="D991">
        <v>1977</v>
      </c>
      <c r="E991" t="s">
        <v>573</v>
      </c>
      <c r="G991" s="6"/>
    </row>
    <row r="992" spans="1:7" x14ac:dyDescent="0.3">
      <c r="A992" t="s">
        <v>457</v>
      </c>
      <c r="B992" t="s">
        <v>458</v>
      </c>
      <c r="C992" t="s">
        <v>611</v>
      </c>
      <c r="D992">
        <v>1978</v>
      </c>
      <c r="E992" t="s">
        <v>573</v>
      </c>
      <c r="G992" s="6"/>
    </row>
    <row r="993" spans="1:7" x14ac:dyDescent="0.3">
      <c r="A993" t="s">
        <v>457</v>
      </c>
      <c r="B993" t="s">
        <v>458</v>
      </c>
      <c r="C993" t="s">
        <v>611</v>
      </c>
      <c r="D993">
        <v>1979</v>
      </c>
      <c r="E993" t="s">
        <v>573</v>
      </c>
      <c r="G993" s="6"/>
    </row>
    <row r="994" spans="1:7" x14ac:dyDescent="0.3">
      <c r="A994" t="s">
        <v>457</v>
      </c>
      <c r="B994" t="s">
        <v>458</v>
      </c>
      <c r="C994" t="s">
        <v>611</v>
      </c>
      <c r="D994">
        <v>1980</v>
      </c>
      <c r="E994" t="s">
        <v>573</v>
      </c>
      <c r="G994" s="6"/>
    </row>
    <row r="995" spans="1:7" x14ac:dyDescent="0.3">
      <c r="A995" t="s">
        <v>457</v>
      </c>
      <c r="B995" t="s">
        <v>458</v>
      </c>
      <c r="C995" t="s">
        <v>611</v>
      </c>
      <c r="D995">
        <v>1981</v>
      </c>
      <c r="E995" t="s">
        <v>573</v>
      </c>
      <c r="G995" s="6"/>
    </row>
    <row r="996" spans="1:7" x14ac:dyDescent="0.3">
      <c r="A996" t="s">
        <v>457</v>
      </c>
      <c r="B996" t="s">
        <v>458</v>
      </c>
      <c r="C996" t="s">
        <v>611</v>
      </c>
      <c r="D996">
        <v>1982</v>
      </c>
      <c r="E996" t="s">
        <v>573</v>
      </c>
      <c r="G996" s="6"/>
    </row>
    <row r="997" spans="1:7" x14ac:dyDescent="0.3">
      <c r="A997" t="s">
        <v>457</v>
      </c>
      <c r="B997" t="s">
        <v>458</v>
      </c>
      <c r="C997" t="s">
        <v>611</v>
      </c>
      <c r="D997">
        <v>1983</v>
      </c>
      <c r="E997" t="s">
        <v>573</v>
      </c>
      <c r="G997" s="6"/>
    </row>
    <row r="998" spans="1:7" x14ac:dyDescent="0.3">
      <c r="A998" t="s">
        <v>457</v>
      </c>
      <c r="B998" t="s">
        <v>458</v>
      </c>
      <c r="C998" t="s">
        <v>611</v>
      </c>
      <c r="D998">
        <v>1984</v>
      </c>
      <c r="E998" t="s">
        <v>573</v>
      </c>
      <c r="G998" s="6"/>
    </row>
    <row r="999" spans="1:7" x14ac:dyDescent="0.3">
      <c r="A999" t="s">
        <v>457</v>
      </c>
      <c r="B999" t="s">
        <v>458</v>
      </c>
      <c r="C999" t="s">
        <v>611</v>
      </c>
      <c r="D999">
        <v>1985</v>
      </c>
      <c r="E999" t="s">
        <v>573</v>
      </c>
      <c r="G999" s="6"/>
    </row>
    <row r="1000" spans="1:7" x14ac:dyDescent="0.3">
      <c r="A1000" t="s">
        <v>457</v>
      </c>
      <c r="B1000" t="s">
        <v>458</v>
      </c>
      <c r="C1000" t="s">
        <v>611</v>
      </c>
      <c r="D1000">
        <v>1986</v>
      </c>
      <c r="E1000" t="s">
        <v>573</v>
      </c>
      <c r="G1000" s="6"/>
    </row>
    <row r="1001" spans="1:7" x14ac:dyDescent="0.3">
      <c r="A1001" t="s">
        <v>457</v>
      </c>
      <c r="B1001" t="s">
        <v>458</v>
      </c>
      <c r="C1001" t="s">
        <v>611</v>
      </c>
      <c r="D1001">
        <v>1987</v>
      </c>
      <c r="E1001" t="s">
        <v>573</v>
      </c>
      <c r="G1001" s="6"/>
    </row>
    <row r="1002" spans="1:7" x14ac:dyDescent="0.3">
      <c r="A1002" t="s">
        <v>457</v>
      </c>
      <c r="B1002" t="s">
        <v>458</v>
      </c>
      <c r="C1002" t="s">
        <v>611</v>
      </c>
      <c r="D1002">
        <v>1988</v>
      </c>
      <c r="E1002" t="s">
        <v>573</v>
      </c>
      <c r="G1002" s="6"/>
    </row>
    <row r="1003" spans="1:7" x14ac:dyDescent="0.3">
      <c r="A1003" t="s">
        <v>457</v>
      </c>
      <c r="B1003" t="s">
        <v>458</v>
      </c>
      <c r="C1003" t="s">
        <v>611</v>
      </c>
      <c r="D1003">
        <v>1989</v>
      </c>
      <c r="E1003" t="s">
        <v>573</v>
      </c>
      <c r="G1003" s="6"/>
    </row>
    <row r="1004" spans="1:7" x14ac:dyDescent="0.3">
      <c r="A1004" t="s">
        <v>457</v>
      </c>
      <c r="B1004" t="s">
        <v>458</v>
      </c>
      <c r="C1004" t="s">
        <v>611</v>
      </c>
      <c r="D1004">
        <v>1990</v>
      </c>
      <c r="E1004" t="s">
        <v>573</v>
      </c>
      <c r="G1004" s="6"/>
    </row>
    <row r="1005" spans="1:7" x14ac:dyDescent="0.3">
      <c r="A1005" t="s">
        <v>457</v>
      </c>
      <c r="B1005" t="s">
        <v>458</v>
      </c>
      <c r="C1005" t="s">
        <v>611</v>
      </c>
      <c r="D1005">
        <v>1991</v>
      </c>
      <c r="E1005" t="s">
        <v>573</v>
      </c>
      <c r="G1005" s="6"/>
    </row>
    <row r="1006" spans="1:7" x14ac:dyDescent="0.3">
      <c r="A1006" t="s">
        <v>457</v>
      </c>
      <c r="B1006" t="s">
        <v>458</v>
      </c>
      <c r="C1006" t="s">
        <v>611</v>
      </c>
      <c r="D1006">
        <v>1992</v>
      </c>
      <c r="E1006" t="s">
        <v>573</v>
      </c>
      <c r="G1006" s="6"/>
    </row>
    <row r="1007" spans="1:7" x14ac:dyDescent="0.3">
      <c r="A1007" t="s">
        <v>457</v>
      </c>
      <c r="B1007" t="s">
        <v>458</v>
      </c>
      <c r="C1007" t="s">
        <v>611</v>
      </c>
      <c r="D1007">
        <v>1993</v>
      </c>
      <c r="E1007" t="s">
        <v>573</v>
      </c>
      <c r="G1007" s="6"/>
    </row>
    <row r="1008" spans="1:7" x14ac:dyDescent="0.3">
      <c r="A1008" t="s">
        <v>457</v>
      </c>
      <c r="B1008" t="s">
        <v>458</v>
      </c>
      <c r="C1008" t="s">
        <v>611</v>
      </c>
      <c r="D1008">
        <v>1994</v>
      </c>
      <c r="E1008" t="s">
        <v>573</v>
      </c>
      <c r="G1008" s="6"/>
    </row>
    <row r="1009" spans="1:7" x14ac:dyDescent="0.3">
      <c r="A1009" t="s">
        <v>457</v>
      </c>
      <c r="B1009" t="s">
        <v>458</v>
      </c>
      <c r="C1009" t="s">
        <v>611</v>
      </c>
      <c r="D1009">
        <v>1995</v>
      </c>
      <c r="E1009" t="s">
        <v>573</v>
      </c>
      <c r="G1009" s="6"/>
    </row>
    <row r="1010" spans="1:7" x14ac:dyDescent="0.3">
      <c r="A1010" t="s">
        <v>457</v>
      </c>
      <c r="B1010" t="s">
        <v>458</v>
      </c>
      <c r="C1010" t="s">
        <v>611</v>
      </c>
      <c r="D1010">
        <v>1996</v>
      </c>
      <c r="E1010" t="s">
        <v>573</v>
      </c>
      <c r="G1010" s="6"/>
    </row>
    <row r="1011" spans="1:7" x14ac:dyDescent="0.3">
      <c r="A1011" t="s">
        <v>457</v>
      </c>
      <c r="B1011" t="s">
        <v>458</v>
      </c>
      <c r="C1011" t="s">
        <v>611</v>
      </c>
      <c r="D1011">
        <v>1997</v>
      </c>
      <c r="E1011" t="s">
        <v>573</v>
      </c>
      <c r="G1011" s="6"/>
    </row>
    <row r="1012" spans="1:7" x14ac:dyDescent="0.3">
      <c r="A1012" t="s">
        <v>457</v>
      </c>
      <c r="B1012" t="s">
        <v>458</v>
      </c>
      <c r="C1012" t="s">
        <v>611</v>
      </c>
      <c r="D1012">
        <v>1998</v>
      </c>
      <c r="E1012" t="s">
        <v>573</v>
      </c>
      <c r="G1012" s="6"/>
    </row>
    <row r="1013" spans="1:7" x14ac:dyDescent="0.3">
      <c r="A1013" t="s">
        <v>457</v>
      </c>
      <c r="B1013" t="s">
        <v>458</v>
      </c>
      <c r="C1013" t="s">
        <v>611</v>
      </c>
      <c r="D1013">
        <v>1999</v>
      </c>
      <c r="E1013" t="s">
        <v>573</v>
      </c>
      <c r="G1013" s="6"/>
    </row>
    <row r="1014" spans="1:7" x14ac:dyDescent="0.3">
      <c r="A1014" t="s">
        <v>457</v>
      </c>
      <c r="B1014" t="s">
        <v>458</v>
      </c>
      <c r="C1014" t="s">
        <v>611</v>
      </c>
      <c r="D1014">
        <v>2000</v>
      </c>
      <c r="E1014" t="s">
        <v>573</v>
      </c>
      <c r="G1014" s="6"/>
    </row>
    <row r="1015" spans="1:7" x14ac:dyDescent="0.3">
      <c r="A1015" t="s">
        <v>457</v>
      </c>
      <c r="B1015" t="s">
        <v>458</v>
      </c>
      <c r="C1015" t="s">
        <v>611</v>
      </c>
      <c r="D1015">
        <v>2001</v>
      </c>
      <c r="E1015" t="s">
        <v>573</v>
      </c>
      <c r="G1015" s="6"/>
    </row>
    <row r="1016" spans="1:7" x14ac:dyDescent="0.3">
      <c r="A1016" t="s">
        <v>457</v>
      </c>
      <c r="B1016" t="s">
        <v>458</v>
      </c>
      <c r="C1016" t="s">
        <v>611</v>
      </c>
      <c r="D1016">
        <v>2002</v>
      </c>
      <c r="E1016" t="s">
        <v>573</v>
      </c>
      <c r="G1016" s="6"/>
    </row>
    <row r="1017" spans="1:7" x14ac:dyDescent="0.3">
      <c r="A1017" t="s">
        <v>457</v>
      </c>
      <c r="B1017" t="s">
        <v>458</v>
      </c>
      <c r="C1017" t="s">
        <v>611</v>
      </c>
      <c r="D1017">
        <v>2003</v>
      </c>
      <c r="E1017" t="s">
        <v>573</v>
      </c>
      <c r="G1017" s="6"/>
    </row>
    <row r="1018" spans="1:7" x14ac:dyDescent="0.3">
      <c r="A1018" t="s">
        <v>457</v>
      </c>
      <c r="B1018" t="s">
        <v>458</v>
      </c>
      <c r="C1018" t="s">
        <v>611</v>
      </c>
      <c r="D1018">
        <v>2004</v>
      </c>
      <c r="E1018" t="s">
        <v>573</v>
      </c>
      <c r="G1018" s="6"/>
    </row>
    <row r="1019" spans="1:7" x14ac:dyDescent="0.3">
      <c r="A1019" t="s">
        <v>457</v>
      </c>
      <c r="B1019" t="s">
        <v>458</v>
      </c>
      <c r="C1019" t="s">
        <v>611</v>
      </c>
      <c r="D1019">
        <v>2005</v>
      </c>
      <c r="E1019" t="s">
        <v>573</v>
      </c>
      <c r="G1019" s="6"/>
    </row>
    <row r="1020" spans="1:7" x14ac:dyDescent="0.3">
      <c r="A1020" t="s">
        <v>457</v>
      </c>
      <c r="B1020" t="s">
        <v>458</v>
      </c>
      <c r="C1020" t="s">
        <v>611</v>
      </c>
      <c r="D1020">
        <v>2006</v>
      </c>
      <c r="E1020" t="s">
        <v>573</v>
      </c>
      <c r="G1020" s="6"/>
    </row>
    <row r="1021" spans="1:7" x14ac:dyDescent="0.3">
      <c r="A1021" t="s">
        <v>457</v>
      </c>
      <c r="B1021" t="s">
        <v>458</v>
      </c>
      <c r="C1021" t="s">
        <v>611</v>
      </c>
      <c r="D1021">
        <v>2007</v>
      </c>
      <c r="E1021" t="s">
        <v>573</v>
      </c>
      <c r="G1021" s="6"/>
    </row>
    <row r="1022" spans="1:7" x14ac:dyDescent="0.3">
      <c r="A1022" t="s">
        <v>457</v>
      </c>
      <c r="B1022" t="s">
        <v>458</v>
      </c>
      <c r="C1022" t="s">
        <v>611</v>
      </c>
      <c r="D1022">
        <v>2008</v>
      </c>
      <c r="E1022" t="s">
        <v>573</v>
      </c>
      <c r="G1022" s="6"/>
    </row>
    <row r="1023" spans="1:7" x14ac:dyDescent="0.3">
      <c r="A1023" t="s">
        <v>457</v>
      </c>
      <c r="B1023" t="s">
        <v>458</v>
      </c>
      <c r="C1023" t="s">
        <v>611</v>
      </c>
      <c r="D1023">
        <v>2009</v>
      </c>
      <c r="E1023" t="s">
        <v>573</v>
      </c>
      <c r="G1023" s="6"/>
    </row>
    <row r="1024" spans="1:7" x14ac:dyDescent="0.3">
      <c r="A1024" t="s">
        <v>457</v>
      </c>
      <c r="B1024" t="s">
        <v>458</v>
      </c>
      <c r="C1024" t="s">
        <v>611</v>
      </c>
      <c r="D1024">
        <v>2010</v>
      </c>
      <c r="E1024" t="s">
        <v>573</v>
      </c>
      <c r="G1024" s="6"/>
    </row>
    <row r="1025" spans="1:10" x14ac:dyDescent="0.3">
      <c r="A1025" t="s">
        <v>457</v>
      </c>
      <c r="B1025" t="s">
        <v>458</v>
      </c>
      <c r="C1025" t="s">
        <v>611</v>
      </c>
      <c r="D1025">
        <v>2011</v>
      </c>
      <c r="E1025" t="s">
        <v>573</v>
      </c>
      <c r="G1025" s="6"/>
    </row>
    <row r="1026" spans="1:10" x14ac:dyDescent="0.3">
      <c r="A1026" t="s">
        <v>457</v>
      </c>
      <c r="B1026" t="s">
        <v>458</v>
      </c>
      <c r="C1026" t="s">
        <v>611</v>
      </c>
      <c r="D1026">
        <v>2012</v>
      </c>
      <c r="E1026" t="s">
        <v>573</v>
      </c>
      <c r="G1026" s="6"/>
    </row>
    <row r="1027" spans="1:10" x14ac:dyDescent="0.3">
      <c r="A1027" t="s">
        <v>457</v>
      </c>
      <c r="B1027" t="s">
        <v>458</v>
      </c>
      <c r="C1027" t="s">
        <v>611</v>
      </c>
      <c r="D1027">
        <v>2013</v>
      </c>
      <c r="E1027" t="s">
        <v>573</v>
      </c>
      <c r="G1027" s="6"/>
    </row>
    <row r="1028" spans="1:10" x14ac:dyDescent="0.3">
      <c r="A1028" t="s">
        <v>457</v>
      </c>
      <c r="B1028" t="s">
        <v>458</v>
      </c>
      <c r="C1028" t="s">
        <v>611</v>
      </c>
      <c r="D1028">
        <v>2014</v>
      </c>
      <c r="E1028" t="s">
        <v>573</v>
      </c>
      <c r="G1028" s="6"/>
    </row>
    <row r="1029" spans="1:10" x14ac:dyDescent="0.3">
      <c r="A1029" t="s">
        <v>457</v>
      </c>
      <c r="B1029" t="s">
        <v>458</v>
      </c>
      <c r="C1029" t="s">
        <v>611</v>
      </c>
      <c r="D1029">
        <v>2015</v>
      </c>
      <c r="E1029" t="s">
        <v>573</v>
      </c>
      <c r="G1029" s="6"/>
    </row>
    <row r="1030" spans="1:10" x14ac:dyDescent="0.3">
      <c r="A1030" t="s">
        <v>457</v>
      </c>
      <c r="B1030" t="s">
        <v>458</v>
      </c>
      <c r="C1030" t="s">
        <v>611</v>
      </c>
      <c r="D1030">
        <v>2016</v>
      </c>
      <c r="E1030" t="s">
        <v>573</v>
      </c>
      <c r="G1030" s="6"/>
    </row>
    <row r="1031" spans="1:10" x14ac:dyDescent="0.3">
      <c r="A1031" t="s">
        <v>457</v>
      </c>
      <c r="B1031" t="s">
        <v>458</v>
      </c>
      <c r="C1031" t="s">
        <v>611</v>
      </c>
      <c r="D1031">
        <v>2017</v>
      </c>
      <c r="E1031" t="s">
        <v>573</v>
      </c>
      <c r="G1031" s="6"/>
    </row>
    <row r="1032" spans="1:10" x14ac:dyDescent="0.3">
      <c r="A1032" t="s">
        <v>457</v>
      </c>
      <c r="B1032" t="s">
        <v>458</v>
      </c>
      <c r="C1032" t="s">
        <v>611</v>
      </c>
      <c r="D1032">
        <v>2018</v>
      </c>
      <c r="E1032" t="s">
        <v>573</v>
      </c>
      <c r="G1032" s="6">
        <v>258.93333333333334</v>
      </c>
      <c r="H1032" s="6"/>
      <c r="I1032" s="6"/>
      <c r="J1032" s="6"/>
    </row>
    <row r="1033" spans="1:10" x14ac:dyDescent="0.3">
      <c r="A1033" t="s">
        <v>457</v>
      </c>
      <c r="B1033" t="s">
        <v>458</v>
      </c>
      <c r="C1033" t="s">
        <v>611</v>
      </c>
      <c r="D1033">
        <v>2019</v>
      </c>
      <c r="E1033" t="s">
        <v>573</v>
      </c>
      <c r="G1033" s="6">
        <v>322.13333333333333</v>
      </c>
      <c r="H1033" s="6"/>
      <c r="I1033" s="6"/>
      <c r="J1033" s="6"/>
    </row>
    <row r="1034" spans="1:10" x14ac:dyDescent="0.3">
      <c r="A1034" t="s">
        <v>457</v>
      </c>
      <c r="B1034" t="s">
        <v>458</v>
      </c>
      <c r="C1034" t="s">
        <v>611</v>
      </c>
      <c r="D1034">
        <v>2020</v>
      </c>
      <c r="E1034" t="s">
        <v>573</v>
      </c>
      <c r="G1034" s="6">
        <v>411.73333333333335</v>
      </c>
      <c r="H1034" s="6"/>
      <c r="I1034" s="6"/>
      <c r="J1034" s="6"/>
    </row>
    <row r="1035" spans="1:10" x14ac:dyDescent="0.3">
      <c r="A1035" t="s">
        <v>457</v>
      </c>
      <c r="B1035" t="s">
        <v>458</v>
      </c>
      <c r="C1035" t="s">
        <v>611</v>
      </c>
      <c r="D1035">
        <v>2021</v>
      </c>
      <c r="E1035" t="s">
        <v>573</v>
      </c>
      <c r="G1035" s="6">
        <v>528</v>
      </c>
      <c r="H1035" s="6"/>
      <c r="I1035" s="6"/>
      <c r="J1035" s="6"/>
    </row>
    <row r="1036" spans="1:10" x14ac:dyDescent="0.3">
      <c r="A1036" t="s">
        <v>457</v>
      </c>
      <c r="B1036" t="s">
        <v>458</v>
      </c>
      <c r="C1036" t="s">
        <v>611</v>
      </c>
      <c r="D1036">
        <v>2022</v>
      </c>
      <c r="E1036" t="s">
        <v>573</v>
      </c>
      <c r="G1036" s="6">
        <v>595.73333333333335</v>
      </c>
      <c r="H1036" s="6"/>
      <c r="I1036" s="6"/>
      <c r="J1036" s="6"/>
    </row>
    <row r="1037" spans="1:10" x14ac:dyDescent="0.3">
      <c r="A1037" t="s">
        <v>457</v>
      </c>
      <c r="B1037" t="s">
        <v>458</v>
      </c>
      <c r="C1037" t="s">
        <v>611</v>
      </c>
      <c r="D1037">
        <v>2023</v>
      </c>
      <c r="E1037" t="s">
        <v>573</v>
      </c>
      <c r="G1037" s="6">
        <v>765.6</v>
      </c>
      <c r="H1037" s="6"/>
      <c r="I1037" s="6"/>
      <c r="J1037" s="6"/>
    </row>
    <row r="1038" spans="1:10" x14ac:dyDescent="0.3">
      <c r="A1038" t="s">
        <v>457</v>
      </c>
      <c r="B1038" t="s">
        <v>458</v>
      </c>
      <c r="C1038" t="s">
        <v>611</v>
      </c>
      <c r="D1038">
        <v>2024</v>
      </c>
      <c r="E1038" t="s">
        <v>573</v>
      </c>
      <c r="G1038" s="6">
        <v>913.06666666666672</v>
      </c>
      <c r="H1038" s="6"/>
      <c r="I1038" s="6"/>
      <c r="J1038" s="6"/>
    </row>
    <row r="1039" spans="1:10" x14ac:dyDescent="0.3">
      <c r="A1039" t="s">
        <v>466</v>
      </c>
      <c r="B1039" t="s">
        <v>467</v>
      </c>
      <c r="C1039" t="s">
        <v>612</v>
      </c>
      <c r="D1039">
        <v>1975</v>
      </c>
      <c r="E1039" t="s">
        <v>573</v>
      </c>
      <c r="G1039" s="6"/>
      <c r="H1039" s="6"/>
      <c r="I1039" s="6"/>
      <c r="J1039" s="6"/>
    </row>
    <row r="1040" spans="1:10" x14ac:dyDescent="0.3">
      <c r="A1040" t="s">
        <v>466</v>
      </c>
      <c r="B1040" t="s">
        <v>467</v>
      </c>
      <c r="C1040" t="s">
        <v>612</v>
      </c>
      <c r="D1040">
        <v>1975</v>
      </c>
      <c r="E1040" t="s">
        <v>573</v>
      </c>
      <c r="G1040" s="6"/>
      <c r="H1040" s="6"/>
      <c r="I1040" s="6"/>
      <c r="J1040" s="6"/>
    </row>
    <row r="1041" spans="1:10" x14ac:dyDescent="0.3">
      <c r="A1041" t="s">
        <v>466</v>
      </c>
      <c r="B1041" t="s">
        <v>467</v>
      </c>
      <c r="C1041" t="s">
        <v>612</v>
      </c>
      <c r="D1041">
        <v>1976</v>
      </c>
      <c r="E1041" t="s">
        <v>573</v>
      </c>
      <c r="G1041" s="6"/>
      <c r="H1041" s="6"/>
      <c r="I1041" s="6"/>
      <c r="J1041" s="6"/>
    </row>
    <row r="1042" spans="1:10" x14ac:dyDescent="0.3">
      <c r="A1042" t="s">
        <v>466</v>
      </c>
      <c r="B1042" t="s">
        <v>467</v>
      </c>
      <c r="C1042" t="s">
        <v>612</v>
      </c>
      <c r="D1042">
        <v>1977</v>
      </c>
      <c r="E1042" t="s">
        <v>573</v>
      </c>
      <c r="G1042" s="6"/>
      <c r="H1042" s="6"/>
      <c r="I1042" s="6"/>
      <c r="J1042" s="6"/>
    </row>
    <row r="1043" spans="1:10" x14ac:dyDescent="0.3">
      <c r="A1043" t="s">
        <v>466</v>
      </c>
      <c r="B1043" t="s">
        <v>467</v>
      </c>
      <c r="C1043" t="s">
        <v>612</v>
      </c>
      <c r="D1043">
        <v>1978</v>
      </c>
      <c r="E1043" t="s">
        <v>573</v>
      </c>
      <c r="G1043" s="6"/>
      <c r="H1043" s="6"/>
      <c r="I1043" s="6"/>
      <c r="J1043" s="6"/>
    </row>
    <row r="1044" spans="1:10" x14ac:dyDescent="0.3">
      <c r="A1044" t="s">
        <v>466</v>
      </c>
      <c r="B1044" t="s">
        <v>467</v>
      </c>
      <c r="C1044" t="s">
        <v>612</v>
      </c>
      <c r="D1044">
        <v>1979</v>
      </c>
      <c r="E1044" t="s">
        <v>573</v>
      </c>
      <c r="G1044" s="6"/>
      <c r="H1044" s="6"/>
      <c r="I1044" s="6"/>
      <c r="J1044" s="6"/>
    </row>
    <row r="1045" spans="1:10" x14ac:dyDescent="0.3">
      <c r="A1045" t="s">
        <v>466</v>
      </c>
      <c r="B1045" t="s">
        <v>467</v>
      </c>
      <c r="C1045" t="s">
        <v>612</v>
      </c>
      <c r="D1045">
        <v>1980</v>
      </c>
      <c r="E1045" t="s">
        <v>573</v>
      </c>
      <c r="G1045" s="6"/>
      <c r="H1045" s="6"/>
      <c r="I1045" s="6"/>
      <c r="J1045" s="6"/>
    </row>
    <row r="1046" spans="1:10" x14ac:dyDescent="0.3">
      <c r="A1046" t="s">
        <v>466</v>
      </c>
      <c r="B1046" t="s">
        <v>467</v>
      </c>
      <c r="C1046" t="s">
        <v>612</v>
      </c>
      <c r="D1046">
        <v>1981</v>
      </c>
      <c r="E1046" t="s">
        <v>573</v>
      </c>
      <c r="G1046" s="6"/>
      <c r="H1046" s="6"/>
      <c r="I1046" s="6"/>
      <c r="J1046" s="6"/>
    </row>
    <row r="1047" spans="1:10" x14ac:dyDescent="0.3">
      <c r="A1047" t="s">
        <v>466</v>
      </c>
      <c r="B1047" t="s">
        <v>467</v>
      </c>
      <c r="C1047" t="s">
        <v>612</v>
      </c>
      <c r="D1047">
        <v>1982</v>
      </c>
      <c r="E1047" t="s">
        <v>573</v>
      </c>
      <c r="G1047" s="6"/>
      <c r="H1047" s="6"/>
      <c r="I1047" s="6"/>
      <c r="J1047" s="6"/>
    </row>
    <row r="1048" spans="1:10" x14ac:dyDescent="0.3">
      <c r="A1048" t="s">
        <v>466</v>
      </c>
      <c r="B1048" t="s">
        <v>467</v>
      </c>
      <c r="C1048" t="s">
        <v>612</v>
      </c>
      <c r="D1048">
        <v>1983</v>
      </c>
      <c r="E1048" t="s">
        <v>573</v>
      </c>
      <c r="G1048" s="6"/>
      <c r="H1048" s="6"/>
      <c r="I1048" s="6"/>
      <c r="J1048" s="6"/>
    </row>
    <row r="1049" spans="1:10" x14ac:dyDescent="0.3">
      <c r="A1049" t="s">
        <v>466</v>
      </c>
      <c r="B1049" t="s">
        <v>467</v>
      </c>
      <c r="C1049" t="s">
        <v>612</v>
      </c>
      <c r="D1049">
        <v>1984</v>
      </c>
      <c r="E1049" t="s">
        <v>573</v>
      </c>
      <c r="G1049" s="6"/>
      <c r="H1049" s="6"/>
      <c r="I1049" s="6"/>
      <c r="J1049" s="6"/>
    </row>
    <row r="1050" spans="1:10" x14ac:dyDescent="0.3">
      <c r="A1050" t="s">
        <v>466</v>
      </c>
      <c r="B1050" t="s">
        <v>467</v>
      </c>
      <c r="C1050" t="s">
        <v>612</v>
      </c>
      <c r="D1050">
        <v>1985</v>
      </c>
      <c r="E1050" t="s">
        <v>573</v>
      </c>
      <c r="G1050" s="6"/>
      <c r="H1050" s="6"/>
      <c r="I1050" s="6"/>
      <c r="J1050" s="6"/>
    </row>
    <row r="1051" spans="1:10" x14ac:dyDescent="0.3">
      <c r="A1051" t="s">
        <v>466</v>
      </c>
      <c r="B1051" t="s">
        <v>467</v>
      </c>
      <c r="C1051" t="s">
        <v>612</v>
      </c>
      <c r="D1051">
        <v>1986</v>
      </c>
      <c r="E1051" t="s">
        <v>573</v>
      </c>
      <c r="G1051" s="6"/>
      <c r="H1051" s="6"/>
      <c r="I1051" s="6"/>
      <c r="J1051" s="6"/>
    </row>
    <row r="1052" spans="1:10" x14ac:dyDescent="0.3">
      <c r="A1052" t="s">
        <v>466</v>
      </c>
      <c r="B1052" t="s">
        <v>467</v>
      </c>
      <c r="C1052" t="s">
        <v>612</v>
      </c>
      <c r="D1052">
        <v>1987</v>
      </c>
      <c r="E1052" t="s">
        <v>573</v>
      </c>
      <c r="G1052" s="6"/>
      <c r="H1052" s="6"/>
      <c r="I1052" s="6"/>
      <c r="J1052" s="6"/>
    </row>
    <row r="1053" spans="1:10" x14ac:dyDescent="0.3">
      <c r="A1053" t="s">
        <v>466</v>
      </c>
      <c r="B1053" t="s">
        <v>467</v>
      </c>
      <c r="C1053" t="s">
        <v>612</v>
      </c>
      <c r="D1053">
        <v>1988</v>
      </c>
      <c r="E1053" t="s">
        <v>573</v>
      </c>
      <c r="G1053" s="6"/>
      <c r="H1053" s="6"/>
      <c r="I1053" s="6"/>
      <c r="J1053" s="6"/>
    </row>
    <row r="1054" spans="1:10" x14ac:dyDescent="0.3">
      <c r="A1054" t="s">
        <v>466</v>
      </c>
      <c r="B1054" t="s">
        <v>467</v>
      </c>
      <c r="C1054" t="s">
        <v>612</v>
      </c>
      <c r="D1054">
        <v>1989</v>
      </c>
      <c r="E1054" t="s">
        <v>573</v>
      </c>
      <c r="G1054" s="6"/>
      <c r="H1054" s="6"/>
      <c r="I1054" s="6"/>
      <c r="J1054" s="6"/>
    </row>
    <row r="1055" spans="1:10" x14ac:dyDescent="0.3">
      <c r="A1055" t="s">
        <v>466</v>
      </c>
      <c r="B1055" t="s">
        <v>467</v>
      </c>
      <c r="C1055" t="s">
        <v>612</v>
      </c>
      <c r="D1055">
        <v>1990</v>
      </c>
      <c r="E1055" t="s">
        <v>573</v>
      </c>
      <c r="G1055" s="6"/>
      <c r="H1055" s="6"/>
      <c r="I1055" s="6"/>
      <c r="J1055" s="6"/>
    </row>
    <row r="1056" spans="1:10" x14ac:dyDescent="0.3">
      <c r="A1056" t="s">
        <v>466</v>
      </c>
      <c r="B1056" t="s">
        <v>467</v>
      </c>
      <c r="C1056" t="s">
        <v>612</v>
      </c>
      <c r="D1056">
        <v>1991</v>
      </c>
      <c r="E1056" t="s">
        <v>573</v>
      </c>
      <c r="G1056" s="6"/>
      <c r="H1056" s="6"/>
      <c r="I1056" s="6"/>
      <c r="J1056" s="6"/>
    </row>
    <row r="1057" spans="1:10" x14ac:dyDescent="0.3">
      <c r="A1057" t="s">
        <v>466</v>
      </c>
      <c r="B1057" t="s">
        <v>467</v>
      </c>
      <c r="C1057" t="s">
        <v>612</v>
      </c>
      <c r="D1057">
        <v>1992</v>
      </c>
      <c r="E1057" t="s">
        <v>573</v>
      </c>
      <c r="G1057" s="6"/>
      <c r="H1057" s="6"/>
      <c r="I1057" s="6"/>
      <c r="J1057" s="6"/>
    </row>
    <row r="1058" spans="1:10" x14ac:dyDescent="0.3">
      <c r="A1058" t="s">
        <v>466</v>
      </c>
      <c r="B1058" t="s">
        <v>467</v>
      </c>
      <c r="C1058" t="s">
        <v>612</v>
      </c>
      <c r="D1058">
        <v>1993</v>
      </c>
      <c r="E1058" t="s">
        <v>573</v>
      </c>
      <c r="G1058" s="6"/>
      <c r="H1058" s="6"/>
      <c r="I1058" s="6"/>
      <c r="J1058" s="6"/>
    </row>
    <row r="1059" spans="1:10" x14ac:dyDescent="0.3">
      <c r="A1059" t="s">
        <v>466</v>
      </c>
      <c r="B1059" t="s">
        <v>467</v>
      </c>
      <c r="C1059" t="s">
        <v>612</v>
      </c>
      <c r="D1059">
        <v>1994</v>
      </c>
      <c r="E1059" t="s">
        <v>573</v>
      </c>
      <c r="G1059" s="6"/>
      <c r="H1059" s="6"/>
      <c r="I1059" s="6"/>
      <c r="J1059" s="6"/>
    </row>
    <row r="1060" spans="1:10" x14ac:dyDescent="0.3">
      <c r="A1060" t="s">
        <v>466</v>
      </c>
      <c r="B1060" t="s">
        <v>467</v>
      </c>
      <c r="C1060" t="s">
        <v>612</v>
      </c>
      <c r="D1060">
        <v>1995</v>
      </c>
      <c r="E1060" t="s">
        <v>573</v>
      </c>
      <c r="G1060" s="6"/>
      <c r="H1060" s="6"/>
      <c r="I1060" s="6"/>
      <c r="J1060" s="6"/>
    </row>
    <row r="1061" spans="1:10" x14ac:dyDescent="0.3">
      <c r="A1061" t="s">
        <v>466</v>
      </c>
      <c r="B1061" t="s">
        <v>467</v>
      </c>
      <c r="C1061" t="s">
        <v>612</v>
      </c>
      <c r="D1061">
        <v>1996</v>
      </c>
      <c r="E1061" t="s">
        <v>573</v>
      </c>
      <c r="G1061" s="6"/>
      <c r="H1061" s="6"/>
      <c r="I1061" s="6"/>
      <c r="J1061" s="6"/>
    </row>
    <row r="1062" spans="1:10" x14ac:dyDescent="0.3">
      <c r="A1062" t="s">
        <v>466</v>
      </c>
      <c r="B1062" t="s">
        <v>467</v>
      </c>
      <c r="C1062" t="s">
        <v>612</v>
      </c>
      <c r="D1062">
        <v>1997</v>
      </c>
      <c r="E1062" t="s">
        <v>573</v>
      </c>
      <c r="G1062" s="6"/>
      <c r="H1062" s="6"/>
      <c r="I1062" s="6"/>
      <c r="J1062" s="6"/>
    </row>
    <row r="1063" spans="1:10" x14ac:dyDescent="0.3">
      <c r="A1063" t="s">
        <v>466</v>
      </c>
      <c r="B1063" t="s">
        <v>467</v>
      </c>
      <c r="C1063" t="s">
        <v>612</v>
      </c>
      <c r="D1063">
        <v>1998</v>
      </c>
      <c r="E1063" t="s">
        <v>573</v>
      </c>
      <c r="G1063" s="6"/>
      <c r="H1063" s="6"/>
      <c r="I1063" s="6"/>
      <c r="J1063" s="6"/>
    </row>
    <row r="1064" spans="1:10" x14ac:dyDescent="0.3">
      <c r="A1064" t="s">
        <v>466</v>
      </c>
      <c r="B1064" t="s">
        <v>467</v>
      </c>
      <c r="C1064" t="s">
        <v>612</v>
      </c>
      <c r="D1064">
        <v>1999</v>
      </c>
      <c r="E1064" t="s">
        <v>573</v>
      </c>
      <c r="G1064" s="6"/>
      <c r="H1064" s="6"/>
      <c r="I1064" s="6"/>
      <c r="J1064" s="6"/>
    </row>
    <row r="1065" spans="1:10" x14ac:dyDescent="0.3">
      <c r="A1065" t="s">
        <v>466</v>
      </c>
      <c r="B1065" t="s">
        <v>467</v>
      </c>
      <c r="C1065" t="s">
        <v>612</v>
      </c>
      <c r="D1065">
        <v>2000</v>
      </c>
      <c r="E1065" t="s">
        <v>573</v>
      </c>
      <c r="G1065" s="6"/>
      <c r="H1065" s="6"/>
      <c r="I1065" s="6"/>
      <c r="J1065" s="6"/>
    </row>
    <row r="1066" spans="1:10" x14ac:dyDescent="0.3">
      <c r="A1066" t="s">
        <v>466</v>
      </c>
      <c r="B1066" t="s">
        <v>467</v>
      </c>
      <c r="C1066" t="s">
        <v>612</v>
      </c>
      <c r="D1066">
        <v>2001</v>
      </c>
      <c r="E1066" t="s">
        <v>573</v>
      </c>
      <c r="G1066" s="6"/>
      <c r="H1066" s="6"/>
      <c r="I1066" s="6"/>
      <c r="J1066" s="6"/>
    </row>
    <row r="1067" spans="1:10" x14ac:dyDescent="0.3">
      <c r="A1067" t="s">
        <v>466</v>
      </c>
      <c r="B1067" t="s">
        <v>467</v>
      </c>
      <c r="C1067" t="s">
        <v>612</v>
      </c>
      <c r="D1067">
        <v>2002</v>
      </c>
      <c r="E1067" t="s">
        <v>573</v>
      </c>
      <c r="F1067" s="6">
        <v>40.768730718624269</v>
      </c>
      <c r="G1067" s="6">
        <v>81.760851742556071</v>
      </c>
      <c r="H1067" s="6">
        <v>40.992121023931809</v>
      </c>
      <c r="I1067" s="6">
        <v>43.002633771699571</v>
      </c>
      <c r="J1067" s="6"/>
    </row>
    <row r="1068" spans="1:10" x14ac:dyDescent="0.3">
      <c r="A1068" t="s">
        <v>466</v>
      </c>
      <c r="B1068" t="s">
        <v>467</v>
      </c>
      <c r="C1068" t="s">
        <v>612</v>
      </c>
      <c r="D1068">
        <v>2003</v>
      </c>
      <c r="E1068" t="s">
        <v>573</v>
      </c>
      <c r="F1068" s="6">
        <v>42.30324828103592</v>
      </c>
      <c r="G1068" s="6">
        <v>80.301552707149597</v>
      </c>
      <c r="H1068" s="6">
        <v>37.998304426113677</v>
      </c>
      <c r="I1068" s="6">
        <v>35.013543353367588</v>
      </c>
      <c r="J1068" s="6"/>
    </row>
    <row r="1069" spans="1:10" x14ac:dyDescent="0.3">
      <c r="A1069" t="s">
        <v>466</v>
      </c>
      <c r="B1069" t="s">
        <v>467</v>
      </c>
      <c r="C1069" t="s">
        <v>612</v>
      </c>
      <c r="D1069">
        <v>2004</v>
      </c>
      <c r="E1069" t="s">
        <v>573</v>
      </c>
      <c r="F1069" s="6">
        <v>52.300636363851503</v>
      </c>
      <c r="G1069" s="6">
        <v>106.96781735955149</v>
      </c>
      <c r="H1069" s="6">
        <v>54.667180995699987</v>
      </c>
      <c r="I1069" s="6">
        <v>53.247254216590896</v>
      </c>
      <c r="J1069" s="6"/>
    </row>
    <row r="1070" spans="1:10" x14ac:dyDescent="0.3">
      <c r="A1070" t="s">
        <v>466</v>
      </c>
      <c r="B1070" t="s">
        <v>467</v>
      </c>
      <c r="C1070" t="s">
        <v>612</v>
      </c>
      <c r="D1070">
        <v>2005</v>
      </c>
      <c r="E1070" t="s">
        <v>573</v>
      </c>
      <c r="F1070" s="6">
        <v>57.798710283664299</v>
      </c>
      <c r="G1070" s="6">
        <v>119.62290246858171</v>
      </c>
      <c r="H1070" s="6">
        <v>61.824192184917429</v>
      </c>
      <c r="I1070" s="6">
        <v>61.884274004339112</v>
      </c>
      <c r="J1070" s="6"/>
    </row>
    <row r="1071" spans="1:10" x14ac:dyDescent="0.3">
      <c r="A1071" t="s">
        <v>466</v>
      </c>
      <c r="B1071" t="s">
        <v>467</v>
      </c>
      <c r="C1071" t="s">
        <v>612</v>
      </c>
      <c r="D1071">
        <v>2006</v>
      </c>
      <c r="E1071" t="s">
        <v>573</v>
      </c>
      <c r="F1071" s="6">
        <v>73.004966225762828</v>
      </c>
      <c r="G1071" s="6">
        <v>134.49276967625445</v>
      </c>
      <c r="H1071" s="6">
        <v>61.487803450491612</v>
      </c>
      <c r="I1071" s="6">
        <v>81.186557268305208</v>
      </c>
      <c r="J1071" s="6"/>
    </row>
    <row r="1072" spans="1:10" x14ac:dyDescent="0.3">
      <c r="A1072" t="s">
        <v>466</v>
      </c>
      <c r="B1072" t="s">
        <v>467</v>
      </c>
      <c r="C1072" t="s">
        <v>612</v>
      </c>
      <c r="D1072">
        <v>2007</v>
      </c>
      <c r="E1072" t="s">
        <v>573</v>
      </c>
      <c r="F1072" s="6">
        <v>91.831873356945991</v>
      </c>
      <c r="G1072" s="6">
        <v>160.83848339395743</v>
      </c>
      <c r="H1072" s="6">
        <v>69.006610037011427</v>
      </c>
      <c r="I1072" s="6">
        <v>108.81811582759495</v>
      </c>
      <c r="J1072" s="6"/>
    </row>
    <row r="1073" spans="1:10" x14ac:dyDescent="0.3">
      <c r="A1073" t="s">
        <v>466</v>
      </c>
      <c r="B1073" t="s">
        <v>467</v>
      </c>
      <c r="C1073" t="s">
        <v>612</v>
      </c>
      <c r="D1073">
        <v>2008</v>
      </c>
      <c r="E1073" t="s">
        <v>573</v>
      </c>
      <c r="F1073" s="6">
        <v>120.01178914395126</v>
      </c>
      <c r="G1073" s="6">
        <v>208.85443870457948</v>
      </c>
      <c r="H1073" s="6">
        <v>88.842649560628217</v>
      </c>
      <c r="I1073" s="6">
        <v>130.75489394364536</v>
      </c>
      <c r="J1073" s="6"/>
    </row>
    <row r="1074" spans="1:10" x14ac:dyDescent="0.3">
      <c r="A1074" t="s">
        <v>466</v>
      </c>
      <c r="B1074" t="s">
        <v>467</v>
      </c>
      <c r="C1074" t="s">
        <v>612</v>
      </c>
      <c r="D1074">
        <v>2009</v>
      </c>
      <c r="E1074" t="s">
        <v>573</v>
      </c>
      <c r="F1074" s="6">
        <v>96.939529671402497</v>
      </c>
      <c r="G1074" s="6">
        <v>170.43481847901191</v>
      </c>
      <c r="H1074" s="6">
        <v>73.495288807609413</v>
      </c>
      <c r="I1074" s="6">
        <v>89.376871328243439</v>
      </c>
      <c r="J1074" s="6"/>
    </row>
    <row r="1075" spans="1:10" x14ac:dyDescent="0.3">
      <c r="A1075" t="s">
        <v>466</v>
      </c>
      <c r="B1075" t="s">
        <v>467</v>
      </c>
      <c r="C1075" t="s">
        <v>612</v>
      </c>
      <c r="D1075">
        <v>2010</v>
      </c>
      <c r="E1075" t="s">
        <v>573</v>
      </c>
      <c r="F1075" s="6">
        <v>127.0252906473596</v>
      </c>
      <c r="G1075" s="6">
        <v>208.87299524461903</v>
      </c>
      <c r="H1075" s="6">
        <v>81.847704597259423</v>
      </c>
      <c r="I1075" s="6">
        <v>136.41284099543239</v>
      </c>
      <c r="J1075" s="6"/>
    </row>
    <row r="1076" spans="1:10" x14ac:dyDescent="0.3">
      <c r="A1076" t="s">
        <v>466</v>
      </c>
      <c r="B1076" t="s">
        <v>467</v>
      </c>
      <c r="C1076" t="s">
        <v>612</v>
      </c>
      <c r="D1076">
        <v>2011</v>
      </c>
      <c r="E1076" t="s">
        <v>573</v>
      </c>
      <c r="F1076" s="6">
        <v>142.7122158476549</v>
      </c>
      <c r="G1076" s="6">
        <v>236.84662451819719</v>
      </c>
      <c r="H1076" s="6">
        <v>94.1344086705423</v>
      </c>
      <c r="I1076" s="6">
        <v>153.4454465660022</v>
      </c>
      <c r="J1076" s="6"/>
    </row>
    <row r="1077" spans="1:10" x14ac:dyDescent="0.3">
      <c r="A1077" t="s">
        <v>466</v>
      </c>
      <c r="B1077" t="s">
        <v>467</v>
      </c>
      <c r="C1077" t="s">
        <v>612</v>
      </c>
      <c r="D1077">
        <v>2012</v>
      </c>
      <c r="E1077" t="s">
        <v>573</v>
      </c>
      <c r="F1077" s="6">
        <v>145.39768708049127</v>
      </c>
      <c r="G1077" s="6">
        <v>242.14276340427435</v>
      </c>
      <c r="H1077" s="6">
        <v>96.745076323783124</v>
      </c>
      <c r="I1077" s="6">
        <v>158.44106792480611</v>
      </c>
      <c r="J1077" s="6"/>
    </row>
    <row r="1078" spans="1:10" x14ac:dyDescent="0.3">
      <c r="A1078" t="s">
        <v>466</v>
      </c>
      <c r="B1078" t="s">
        <v>467</v>
      </c>
      <c r="C1078" t="s">
        <v>612</v>
      </c>
      <c r="D1078">
        <v>2013</v>
      </c>
      <c r="E1078" t="s">
        <v>573</v>
      </c>
      <c r="F1078" s="6">
        <v>163.35011587948532</v>
      </c>
      <c r="G1078" s="6">
        <v>272.91616718612642</v>
      </c>
      <c r="H1078" s="6">
        <v>109.5660513066411</v>
      </c>
      <c r="I1078" s="6">
        <v>171.82130584192439</v>
      </c>
      <c r="J1078" s="6"/>
    </row>
    <row r="1079" spans="1:10" x14ac:dyDescent="0.3">
      <c r="A1079" t="s">
        <v>466</v>
      </c>
      <c r="B1079" t="s">
        <v>467</v>
      </c>
      <c r="C1079" t="s">
        <v>612</v>
      </c>
      <c r="D1079">
        <v>2014</v>
      </c>
      <c r="E1079" t="s">
        <v>573</v>
      </c>
      <c r="F1079" s="6">
        <v>175.36798074266997</v>
      </c>
      <c r="G1079" s="6">
        <v>271.49678386803993</v>
      </c>
      <c r="H1079" s="6">
        <v>96.128803125369956</v>
      </c>
      <c r="I1079" s="6">
        <v>175.99936861213052</v>
      </c>
      <c r="J1079" s="6"/>
    </row>
    <row r="1080" spans="1:10" x14ac:dyDescent="0.3">
      <c r="A1080" t="s">
        <v>466</v>
      </c>
      <c r="B1080" t="s">
        <v>467</v>
      </c>
      <c r="C1080" t="s">
        <v>612</v>
      </c>
      <c r="D1080">
        <v>2015</v>
      </c>
      <c r="E1080" t="s">
        <v>573</v>
      </c>
      <c r="F1080" s="6">
        <v>186.49646318622368</v>
      </c>
      <c r="G1080" s="6">
        <v>295.1648391613478</v>
      </c>
      <c r="H1080" s="6">
        <v>108.66837597512409</v>
      </c>
      <c r="I1080" s="6">
        <v>193.47917007619151</v>
      </c>
      <c r="J1080" s="6"/>
    </row>
    <row r="1081" spans="1:10" x14ac:dyDescent="0.3">
      <c r="A1081" t="s">
        <v>466</v>
      </c>
      <c r="B1081" t="s">
        <v>467</v>
      </c>
      <c r="C1081" t="s">
        <v>612</v>
      </c>
      <c r="D1081">
        <v>2016</v>
      </c>
      <c r="E1081" t="s">
        <v>573</v>
      </c>
      <c r="F1081" s="6">
        <v>187.25398937132749</v>
      </c>
      <c r="G1081" s="6">
        <v>300.96717735059133</v>
      </c>
      <c r="H1081" s="6">
        <v>113.71318797926384</v>
      </c>
      <c r="I1081" s="6">
        <v>175.16608205589969</v>
      </c>
      <c r="J1081" s="6"/>
    </row>
    <row r="1082" spans="1:10" x14ac:dyDescent="0.3">
      <c r="A1082" t="s">
        <v>466</v>
      </c>
      <c r="B1082" t="s">
        <v>467</v>
      </c>
      <c r="C1082" t="s">
        <v>612</v>
      </c>
      <c r="D1082">
        <v>2017</v>
      </c>
      <c r="E1082" t="s">
        <v>573</v>
      </c>
      <c r="F1082" s="6">
        <v>204.21094556185167</v>
      </c>
      <c r="G1082" s="6">
        <v>324.13056465774753</v>
      </c>
      <c r="H1082" s="6">
        <v>119.91961909589588</v>
      </c>
      <c r="I1082" s="6">
        <v>199.1418795372667</v>
      </c>
      <c r="J1082" s="6"/>
    </row>
    <row r="1083" spans="1:10" x14ac:dyDescent="0.3">
      <c r="A1083" t="s">
        <v>466</v>
      </c>
      <c r="B1083" t="s">
        <v>467</v>
      </c>
      <c r="C1083" t="s">
        <v>612</v>
      </c>
      <c r="D1083">
        <v>2018</v>
      </c>
      <c r="E1083" t="s">
        <v>573</v>
      </c>
      <c r="F1083" s="6">
        <v>236.6474353556606</v>
      </c>
      <c r="G1083" s="6">
        <v>363.7193978242077</v>
      </c>
      <c r="H1083" s="6">
        <v>127.07196246854708</v>
      </c>
      <c r="I1083" s="6">
        <v>228.34401657125147</v>
      </c>
      <c r="J1083" s="6"/>
    </row>
    <row r="1084" spans="1:10" x14ac:dyDescent="0.3">
      <c r="A1084" t="s">
        <v>466</v>
      </c>
      <c r="B1084" t="s">
        <v>467</v>
      </c>
      <c r="C1084" t="s">
        <v>612</v>
      </c>
      <c r="D1084">
        <v>2019</v>
      </c>
      <c r="E1084" t="s">
        <v>573</v>
      </c>
      <c r="F1084" s="6">
        <v>242.78712583146526</v>
      </c>
      <c r="G1084" s="6">
        <v>373.12393432432316</v>
      </c>
      <c r="H1084" s="6">
        <v>130.33680849285787</v>
      </c>
      <c r="I1084" s="6">
        <v>229.44556275739322</v>
      </c>
      <c r="J1084" s="6"/>
    </row>
    <row r="1085" spans="1:10" x14ac:dyDescent="0.3">
      <c r="A1085" t="s">
        <v>466</v>
      </c>
      <c r="B1085" t="s">
        <v>467</v>
      </c>
      <c r="C1085" t="s">
        <v>612</v>
      </c>
      <c r="D1085">
        <v>2020</v>
      </c>
      <c r="E1085" t="s">
        <v>573</v>
      </c>
      <c r="F1085" s="6">
        <v>263.16514246866444</v>
      </c>
      <c r="G1085" s="6">
        <v>431.24004342840908</v>
      </c>
      <c r="H1085" s="6">
        <v>168.07490095974464</v>
      </c>
      <c r="I1085" s="6">
        <v>221.7805937631818</v>
      </c>
      <c r="J1085" s="6"/>
    </row>
    <row r="1086" spans="1:10" x14ac:dyDescent="0.3">
      <c r="A1086" t="s">
        <v>466</v>
      </c>
      <c r="B1086" t="s">
        <v>467</v>
      </c>
      <c r="C1086" t="s">
        <v>612</v>
      </c>
      <c r="D1086">
        <v>2021</v>
      </c>
      <c r="E1086" t="s">
        <v>573</v>
      </c>
      <c r="F1086" s="6">
        <v>309.04745352192771</v>
      </c>
      <c r="G1086" s="6">
        <v>486.05006538973697</v>
      </c>
      <c r="H1086" s="6">
        <v>177.00261186780929</v>
      </c>
      <c r="I1086" s="6">
        <v>283.59123263934117</v>
      </c>
      <c r="J1086" s="6"/>
    </row>
    <row r="1087" spans="1:10" x14ac:dyDescent="0.3">
      <c r="A1087" t="s">
        <v>466</v>
      </c>
      <c r="B1087" t="s">
        <v>467</v>
      </c>
      <c r="C1087" t="s">
        <v>612</v>
      </c>
      <c r="D1087">
        <v>2022</v>
      </c>
      <c r="E1087" t="s">
        <v>573</v>
      </c>
      <c r="F1087" s="6">
        <v>300.07246129776075</v>
      </c>
      <c r="G1087" s="6">
        <v>487.64494979570838</v>
      </c>
      <c r="H1087" s="6">
        <v>187.57248849794766</v>
      </c>
      <c r="I1087" s="6">
        <v>292.31134131737394</v>
      </c>
      <c r="J1087" s="6"/>
    </row>
    <row r="1088" spans="1:10" x14ac:dyDescent="0.3">
      <c r="A1088" t="s">
        <v>466</v>
      </c>
      <c r="B1088" t="s">
        <v>467</v>
      </c>
      <c r="C1088" t="s">
        <v>612</v>
      </c>
      <c r="D1088">
        <v>2023</v>
      </c>
      <c r="E1088" t="s">
        <v>573</v>
      </c>
      <c r="F1088" s="6">
        <v>298.04128340955651</v>
      </c>
      <c r="G1088" s="6">
        <v>487.05397138893045</v>
      </c>
      <c r="H1088" s="6">
        <v>189.01268797937394</v>
      </c>
      <c r="I1088" s="6">
        <v>284.48718206509392</v>
      </c>
      <c r="J1088" s="6"/>
    </row>
    <row r="1089" spans="1:10" x14ac:dyDescent="0.3">
      <c r="A1089" t="s">
        <v>466</v>
      </c>
      <c r="B1089" t="s">
        <v>467</v>
      </c>
      <c r="C1089" t="s">
        <v>612</v>
      </c>
      <c r="D1089">
        <v>2024</v>
      </c>
      <c r="E1089" t="s">
        <v>573</v>
      </c>
      <c r="G1089" s="6"/>
      <c r="H1089" s="6"/>
      <c r="I1089" s="6">
        <v>291.11689353578305</v>
      </c>
      <c r="J1089" s="6"/>
    </row>
    <row r="1090" spans="1:10" x14ac:dyDescent="0.3">
      <c r="A1090" t="s">
        <v>482</v>
      </c>
      <c r="B1090" t="s">
        <v>483</v>
      </c>
      <c r="C1090" t="s">
        <v>613</v>
      </c>
      <c r="D1090">
        <v>1995</v>
      </c>
      <c r="E1090" t="s">
        <v>573</v>
      </c>
      <c r="G1090" s="6"/>
      <c r="H1090" s="6"/>
      <c r="I1090" s="6"/>
      <c r="J1090" s="6"/>
    </row>
    <row r="1091" spans="1:10" x14ac:dyDescent="0.3">
      <c r="A1091" t="s">
        <v>482</v>
      </c>
      <c r="B1091" t="s">
        <v>483</v>
      </c>
      <c r="C1091" t="s">
        <v>613</v>
      </c>
      <c r="D1091">
        <v>1996</v>
      </c>
      <c r="E1091" t="s">
        <v>573</v>
      </c>
      <c r="G1091" s="6"/>
      <c r="H1091" s="6"/>
      <c r="I1091" s="6"/>
      <c r="J1091" s="6"/>
    </row>
    <row r="1092" spans="1:10" x14ac:dyDescent="0.3">
      <c r="A1092" t="s">
        <v>482</v>
      </c>
      <c r="B1092" t="s">
        <v>483</v>
      </c>
      <c r="C1092" t="s">
        <v>613</v>
      </c>
      <c r="D1092">
        <v>1997</v>
      </c>
      <c r="E1092" t="s">
        <v>573</v>
      </c>
      <c r="G1092" s="6"/>
      <c r="H1092" s="6"/>
      <c r="I1092" s="6"/>
      <c r="J1092" s="6"/>
    </row>
    <row r="1093" spans="1:10" x14ac:dyDescent="0.3">
      <c r="A1093" t="s">
        <v>482</v>
      </c>
      <c r="B1093" t="s">
        <v>483</v>
      </c>
      <c r="C1093" t="s">
        <v>613</v>
      </c>
      <c r="D1093">
        <v>1998</v>
      </c>
      <c r="E1093" t="s">
        <v>573</v>
      </c>
      <c r="G1093" s="6"/>
      <c r="H1093" s="6"/>
      <c r="I1093" s="6"/>
      <c r="J1093" s="6"/>
    </row>
    <row r="1094" spans="1:10" x14ac:dyDescent="0.3">
      <c r="A1094" t="s">
        <v>482</v>
      </c>
      <c r="B1094" t="s">
        <v>483</v>
      </c>
      <c r="C1094" t="s">
        <v>613</v>
      </c>
      <c r="D1094">
        <v>1999</v>
      </c>
      <c r="E1094" t="s">
        <v>573</v>
      </c>
      <c r="G1094" s="6"/>
      <c r="H1094" s="6"/>
      <c r="I1094" s="6"/>
      <c r="J1094" s="6"/>
    </row>
    <row r="1095" spans="1:10" x14ac:dyDescent="0.3">
      <c r="A1095" t="s">
        <v>482</v>
      </c>
      <c r="B1095" t="s">
        <v>483</v>
      </c>
      <c r="C1095" t="s">
        <v>613</v>
      </c>
      <c r="D1095">
        <v>2000</v>
      </c>
      <c r="E1095" t="s">
        <v>573</v>
      </c>
      <c r="G1095" s="6"/>
      <c r="H1095" s="6"/>
      <c r="I1095" s="6"/>
      <c r="J1095" s="6"/>
    </row>
    <row r="1096" spans="1:10" x14ac:dyDescent="0.3">
      <c r="A1096" t="s">
        <v>482</v>
      </c>
      <c r="B1096" t="s">
        <v>483</v>
      </c>
      <c r="C1096" t="s">
        <v>613</v>
      </c>
      <c r="D1096">
        <v>2001</v>
      </c>
      <c r="E1096" t="s">
        <v>573</v>
      </c>
      <c r="G1096" s="6"/>
      <c r="H1096" s="6"/>
      <c r="I1096" s="6"/>
      <c r="J1096" s="6"/>
    </row>
    <row r="1097" spans="1:10" x14ac:dyDescent="0.3">
      <c r="A1097" t="s">
        <v>482</v>
      </c>
      <c r="B1097" t="s">
        <v>483</v>
      </c>
      <c r="C1097" t="s">
        <v>613</v>
      </c>
      <c r="D1097">
        <v>2002</v>
      </c>
      <c r="E1097" t="s">
        <v>573</v>
      </c>
      <c r="G1097" s="6"/>
      <c r="H1097" s="6"/>
      <c r="I1097" s="6"/>
      <c r="J1097" s="6"/>
    </row>
    <row r="1098" spans="1:10" x14ac:dyDescent="0.3">
      <c r="A1098" t="s">
        <v>482</v>
      </c>
      <c r="B1098" t="s">
        <v>483</v>
      </c>
      <c r="C1098" t="s">
        <v>613</v>
      </c>
      <c r="D1098">
        <v>2003</v>
      </c>
      <c r="E1098" t="s">
        <v>573</v>
      </c>
      <c r="F1098" s="6">
        <v>3.9591056095489852</v>
      </c>
      <c r="G1098" s="6">
        <v>13.525839493538756</v>
      </c>
      <c r="H1098" s="6"/>
    </row>
    <row r="1099" spans="1:10" x14ac:dyDescent="0.3">
      <c r="A1099" t="s">
        <v>482</v>
      </c>
      <c r="B1099" t="s">
        <v>483</v>
      </c>
      <c r="C1099" t="s">
        <v>613</v>
      </c>
      <c r="D1099">
        <v>2004</v>
      </c>
      <c r="E1099" t="s">
        <v>573</v>
      </c>
      <c r="F1099" s="6">
        <v>3.4143851838288706</v>
      </c>
      <c r="G1099" s="6">
        <v>13.58377607965752</v>
      </c>
      <c r="H1099" s="6"/>
    </row>
    <row r="1100" spans="1:10" x14ac:dyDescent="0.3">
      <c r="A1100" t="s">
        <v>482</v>
      </c>
      <c r="B1100" t="s">
        <v>483</v>
      </c>
      <c r="C1100" t="s">
        <v>613</v>
      </c>
      <c r="D1100">
        <v>2005</v>
      </c>
      <c r="E1100" t="s">
        <v>573</v>
      </c>
      <c r="F1100" s="6">
        <v>3.263594609705248</v>
      </c>
      <c r="G1100" s="6">
        <v>13.38662393963077</v>
      </c>
      <c r="H1100" s="6"/>
    </row>
    <row r="1101" spans="1:10" x14ac:dyDescent="0.3">
      <c r="A1101" t="s">
        <v>482</v>
      </c>
      <c r="B1101" t="s">
        <v>483</v>
      </c>
      <c r="C1101" t="s">
        <v>613</v>
      </c>
      <c r="D1101">
        <v>2006</v>
      </c>
      <c r="E1101" t="s">
        <v>573</v>
      </c>
      <c r="F1101" s="6">
        <v>1.3761853324204292</v>
      </c>
      <c r="G1101" s="6">
        <v>13.211395011781912</v>
      </c>
      <c r="H1101" s="6"/>
    </row>
    <row r="1102" spans="1:10" x14ac:dyDescent="0.3">
      <c r="A1102" t="s">
        <v>482</v>
      </c>
      <c r="B1102" t="s">
        <v>483</v>
      </c>
      <c r="C1102" t="s">
        <v>613</v>
      </c>
      <c r="D1102">
        <v>2007</v>
      </c>
      <c r="E1102" t="s">
        <v>573</v>
      </c>
      <c r="F1102" s="6">
        <v>3.1909525425382679</v>
      </c>
      <c r="G1102" s="6">
        <v>16.94781521131949</v>
      </c>
      <c r="H1102" s="6"/>
    </row>
    <row r="1103" spans="1:10" x14ac:dyDescent="0.3">
      <c r="A1103" t="s">
        <v>482</v>
      </c>
      <c r="B1103" t="s">
        <v>483</v>
      </c>
      <c r="C1103" t="s">
        <v>613</v>
      </c>
      <c r="D1103">
        <v>2008</v>
      </c>
      <c r="E1103" t="s">
        <v>573</v>
      </c>
      <c r="F1103" s="6">
        <v>4.7112796792929554</v>
      </c>
      <c r="G1103" s="6">
        <v>17.592427786276293</v>
      </c>
      <c r="H1103" s="6">
        <v>12.881148106983337</v>
      </c>
    </row>
    <row r="1104" spans="1:10" x14ac:dyDescent="0.3">
      <c r="A1104" t="s">
        <v>482</v>
      </c>
      <c r="B1104" t="s">
        <v>483</v>
      </c>
      <c r="C1104" t="s">
        <v>613</v>
      </c>
      <c r="D1104">
        <v>2009</v>
      </c>
      <c r="E1104" t="s">
        <v>573</v>
      </c>
      <c r="F1104" s="6">
        <v>4.5037733746356299</v>
      </c>
      <c r="G1104" s="6">
        <v>17.215884563343138</v>
      </c>
      <c r="H1104" s="6">
        <v>12.712111188707507</v>
      </c>
    </row>
    <row r="1105" spans="1:8" x14ac:dyDescent="0.3">
      <c r="A1105" t="s">
        <v>482</v>
      </c>
      <c r="B1105" t="s">
        <v>483</v>
      </c>
      <c r="C1105" t="s">
        <v>613</v>
      </c>
      <c r="D1105">
        <v>2010</v>
      </c>
      <c r="E1105" t="s">
        <v>573</v>
      </c>
      <c r="F1105" s="6">
        <v>4.2281173895578599</v>
      </c>
      <c r="G1105" s="6">
        <v>15.632325744489327</v>
      </c>
      <c r="H1105" s="6">
        <v>11.404208354931466</v>
      </c>
    </row>
    <row r="1106" spans="1:8" x14ac:dyDescent="0.3">
      <c r="A1106" t="s">
        <v>482</v>
      </c>
      <c r="B1106" t="s">
        <v>483</v>
      </c>
      <c r="C1106" t="s">
        <v>613</v>
      </c>
      <c r="D1106">
        <v>2011</v>
      </c>
      <c r="E1106" t="s">
        <v>573</v>
      </c>
      <c r="F1106" s="6">
        <v>4.1792259309013922</v>
      </c>
      <c r="G1106" s="6">
        <v>15.900764169512867</v>
      </c>
      <c r="H1106" s="6">
        <v>11.721538238611474</v>
      </c>
    </row>
    <row r="1107" spans="1:8" x14ac:dyDescent="0.3">
      <c r="A1107" t="s">
        <v>482</v>
      </c>
      <c r="B1107" t="s">
        <v>483</v>
      </c>
      <c r="C1107" t="s">
        <v>613</v>
      </c>
      <c r="D1107">
        <v>2012</v>
      </c>
      <c r="E1107" t="s">
        <v>573</v>
      </c>
      <c r="F1107" s="6">
        <v>6.3606034446983895</v>
      </c>
      <c r="G1107" s="6">
        <v>16.975048503985604</v>
      </c>
      <c r="H1107" s="6">
        <v>10.614445059287217</v>
      </c>
    </row>
    <row r="1108" spans="1:8" x14ac:dyDescent="0.3">
      <c r="A1108" t="s">
        <v>482</v>
      </c>
      <c r="B1108" t="s">
        <v>483</v>
      </c>
      <c r="C1108" t="s">
        <v>613</v>
      </c>
      <c r="D1108">
        <v>2013</v>
      </c>
      <c r="E1108" t="s">
        <v>573</v>
      </c>
      <c r="F1108" s="6">
        <v>7.3243494113979892</v>
      </c>
      <c r="G1108" s="6">
        <v>17.033455692851977</v>
      </c>
      <c r="H1108" s="6">
        <v>9.7091062814539857</v>
      </c>
    </row>
    <row r="1109" spans="1:8" x14ac:dyDescent="0.3">
      <c r="A1109" t="s">
        <v>482</v>
      </c>
      <c r="B1109" t="s">
        <v>483</v>
      </c>
      <c r="C1109" t="s">
        <v>613</v>
      </c>
      <c r="D1109">
        <v>2014</v>
      </c>
      <c r="E1109" t="s">
        <v>573</v>
      </c>
      <c r="F1109" s="6">
        <v>6.8271176767390935</v>
      </c>
      <c r="G1109" s="6">
        <v>16.835671893254432</v>
      </c>
      <c r="H1109" s="6">
        <v>10.008554216515337</v>
      </c>
    </row>
    <row r="1110" spans="1:8" x14ac:dyDescent="0.3">
      <c r="A1110" t="s">
        <v>482</v>
      </c>
      <c r="B1110" t="s">
        <v>483</v>
      </c>
      <c r="C1110" t="s">
        <v>613</v>
      </c>
      <c r="D1110">
        <v>2015</v>
      </c>
      <c r="E1110" t="s">
        <v>573</v>
      </c>
      <c r="F1110" s="6">
        <v>5.3627363872750413</v>
      </c>
      <c r="G1110" s="6">
        <v>14.306908360002327</v>
      </c>
      <c r="H1110" s="6">
        <v>8.9441719727272861</v>
      </c>
    </row>
    <row r="1111" spans="1:8" x14ac:dyDescent="0.3">
      <c r="A1111" t="s">
        <v>482</v>
      </c>
      <c r="B1111" t="s">
        <v>483</v>
      </c>
      <c r="C1111" t="s">
        <v>613</v>
      </c>
      <c r="D1111">
        <v>2016</v>
      </c>
      <c r="E1111" t="s">
        <v>573</v>
      </c>
      <c r="F1111" s="6">
        <v>4.7674944641011976</v>
      </c>
      <c r="G1111" s="6">
        <v>14.05462455786142</v>
      </c>
      <c r="H1111" s="6">
        <v>9.2871300937602221</v>
      </c>
    </row>
    <row r="1112" spans="1:8" x14ac:dyDescent="0.3">
      <c r="A1112" t="s">
        <v>482</v>
      </c>
      <c r="B1112" t="s">
        <v>483</v>
      </c>
      <c r="C1112" t="s">
        <v>613</v>
      </c>
      <c r="D1112">
        <v>2017</v>
      </c>
      <c r="E1112" t="s">
        <v>573</v>
      </c>
      <c r="F1112" s="6">
        <v>4.8550986183434244</v>
      </c>
      <c r="G1112" s="6">
        <v>15.127847714457264</v>
      </c>
      <c r="H1112" s="6">
        <v>10.27274909611384</v>
      </c>
    </row>
    <row r="1113" spans="1:8" x14ac:dyDescent="0.3">
      <c r="A1113" t="s">
        <v>482</v>
      </c>
      <c r="B1113" t="s">
        <v>483</v>
      </c>
      <c r="C1113" t="s">
        <v>613</v>
      </c>
      <c r="D1113">
        <v>2018</v>
      </c>
      <c r="E1113" t="s">
        <v>573</v>
      </c>
      <c r="F1113" s="6">
        <v>4.0125124487362429</v>
      </c>
      <c r="G1113" s="6">
        <v>14.25542179146777</v>
      </c>
      <c r="H1113" s="6">
        <v>10.242909342731526</v>
      </c>
    </row>
    <row r="1114" spans="1:8" x14ac:dyDescent="0.3">
      <c r="A1114" t="s">
        <v>482</v>
      </c>
      <c r="B1114" t="s">
        <v>483</v>
      </c>
      <c r="C1114" t="s">
        <v>613</v>
      </c>
      <c r="D1114">
        <v>2019</v>
      </c>
      <c r="E1114" t="s">
        <v>573</v>
      </c>
      <c r="F1114" s="6">
        <v>3.3110628816638252</v>
      </c>
      <c r="G1114" s="6">
        <v>13.114956704885151</v>
      </c>
      <c r="H1114" s="6">
        <v>9.8038938232213262</v>
      </c>
    </row>
    <row r="1115" spans="1:8" x14ac:dyDescent="0.3">
      <c r="A1115" t="s">
        <v>482</v>
      </c>
      <c r="B1115" t="s">
        <v>483</v>
      </c>
      <c r="C1115" t="s">
        <v>613</v>
      </c>
      <c r="D1115">
        <v>2020</v>
      </c>
      <c r="E1115" t="s">
        <v>573</v>
      </c>
      <c r="F1115" s="6">
        <v>2.4983495266282461</v>
      </c>
      <c r="G1115" s="6">
        <v>13.821840708417437</v>
      </c>
      <c r="H1115" s="6">
        <v>11.323491181789191</v>
      </c>
    </row>
    <row r="1116" spans="1:8" x14ac:dyDescent="0.3">
      <c r="A1116" t="s">
        <v>482</v>
      </c>
      <c r="B1116" t="s">
        <v>483</v>
      </c>
      <c r="C1116" t="s">
        <v>613</v>
      </c>
      <c r="D1116">
        <v>2021</v>
      </c>
      <c r="E1116" t="s">
        <v>573</v>
      </c>
      <c r="F1116" s="6">
        <v>2.5229765029730542</v>
      </c>
      <c r="G1116" s="6">
        <v>14.280598258391365</v>
      </c>
      <c r="H1116" s="6">
        <v>11.75762175541831</v>
      </c>
    </row>
    <row r="1117" spans="1:8" x14ac:dyDescent="0.3">
      <c r="A1117" t="s">
        <v>482</v>
      </c>
      <c r="B1117" t="s">
        <v>483</v>
      </c>
      <c r="C1117" t="s">
        <v>613</v>
      </c>
      <c r="D1117">
        <v>2022</v>
      </c>
      <c r="E1117" t="s">
        <v>573</v>
      </c>
      <c r="F1117" s="6">
        <v>2.3397349560952452</v>
      </c>
      <c r="G1117" s="6">
        <v>14.308326097134465</v>
      </c>
      <c r="H1117" s="6">
        <v>11.968591141039221</v>
      </c>
    </row>
    <row r="1118" spans="1:8" x14ac:dyDescent="0.3">
      <c r="A1118" t="s">
        <v>482</v>
      </c>
      <c r="B1118" t="s">
        <v>483</v>
      </c>
      <c r="C1118" t="s">
        <v>613</v>
      </c>
      <c r="D1118">
        <v>2023</v>
      </c>
      <c r="E1118" t="s">
        <v>573</v>
      </c>
      <c r="F1118" s="6">
        <v>3.4076309016179671</v>
      </c>
      <c r="G1118" s="6">
        <v>16.943787874135147</v>
      </c>
      <c r="H1118" s="6">
        <v>13.536156972517182</v>
      </c>
    </row>
    <row r="1119" spans="1:8" x14ac:dyDescent="0.3">
      <c r="A1119" t="s">
        <v>482</v>
      </c>
      <c r="B1119" t="s">
        <v>483</v>
      </c>
      <c r="C1119" t="s">
        <v>613</v>
      </c>
      <c r="D1119">
        <v>2024</v>
      </c>
      <c r="E1119" t="s">
        <v>573</v>
      </c>
      <c r="F1119" s="6">
        <v>4.5232249094723986</v>
      </c>
      <c r="G1119" s="6">
        <v>21.505635684786981</v>
      </c>
      <c r="H1119" s="6">
        <v>16.98241077531458</v>
      </c>
    </row>
    <row r="1120" spans="1:8" x14ac:dyDescent="0.3">
      <c r="A1120" t="s">
        <v>492</v>
      </c>
      <c r="B1120" t="s">
        <v>493</v>
      </c>
      <c r="C1120" t="s">
        <v>614</v>
      </c>
      <c r="D1120">
        <v>1973</v>
      </c>
      <c r="E1120" t="s">
        <v>573</v>
      </c>
      <c r="F1120" s="6"/>
      <c r="G1120" s="6"/>
      <c r="H1120" s="6"/>
    </row>
    <row r="1121" spans="1:8" x14ac:dyDescent="0.3">
      <c r="A1121" t="s">
        <v>492</v>
      </c>
      <c r="B1121" t="s">
        <v>493</v>
      </c>
      <c r="C1121" t="s">
        <v>614</v>
      </c>
      <c r="D1121">
        <v>1974</v>
      </c>
      <c r="E1121" t="s">
        <v>573</v>
      </c>
      <c r="F1121" s="6"/>
      <c r="G1121" s="6"/>
      <c r="H1121" s="6"/>
    </row>
    <row r="1122" spans="1:8" x14ac:dyDescent="0.3">
      <c r="A1122" t="s">
        <v>492</v>
      </c>
      <c r="B1122" t="s">
        <v>493</v>
      </c>
      <c r="C1122" t="s">
        <v>614</v>
      </c>
      <c r="D1122">
        <v>1975</v>
      </c>
      <c r="E1122" t="s">
        <v>573</v>
      </c>
      <c r="F1122" s="6"/>
      <c r="G1122" s="6"/>
      <c r="H1122" s="6"/>
    </row>
    <row r="1123" spans="1:8" x14ac:dyDescent="0.3">
      <c r="A1123" t="s">
        <v>492</v>
      </c>
      <c r="B1123" t="s">
        <v>493</v>
      </c>
      <c r="C1123" t="s">
        <v>614</v>
      </c>
      <c r="D1123">
        <v>1976</v>
      </c>
      <c r="E1123" t="s">
        <v>573</v>
      </c>
      <c r="F1123" s="6"/>
      <c r="G1123" s="6"/>
      <c r="H1123" s="6"/>
    </row>
    <row r="1124" spans="1:8" x14ac:dyDescent="0.3">
      <c r="A1124" t="s">
        <v>492</v>
      </c>
      <c r="B1124" t="s">
        <v>493</v>
      </c>
      <c r="C1124" t="s">
        <v>614</v>
      </c>
      <c r="D1124">
        <v>1977</v>
      </c>
      <c r="E1124" t="s">
        <v>573</v>
      </c>
      <c r="F1124" s="6"/>
      <c r="G1124" s="6"/>
      <c r="H1124" s="6"/>
    </row>
    <row r="1125" spans="1:8" x14ac:dyDescent="0.3">
      <c r="A1125" t="s">
        <v>492</v>
      </c>
      <c r="B1125" t="s">
        <v>493</v>
      </c>
      <c r="C1125" t="s">
        <v>614</v>
      </c>
      <c r="D1125">
        <v>1978</v>
      </c>
      <c r="E1125" t="s">
        <v>573</v>
      </c>
      <c r="F1125" s="6"/>
      <c r="G1125" s="6"/>
      <c r="H1125" s="6"/>
    </row>
    <row r="1126" spans="1:8" x14ac:dyDescent="0.3">
      <c r="A1126" t="s">
        <v>492</v>
      </c>
      <c r="B1126" t="s">
        <v>493</v>
      </c>
      <c r="C1126" t="s">
        <v>614</v>
      </c>
      <c r="D1126">
        <v>1979</v>
      </c>
      <c r="E1126" t="s">
        <v>573</v>
      </c>
      <c r="F1126" s="6"/>
      <c r="G1126" s="6"/>
      <c r="H1126" s="6"/>
    </row>
    <row r="1127" spans="1:8" x14ac:dyDescent="0.3">
      <c r="A1127" t="s">
        <v>492</v>
      </c>
      <c r="B1127" t="s">
        <v>493</v>
      </c>
      <c r="C1127" t="s">
        <v>614</v>
      </c>
      <c r="D1127">
        <v>1980</v>
      </c>
      <c r="E1127" t="s">
        <v>573</v>
      </c>
      <c r="F1127" s="6"/>
      <c r="G1127" s="6"/>
      <c r="H1127" s="6"/>
    </row>
    <row r="1128" spans="1:8" x14ac:dyDescent="0.3">
      <c r="A1128" t="s">
        <v>492</v>
      </c>
      <c r="B1128" t="s">
        <v>493</v>
      </c>
      <c r="C1128" t="s">
        <v>614</v>
      </c>
      <c r="D1128">
        <v>1981</v>
      </c>
      <c r="E1128" t="s">
        <v>573</v>
      </c>
      <c r="F1128" s="6"/>
      <c r="G1128" s="6"/>
      <c r="H1128" s="6"/>
    </row>
    <row r="1129" spans="1:8" x14ac:dyDescent="0.3">
      <c r="A1129" t="s">
        <v>492</v>
      </c>
      <c r="B1129" t="s">
        <v>493</v>
      </c>
      <c r="C1129" t="s">
        <v>614</v>
      </c>
      <c r="D1129">
        <v>1982</v>
      </c>
      <c r="E1129" t="s">
        <v>573</v>
      </c>
      <c r="F1129" s="6"/>
      <c r="G1129" s="6"/>
      <c r="H1129" s="6"/>
    </row>
    <row r="1130" spans="1:8" x14ac:dyDescent="0.3">
      <c r="A1130" t="s">
        <v>492</v>
      </c>
      <c r="B1130" t="s">
        <v>493</v>
      </c>
      <c r="C1130" t="s">
        <v>614</v>
      </c>
      <c r="D1130">
        <v>1983</v>
      </c>
      <c r="E1130" t="s">
        <v>573</v>
      </c>
      <c r="F1130" s="6"/>
      <c r="G1130" s="6"/>
      <c r="H1130" s="6"/>
    </row>
    <row r="1131" spans="1:8" x14ac:dyDescent="0.3">
      <c r="A1131" t="s">
        <v>492</v>
      </c>
      <c r="B1131" t="s">
        <v>493</v>
      </c>
      <c r="C1131" t="s">
        <v>614</v>
      </c>
      <c r="D1131">
        <v>1984</v>
      </c>
      <c r="E1131" t="s">
        <v>573</v>
      </c>
      <c r="F1131" s="6"/>
      <c r="G1131" s="6"/>
      <c r="H1131" s="6"/>
    </row>
    <row r="1132" spans="1:8" x14ac:dyDescent="0.3">
      <c r="A1132" t="s">
        <v>492</v>
      </c>
      <c r="B1132" t="s">
        <v>493</v>
      </c>
      <c r="C1132" t="s">
        <v>614</v>
      </c>
      <c r="D1132">
        <v>1985</v>
      </c>
      <c r="E1132" t="s">
        <v>573</v>
      </c>
      <c r="F1132" s="6"/>
      <c r="G1132" s="6"/>
      <c r="H1132" s="6"/>
    </row>
    <row r="1133" spans="1:8" x14ac:dyDescent="0.3">
      <c r="A1133" t="s">
        <v>492</v>
      </c>
      <c r="B1133" t="s">
        <v>493</v>
      </c>
      <c r="C1133" t="s">
        <v>614</v>
      </c>
      <c r="D1133">
        <v>1986</v>
      </c>
      <c r="E1133" t="s">
        <v>573</v>
      </c>
      <c r="F1133" s="6"/>
      <c r="G1133" s="6"/>
      <c r="H1133" s="6"/>
    </row>
    <row r="1134" spans="1:8" x14ac:dyDescent="0.3">
      <c r="A1134" t="s">
        <v>492</v>
      </c>
      <c r="B1134" t="s">
        <v>493</v>
      </c>
      <c r="C1134" t="s">
        <v>614</v>
      </c>
      <c r="D1134">
        <v>1987</v>
      </c>
      <c r="E1134" t="s">
        <v>573</v>
      </c>
      <c r="F1134" s="6"/>
      <c r="G1134" s="6"/>
      <c r="H1134" s="6"/>
    </row>
    <row r="1135" spans="1:8" x14ac:dyDescent="0.3">
      <c r="A1135" t="s">
        <v>492</v>
      </c>
      <c r="B1135" t="s">
        <v>493</v>
      </c>
      <c r="C1135" t="s">
        <v>614</v>
      </c>
      <c r="D1135">
        <v>1988</v>
      </c>
      <c r="E1135" t="s">
        <v>573</v>
      </c>
      <c r="F1135" s="6"/>
      <c r="G1135" s="6"/>
      <c r="H1135" s="6"/>
    </row>
    <row r="1136" spans="1:8" x14ac:dyDescent="0.3">
      <c r="A1136" t="s">
        <v>492</v>
      </c>
      <c r="B1136" t="s">
        <v>493</v>
      </c>
      <c r="C1136" t="s">
        <v>614</v>
      </c>
      <c r="D1136">
        <v>1989</v>
      </c>
      <c r="E1136" t="s">
        <v>573</v>
      </c>
      <c r="F1136" s="6"/>
      <c r="G1136" s="6"/>
      <c r="H1136" s="6"/>
    </row>
    <row r="1137" spans="1:8" x14ac:dyDescent="0.3">
      <c r="A1137" t="s">
        <v>492</v>
      </c>
      <c r="B1137" t="s">
        <v>493</v>
      </c>
      <c r="C1137" t="s">
        <v>614</v>
      </c>
      <c r="D1137">
        <v>1990</v>
      </c>
      <c r="E1137" t="s">
        <v>573</v>
      </c>
      <c r="F1137" s="6"/>
      <c r="G1137" s="6"/>
      <c r="H1137" s="6"/>
    </row>
    <row r="1138" spans="1:8" x14ac:dyDescent="0.3">
      <c r="A1138" t="s">
        <v>492</v>
      </c>
      <c r="B1138" t="s">
        <v>493</v>
      </c>
      <c r="C1138" t="s">
        <v>614</v>
      </c>
      <c r="D1138">
        <v>1991</v>
      </c>
      <c r="E1138" t="s">
        <v>573</v>
      </c>
      <c r="F1138" s="6"/>
      <c r="G1138" s="6"/>
      <c r="H1138" s="6"/>
    </row>
    <row r="1139" spans="1:8" x14ac:dyDescent="0.3">
      <c r="A1139" t="s">
        <v>492</v>
      </c>
      <c r="B1139" t="s">
        <v>493</v>
      </c>
      <c r="C1139" t="s">
        <v>614</v>
      </c>
      <c r="D1139">
        <v>1992</v>
      </c>
      <c r="E1139" t="s">
        <v>573</v>
      </c>
      <c r="F1139" s="6"/>
      <c r="G1139" s="6"/>
      <c r="H1139" s="6"/>
    </row>
    <row r="1140" spans="1:8" x14ac:dyDescent="0.3">
      <c r="A1140" t="s">
        <v>492</v>
      </c>
      <c r="B1140" t="s">
        <v>493</v>
      </c>
      <c r="C1140" t="s">
        <v>614</v>
      </c>
      <c r="D1140">
        <v>1993</v>
      </c>
      <c r="E1140" t="s">
        <v>573</v>
      </c>
      <c r="F1140" s="6"/>
      <c r="G1140" s="6"/>
      <c r="H1140" s="6"/>
    </row>
    <row r="1141" spans="1:8" x14ac:dyDescent="0.3">
      <c r="A1141" t="s">
        <v>492</v>
      </c>
      <c r="B1141" t="s">
        <v>493</v>
      </c>
      <c r="C1141" t="s">
        <v>614</v>
      </c>
      <c r="D1141">
        <v>1994</v>
      </c>
      <c r="E1141" t="s">
        <v>573</v>
      </c>
      <c r="F1141" s="6"/>
      <c r="G1141" s="6"/>
      <c r="H1141" s="6"/>
    </row>
    <row r="1142" spans="1:8" x14ac:dyDescent="0.3">
      <c r="A1142" t="s">
        <v>492</v>
      </c>
      <c r="B1142" t="s">
        <v>493</v>
      </c>
      <c r="C1142" t="s">
        <v>614</v>
      </c>
      <c r="D1142">
        <v>1995</v>
      </c>
      <c r="E1142" t="s">
        <v>573</v>
      </c>
      <c r="F1142" s="6"/>
      <c r="G1142" s="6"/>
      <c r="H1142" s="6"/>
    </row>
    <row r="1143" spans="1:8" x14ac:dyDescent="0.3">
      <c r="A1143" t="s">
        <v>492</v>
      </c>
      <c r="B1143" t="s">
        <v>493</v>
      </c>
      <c r="C1143" t="s">
        <v>614</v>
      </c>
      <c r="D1143">
        <v>1996</v>
      </c>
      <c r="E1143" t="s">
        <v>573</v>
      </c>
      <c r="F1143" s="6"/>
      <c r="G1143" s="6"/>
      <c r="H1143" s="6"/>
    </row>
    <row r="1144" spans="1:8" x14ac:dyDescent="0.3">
      <c r="A1144" t="s">
        <v>492</v>
      </c>
      <c r="B1144" t="s">
        <v>493</v>
      </c>
      <c r="C1144" t="s">
        <v>614</v>
      </c>
      <c r="D1144">
        <v>1997</v>
      </c>
      <c r="E1144" t="s">
        <v>573</v>
      </c>
      <c r="F1144" s="6"/>
      <c r="G1144" s="6"/>
      <c r="H1144" s="6"/>
    </row>
    <row r="1145" spans="1:8" x14ac:dyDescent="0.3">
      <c r="A1145" t="s">
        <v>492</v>
      </c>
      <c r="B1145" t="s">
        <v>493</v>
      </c>
      <c r="C1145" t="s">
        <v>614</v>
      </c>
      <c r="D1145">
        <v>1998</v>
      </c>
      <c r="E1145" t="s">
        <v>573</v>
      </c>
      <c r="F1145" s="6"/>
      <c r="G1145" s="6"/>
      <c r="H1145" s="6"/>
    </row>
    <row r="1146" spans="1:8" x14ac:dyDescent="0.3">
      <c r="A1146" t="s">
        <v>492</v>
      </c>
      <c r="B1146" t="s">
        <v>493</v>
      </c>
      <c r="C1146" t="s">
        <v>614</v>
      </c>
      <c r="D1146">
        <v>1999</v>
      </c>
      <c r="E1146" t="s">
        <v>573</v>
      </c>
      <c r="F1146" s="6"/>
      <c r="G1146" s="6"/>
      <c r="H1146" s="6"/>
    </row>
    <row r="1147" spans="1:8" x14ac:dyDescent="0.3">
      <c r="A1147" t="s">
        <v>492</v>
      </c>
      <c r="B1147" t="s">
        <v>493</v>
      </c>
      <c r="C1147" t="s">
        <v>614</v>
      </c>
      <c r="D1147">
        <v>2000</v>
      </c>
      <c r="E1147" t="s">
        <v>573</v>
      </c>
      <c r="F1147" s="6"/>
      <c r="G1147" s="6"/>
      <c r="H1147" s="6"/>
    </row>
    <row r="1148" spans="1:8" x14ac:dyDescent="0.3">
      <c r="A1148" t="s">
        <v>492</v>
      </c>
      <c r="B1148" t="s">
        <v>493</v>
      </c>
      <c r="C1148" t="s">
        <v>614</v>
      </c>
      <c r="D1148">
        <v>2001</v>
      </c>
      <c r="E1148" t="s">
        <v>573</v>
      </c>
      <c r="F1148" s="6">
        <v>2.9020130671326007E-2</v>
      </c>
      <c r="G1148" s="6">
        <v>2.9400161121080955E-2</v>
      </c>
      <c r="H1148" s="6">
        <v>3.8003044975494689E-4</v>
      </c>
    </row>
    <row r="1149" spans="1:8" x14ac:dyDescent="0.3">
      <c r="A1149" t="s">
        <v>492</v>
      </c>
      <c r="B1149" t="s">
        <v>493</v>
      </c>
      <c r="C1149" t="s">
        <v>614</v>
      </c>
      <c r="D1149">
        <v>2002</v>
      </c>
      <c r="E1149" t="s">
        <v>573</v>
      </c>
      <c r="F1149" s="6">
        <v>2.9161986551343999E-2</v>
      </c>
      <c r="G1149" s="6">
        <v>2.9273904448143553E-2</v>
      </c>
      <c r="H1149" s="6">
        <v>1.1191789679955304E-4</v>
      </c>
    </row>
    <row r="1150" spans="1:8" x14ac:dyDescent="0.3">
      <c r="A1150" t="s">
        <v>492</v>
      </c>
      <c r="B1150" t="s">
        <v>493</v>
      </c>
      <c r="C1150" t="s">
        <v>614</v>
      </c>
      <c r="D1150">
        <v>2003</v>
      </c>
      <c r="E1150" t="s">
        <v>573</v>
      </c>
      <c r="F1150" s="6">
        <v>2.306325675312507E-2</v>
      </c>
      <c r="G1150" s="6">
        <v>2.3150126745934321E-2</v>
      </c>
      <c r="H1150" s="6">
        <v>8.6869992809256462E-5</v>
      </c>
    </row>
    <row r="1151" spans="1:8" x14ac:dyDescent="0.3">
      <c r="A1151" t="s">
        <v>492</v>
      </c>
      <c r="B1151" t="s">
        <v>493</v>
      </c>
      <c r="C1151" t="s">
        <v>614</v>
      </c>
      <c r="D1151">
        <v>2004</v>
      </c>
      <c r="E1151" t="s">
        <v>573</v>
      </c>
      <c r="F1151" s="6">
        <v>2.3748642894090243E-2</v>
      </c>
      <c r="G1151" s="6">
        <v>2.3879080629368055E-2</v>
      </c>
      <c r="H1151" s="6">
        <v>1.3043773527781293E-4</v>
      </c>
    </row>
    <row r="1152" spans="1:8" x14ac:dyDescent="0.3">
      <c r="A1152" t="s">
        <v>492</v>
      </c>
      <c r="B1152" t="s">
        <v>493</v>
      </c>
      <c r="C1152" t="s">
        <v>614</v>
      </c>
      <c r="D1152">
        <v>2005</v>
      </c>
      <c r="E1152" t="s">
        <v>573</v>
      </c>
      <c r="F1152" s="6">
        <v>2.4669266746430073E-2</v>
      </c>
      <c r="G1152" s="6">
        <v>2.4864428111938095E-2</v>
      </c>
      <c r="H1152" s="6">
        <v>1.9516136550802555E-4</v>
      </c>
    </row>
    <row r="1153" spans="1:8" x14ac:dyDescent="0.3">
      <c r="A1153" t="s">
        <v>492</v>
      </c>
      <c r="B1153" t="s">
        <v>493</v>
      </c>
      <c r="C1153" t="s">
        <v>614</v>
      </c>
      <c r="D1153">
        <v>2006</v>
      </c>
      <c r="E1153" t="s">
        <v>573</v>
      </c>
      <c r="F1153" s="6">
        <v>6.0939646825579792E-2</v>
      </c>
      <c r="G1153" s="6">
        <v>6.1134215500945187E-2</v>
      </c>
      <c r="H1153" s="6">
        <v>1.9456867536539262E-4</v>
      </c>
    </row>
    <row r="1154" spans="1:8" x14ac:dyDescent="0.3">
      <c r="A1154" t="s">
        <v>492</v>
      </c>
      <c r="B1154" t="s">
        <v>493</v>
      </c>
      <c r="C1154" t="s">
        <v>614</v>
      </c>
      <c r="D1154">
        <v>2007</v>
      </c>
      <c r="E1154" t="s">
        <v>573</v>
      </c>
      <c r="F1154" s="6">
        <v>5.6837035478540569E-2</v>
      </c>
      <c r="G1154" s="6">
        <v>5.7164658050030653E-2</v>
      </c>
      <c r="H1154" s="6">
        <v>3.2762257149007679E-4</v>
      </c>
    </row>
    <row r="1155" spans="1:8" x14ac:dyDescent="0.3">
      <c r="A1155" t="s">
        <v>492</v>
      </c>
      <c r="B1155" t="s">
        <v>493</v>
      </c>
      <c r="C1155" t="s">
        <v>614</v>
      </c>
      <c r="D1155">
        <v>2008</v>
      </c>
      <c r="E1155" t="s">
        <v>573</v>
      </c>
      <c r="F1155" s="6">
        <v>4.6721699033144042E-2</v>
      </c>
      <c r="G1155" s="6">
        <v>4.676324127129397E-2</v>
      </c>
      <c r="H1155" s="6">
        <v>4.1542238149918009E-5</v>
      </c>
    </row>
    <row r="1156" spans="1:8" x14ac:dyDescent="0.3">
      <c r="A1156" t="s">
        <v>492</v>
      </c>
      <c r="B1156" t="s">
        <v>493</v>
      </c>
      <c r="C1156" t="s">
        <v>614</v>
      </c>
      <c r="D1156">
        <v>2009</v>
      </c>
      <c r="E1156" t="s">
        <v>573</v>
      </c>
      <c r="F1156" s="6">
        <v>5.7354831878753045E-2</v>
      </c>
      <c r="G1156" s="6">
        <v>5.7503667962427958E-2</v>
      </c>
      <c r="H1156" s="6">
        <v>1.4883608367492022E-4</v>
      </c>
    </row>
    <row r="1157" spans="1:8" x14ac:dyDescent="0.3">
      <c r="A1157" t="s">
        <v>492</v>
      </c>
      <c r="B1157" t="s">
        <v>493</v>
      </c>
      <c r="C1157" t="s">
        <v>614</v>
      </c>
      <c r="D1157">
        <v>2010</v>
      </c>
      <c r="E1157" t="s">
        <v>573</v>
      </c>
      <c r="F1157" s="6">
        <v>7.6161658675493932E-2</v>
      </c>
      <c r="G1157" s="6">
        <v>7.6473216458087245E-2</v>
      </c>
      <c r="H1157" s="6">
        <v>3.1155778259333618E-4</v>
      </c>
    </row>
    <row r="1158" spans="1:8" x14ac:dyDescent="0.3">
      <c r="A1158" t="s">
        <v>492</v>
      </c>
      <c r="B1158" t="s">
        <v>493</v>
      </c>
      <c r="C1158" t="s">
        <v>614</v>
      </c>
      <c r="D1158">
        <v>2011</v>
      </c>
      <c r="E1158" t="s">
        <v>573</v>
      </c>
      <c r="F1158" s="6">
        <v>8.2246312386066403E-2</v>
      </c>
      <c r="G1158" s="6">
        <v>8.2433289038078075E-2</v>
      </c>
      <c r="H1158" s="6">
        <v>1.8697665201167874E-4</v>
      </c>
    </row>
    <row r="1159" spans="1:8" x14ac:dyDescent="0.3">
      <c r="A1159" t="s">
        <v>492</v>
      </c>
      <c r="B1159" t="s">
        <v>493</v>
      </c>
      <c r="C1159" t="s">
        <v>614</v>
      </c>
      <c r="D1159">
        <v>2012</v>
      </c>
      <c r="E1159" t="s">
        <v>573</v>
      </c>
      <c r="F1159" s="6">
        <v>9.2009003369172573E-2</v>
      </c>
      <c r="G1159" s="6">
        <v>9.2499623508977363E-2</v>
      </c>
      <c r="H1159" s="6">
        <v>4.9062013980479186E-4</v>
      </c>
    </row>
    <row r="1160" spans="1:8" x14ac:dyDescent="0.3">
      <c r="A1160" t="s">
        <v>492</v>
      </c>
      <c r="B1160" t="s">
        <v>493</v>
      </c>
      <c r="C1160" t="s">
        <v>614</v>
      </c>
      <c r="D1160">
        <v>2013</v>
      </c>
      <c r="E1160" t="s">
        <v>573</v>
      </c>
      <c r="F1160" s="6">
        <v>0.10006707908378772</v>
      </c>
      <c r="G1160" s="6">
        <v>0.10019304130922785</v>
      </c>
      <c r="H1160" s="6">
        <v>1.259622254401372E-4</v>
      </c>
    </row>
    <row r="1161" spans="1:8" x14ac:dyDescent="0.3">
      <c r="A1161" t="s">
        <v>492</v>
      </c>
      <c r="B1161" t="s">
        <v>493</v>
      </c>
      <c r="C1161" t="s">
        <v>614</v>
      </c>
      <c r="D1161">
        <v>2014</v>
      </c>
      <c r="E1161" t="s">
        <v>573</v>
      </c>
      <c r="F1161" s="6">
        <v>0.12050509956289461</v>
      </c>
      <c r="G1161" s="6">
        <v>0.1206312098188194</v>
      </c>
      <c r="H1161" s="6">
        <v>1.2611025592479484E-4</v>
      </c>
    </row>
    <row r="1162" spans="1:8" x14ac:dyDescent="0.3">
      <c r="A1162" t="s">
        <v>492</v>
      </c>
      <c r="B1162" t="s">
        <v>493</v>
      </c>
      <c r="C1162" t="s">
        <v>614</v>
      </c>
      <c r="D1162">
        <v>2015</v>
      </c>
      <c r="E1162" t="s">
        <v>573</v>
      </c>
      <c r="F1162" s="6">
        <v>0.11918139827589558</v>
      </c>
      <c r="G1162" s="6">
        <v>0.1193171027072564</v>
      </c>
      <c r="H1162" s="6">
        <v>1.3570443136082399E-4</v>
      </c>
    </row>
    <row r="1163" spans="1:8" x14ac:dyDescent="0.3">
      <c r="A1163" t="s">
        <v>492</v>
      </c>
      <c r="B1163" t="s">
        <v>493</v>
      </c>
      <c r="C1163" t="s">
        <v>614</v>
      </c>
      <c r="D1163">
        <v>2016</v>
      </c>
      <c r="E1163" t="s">
        <v>573</v>
      </c>
      <c r="F1163" s="6">
        <v>0.1421241484619028</v>
      </c>
      <c r="G1163" s="6">
        <v>0.14225624301437909</v>
      </c>
      <c r="H1163" s="6">
        <v>1.3209455247633974E-4</v>
      </c>
    </row>
    <row r="1164" spans="1:8" x14ac:dyDescent="0.3">
      <c r="A1164" t="s">
        <v>492</v>
      </c>
      <c r="B1164" t="s">
        <v>493</v>
      </c>
      <c r="C1164" t="s">
        <v>614</v>
      </c>
      <c r="D1164">
        <v>2017</v>
      </c>
      <c r="E1164" t="s">
        <v>573</v>
      </c>
      <c r="F1164" s="6">
        <v>0.18277784749044262</v>
      </c>
      <c r="G1164" s="6">
        <v>0.18331361304390387</v>
      </c>
      <c r="H1164" s="6">
        <v>5.3576555346125567E-4</v>
      </c>
    </row>
    <row r="1165" spans="1:8" x14ac:dyDescent="0.3">
      <c r="A1165" t="s">
        <v>492</v>
      </c>
      <c r="B1165" t="s">
        <v>493</v>
      </c>
      <c r="C1165" t="s">
        <v>614</v>
      </c>
      <c r="D1165">
        <v>2018</v>
      </c>
      <c r="E1165" t="s">
        <v>573</v>
      </c>
      <c r="F1165" s="6">
        <v>0.18560160622385219</v>
      </c>
      <c r="G1165" s="6">
        <v>0.18639596560914534</v>
      </c>
      <c r="H1165" s="6">
        <v>7.9435938529314549E-4</v>
      </c>
    </row>
    <row r="1166" spans="1:8" x14ac:dyDescent="0.3">
      <c r="A1166" t="s">
        <v>492</v>
      </c>
      <c r="B1166" t="s">
        <v>493</v>
      </c>
      <c r="C1166" t="s">
        <v>614</v>
      </c>
      <c r="D1166">
        <v>2019</v>
      </c>
      <c r="E1166" t="s">
        <v>573</v>
      </c>
      <c r="F1166" s="6">
        <v>0.24526853558379408</v>
      </c>
      <c r="G1166" s="6">
        <v>0.24546868432114335</v>
      </c>
      <c r="H1166" s="6">
        <v>2.0014873734924176E-4</v>
      </c>
    </row>
    <row r="1167" spans="1:8" x14ac:dyDescent="0.3">
      <c r="A1167" t="s">
        <v>492</v>
      </c>
      <c r="B1167" t="s">
        <v>493</v>
      </c>
      <c r="C1167" t="s">
        <v>614</v>
      </c>
      <c r="D1167">
        <v>2020</v>
      </c>
      <c r="E1167" t="s">
        <v>573</v>
      </c>
      <c r="F1167" s="6">
        <v>0.3787944191392088</v>
      </c>
      <c r="G1167" s="6">
        <v>0.37902934937844895</v>
      </c>
      <c r="H1167" s="6">
        <v>2.3493023924011055E-4</v>
      </c>
    </row>
    <row r="1168" spans="1:8" x14ac:dyDescent="0.3">
      <c r="A1168" t="s">
        <v>492</v>
      </c>
      <c r="B1168" t="s">
        <v>493</v>
      </c>
      <c r="C1168" t="s">
        <v>614</v>
      </c>
      <c r="D1168">
        <v>2021</v>
      </c>
      <c r="E1168" t="s">
        <v>573</v>
      </c>
      <c r="F1168" s="6">
        <v>0.47601263225507173</v>
      </c>
      <c r="G1168" s="6">
        <v>0.4765079308437562</v>
      </c>
      <c r="H1168" s="6">
        <v>4.9529858868449701E-4</v>
      </c>
    </row>
    <row r="1169" spans="1:8" x14ac:dyDescent="0.3">
      <c r="A1169" t="s">
        <v>492</v>
      </c>
      <c r="B1169" t="s">
        <v>493</v>
      </c>
      <c r="C1169" t="s">
        <v>614</v>
      </c>
      <c r="D1169">
        <v>2022</v>
      </c>
      <c r="E1169" t="s">
        <v>573</v>
      </c>
      <c r="F1169" s="6">
        <v>0.34370014691510165</v>
      </c>
      <c r="G1169" s="6">
        <v>0.34418662076142892</v>
      </c>
      <c r="H1169" s="6">
        <v>4.8647384632727347E-4</v>
      </c>
    </row>
    <row r="1170" spans="1:8" x14ac:dyDescent="0.3">
      <c r="A1170" t="s">
        <v>492</v>
      </c>
      <c r="B1170" t="s">
        <v>493</v>
      </c>
      <c r="C1170" t="s">
        <v>614</v>
      </c>
      <c r="D1170">
        <v>2023</v>
      </c>
      <c r="E1170" t="s">
        <v>573</v>
      </c>
      <c r="F1170" s="6">
        <v>0.41068561807431769</v>
      </c>
      <c r="G1170" s="6">
        <v>0.41114521731148573</v>
      </c>
      <c r="H1170" s="6">
        <v>4.5959923716797009E-4</v>
      </c>
    </row>
    <row r="1171" spans="1:8" x14ac:dyDescent="0.3">
      <c r="A1171" t="s">
        <v>492</v>
      </c>
      <c r="B1171" t="s">
        <v>493</v>
      </c>
      <c r="C1171" t="s">
        <v>614</v>
      </c>
      <c r="D1171">
        <v>2024</v>
      </c>
      <c r="E1171" t="s">
        <v>573</v>
      </c>
      <c r="F1171" s="6">
        <v>0.65294305779299699</v>
      </c>
      <c r="G1171" s="6">
        <v>0.65351170443578632</v>
      </c>
      <c r="H1171" s="6">
        <v>5.686466427893207E-4</v>
      </c>
    </row>
    <row r="1172" spans="1:8" x14ac:dyDescent="0.3">
      <c r="A1172" t="s">
        <v>496</v>
      </c>
      <c r="B1172" t="s">
        <v>493</v>
      </c>
      <c r="C1172" t="s">
        <v>614</v>
      </c>
      <c r="D1172">
        <v>2000</v>
      </c>
      <c r="E1172" t="s">
        <v>573</v>
      </c>
      <c r="F1172" s="6"/>
      <c r="G1172" s="6"/>
      <c r="H1172" s="6"/>
    </row>
    <row r="1173" spans="1:8" x14ac:dyDescent="0.3">
      <c r="A1173" t="s">
        <v>496</v>
      </c>
      <c r="B1173" t="s">
        <v>493</v>
      </c>
      <c r="C1173" t="s">
        <v>614</v>
      </c>
      <c r="D1173">
        <v>2001</v>
      </c>
      <c r="E1173" t="s">
        <v>573</v>
      </c>
      <c r="F1173" s="6"/>
      <c r="G1173" s="6"/>
      <c r="H1173" s="6"/>
    </row>
    <row r="1174" spans="1:8" x14ac:dyDescent="0.3">
      <c r="A1174" t="s">
        <v>496</v>
      </c>
      <c r="B1174" t="s">
        <v>493</v>
      </c>
      <c r="C1174" t="s">
        <v>614</v>
      </c>
      <c r="D1174">
        <v>2002</v>
      </c>
      <c r="E1174" t="s">
        <v>573</v>
      </c>
      <c r="F1174" s="6"/>
      <c r="G1174" s="6"/>
      <c r="H1174" s="6"/>
    </row>
    <row r="1175" spans="1:8" x14ac:dyDescent="0.3">
      <c r="A1175" t="s">
        <v>496</v>
      </c>
      <c r="B1175" t="s">
        <v>493</v>
      </c>
      <c r="C1175" t="s">
        <v>614</v>
      </c>
      <c r="D1175">
        <v>2003</v>
      </c>
      <c r="E1175" t="s">
        <v>573</v>
      </c>
      <c r="F1175" s="6"/>
      <c r="G1175" s="6"/>
      <c r="H1175" s="6"/>
    </row>
    <row r="1176" spans="1:8" x14ac:dyDescent="0.3">
      <c r="A1176" t="s">
        <v>496</v>
      </c>
      <c r="B1176" t="s">
        <v>493</v>
      </c>
      <c r="C1176" t="s">
        <v>614</v>
      </c>
      <c r="D1176">
        <v>2004</v>
      </c>
      <c r="E1176" t="s">
        <v>573</v>
      </c>
      <c r="F1176" s="6"/>
      <c r="G1176" s="6"/>
      <c r="H1176" s="6"/>
    </row>
    <row r="1177" spans="1:8" x14ac:dyDescent="0.3">
      <c r="A1177" t="s">
        <v>496</v>
      </c>
      <c r="B1177" t="s">
        <v>493</v>
      </c>
      <c r="C1177" t="s">
        <v>614</v>
      </c>
      <c r="D1177">
        <v>2005</v>
      </c>
      <c r="E1177" t="s">
        <v>573</v>
      </c>
      <c r="G1177" s="6">
        <v>2.9515238763149307</v>
      </c>
    </row>
    <row r="1178" spans="1:8" x14ac:dyDescent="0.3">
      <c r="A1178" t="s">
        <v>496</v>
      </c>
      <c r="B1178" t="s">
        <v>493</v>
      </c>
      <c r="C1178" t="s">
        <v>614</v>
      </c>
      <c r="D1178">
        <v>2006</v>
      </c>
      <c r="E1178" t="s">
        <v>573</v>
      </c>
      <c r="G1178" s="6">
        <v>3.104505016459957</v>
      </c>
    </row>
    <row r="1179" spans="1:8" x14ac:dyDescent="0.3">
      <c r="A1179" t="s">
        <v>496</v>
      </c>
      <c r="B1179" t="s">
        <v>493</v>
      </c>
      <c r="C1179" t="s">
        <v>614</v>
      </c>
      <c r="D1179">
        <v>2007</v>
      </c>
      <c r="E1179" t="s">
        <v>573</v>
      </c>
      <c r="G1179" s="6">
        <v>1.5386885834495188</v>
      </c>
    </row>
    <row r="1180" spans="1:8" x14ac:dyDescent="0.3">
      <c r="A1180" t="s">
        <v>496</v>
      </c>
      <c r="B1180" t="s">
        <v>493</v>
      </c>
      <c r="C1180" t="s">
        <v>614</v>
      </c>
      <c r="D1180">
        <v>2008</v>
      </c>
      <c r="E1180" t="s">
        <v>573</v>
      </c>
      <c r="G1180" s="6">
        <v>2.8980131219245662</v>
      </c>
    </row>
    <row r="1181" spans="1:8" x14ac:dyDescent="0.3">
      <c r="A1181" t="s">
        <v>496</v>
      </c>
      <c r="B1181" t="s">
        <v>493</v>
      </c>
      <c r="C1181" t="s">
        <v>614</v>
      </c>
      <c r="D1181">
        <v>2009</v>
      </c>
      <c r="E1181" t="s">
        <v>573</v>
      </c>
      <c r="G1181" s="6">
        <v>2.9620412094746871</v>
      </c>
    </row>
    <row r="1182" spans="1:8" x14ac:dyDescent="0.3">
      <c r="A1182" t="s">
        <v>496</v>
      </c>
      <c r="B1182" t="s">
        <v>493</v>
      </c>
      <c r="C1182" t="s">
        <v>614</v>
      </c>
      <c r="D1182">
        <v>2010</v>
      </c>
      <c r="E1182" t="s">
        <v>573</v>
      </c>
      <c r="G1182" s="6">
        <v>1.2638020540694945</v>
      </c>
    </row>
    <row r="1183" spans="1:8" x14ac:dyDescent="0.3">
      <c r="A1183" t="s">
        <v>496</v>
      </c>
      <c r="B1183" t="s">
        <v>493</v>
      </c>
      <c r="C1183" t="s">
        <v>614</v>
      </c>
      <c r="D1183">
        <v>2011</v>
      </c>
      <c r="E1183" t="s">
        <v>573</v>
      </c>
      <c r="G1183" s="6">
        <v>0.54769661127723712</v>
      </c>
    </row>
    <row r="1184" spans="1:8" x14ac:dyDescent="0.3">
      <c r="A1184" t="s">
        <v>496</v>
      </c>
      <c r="B1184" t="s">
        <v>493</v>
      </c>
      <c r="C1184" t="s">
        <v>614</v>
      </c>
      <c r="D1184">
        <v>2012</v>
      </c>
      <c r="E1184" t="s">
        <v>573</v>
      </c>
      <c r="G1184" s="6">
        <v>0.12203348008041713</v>
      </c>
    </row>
    <row r="1185" spans="1:10" x14ac:dyDescent="0.3">
      <c r="A1185" t="s">
        <v>496</v>
      </c>
      <c r="B1185" t="s">
        <v>493</v>
      </c>
      <c r="C1185" t="s">
        <v>614</v>
      </c>
      <c r="D1185">
        <v>2013</v>
      </c>
      <c r="E1185" t="s">
        <v>573</v>
      </c>
      <c r="G1185" s="6">
        <v>3.8662728247751241E-3</v>
      </c>
    </row>
    <row r="1186" spans="1:10" x14ac:dyDescent="0.3">
      <c r="A1186" t="s">
        <v>496</v>
      </c>
      <c r="B1186" t="s">
        <v>493</v>
      </c>
      <c r="C1186" t="s">
        <v>614</v>
      </c>
      <c r="D1186">
        <v>2014</v>
      </c>
      <c r="E1186" t="s">
        <v>573</v>
      </c>
      <c r="G1186" s="6">
        <v>3.8220741350499256E-3</v>
      </c>
    </row>
    <row r="1187" spans="1:10" x14ac:dyDescent="0.3">
      <c r="A1187" t="s">
        <v>496</v>
      </c>
      <c r="B1187" t="s">
        <v>493</v>
      </c>
      <c r="C1187" t="s">
        <v>614</v>
      </c>
      <c r="D1187">
        <v>2015</v>
      </c>
      <c r="E1187" t="s">
        <v>573</v>
      </c>
      <c r="G1187" s="6">
        <v>0.21641719315598362</v>
      </c>
    </row>
    <row r="1188" spans="1:10" x14ac:dyDescent="0.3">
      <c r="A1188" t="s">
        <v>496</v>
      </c>
      <c r="B1188" t="s">
        <v>493</v>
      </c>
      <c r="C1188" t="s">
        <v>614</v>
      </c>
      <c r="D1188">
        <v>2016</v>
      </c>
      <c r="E1188" t="s">
        <v>573</v>
      </c>
      <c r="G1188" s="6">
        <v>4.11151083376411E-2</v>
      </c>
    </row>
    <row r="1189" spans="1:10" x14ac:dyDescent="0.3">
      <c r="A1189" t="s">
        <v>496</v>
      </c>
      <c r="B1189" t="s">
        <v>493</v>
      </c>
      <c r="C1189" t="s">
        <v>614</v>
      </c>
      <c r="D1189">
        <v>2017</v>
      </c>
      <c r="E1189" t="s">
        <v>573</v>
      </c>
      <c r="G1189" s="6">
        <v>1.075748215812015E-3</v>
      </c>
    </row>
    <row r="1190" spans="1:10" x14ac:dyDescent="0.3">
      <c r="A1190" t="s">
        <v>496</v>
      </c>
      <c r="B1190" t="s">
        <v>493</v>
      </c>
      <c r="C1190" t="s">
        <v>614</v>
      </c>
      <c r="D1190">
        <v>2018</v>
      </c>
      <c r="E1190" t="s">
        <v>573</v>
      </c>
      <c r="G1190" s="6">
        <v>1.3230410968259774E-3</v>
      </c>
    </row>
    <row r="1191" spans="1:10" x14ac:dyDescent="0.3">
      <c r="A1191" t="s">
        <v>496</v>
      </c>
      <c r="B1191" t="s">
        <v>493</v>
      </c>
      <c r="C1191" t="s">
        <v>614</v>
      </c>
      <c r="D1191">
        <v>2019</v>
      </c>
      <c r="E1191" t="s">
        <v>573</v>
      </c>
      <c r="G1191" s="6">
        <v>1.5227106735215185E-3</v>
      </c>
    </row>
    <row r="1192" spans="1:10" x14ac:dyDescent="0.3">
      <c r="A1192" t="s">
        <v>496</v>
      </c>
      <c r="B1192" t="s">
        <v>493</v>
      </c>
      <c r="C1192" t="s">
        <v>614</v>
      </c>
      <c r="D1192">
        <v>2020</v>
      </c>
      <c r="E1192" t="s">
        <v>573</v>
      </c>
      <c r="G1192" s="6">
        <v>8.7965789086729834E-3</v>
      </c>
    </row>
    <row r="1193" spans="1:10" x14ac:dyDescent="0.3">
      <c r="A1193" t="s">
        <v>496</v>
      </c>
      <c r="B1193" t="s">
        <v>493</v>
      </c>
      <c r="C1193" t="s">
        <v>614</v>
      </c>
      <c r="D1193">
        <v>2021</v>
      </c>
      <c r="E1193" t="s">
        <v>573</v>
      </c>
      <c r="G1193" s="6">
        <v>3.5531293378771386E-4</v>
      </c>
    </row>
    <row r="1194" spans="1:10" x14ac:dyDescent="0.3">
      <c r="A1194" t="s">
        <v>496</v>
      </c>
      <c r="B1194" t="s">
        <v>493</v>
      </c>
      <c r="C1194" t="s">
        <v>614</v>
      </c>
      <c r="D1194">
        <v>2022</v>
      </c>
      <c r="E1194" t="s">
        <v>573</v>
      </c>
      <c r="G1194" s="6">
        <v>1.7959116517531679</v>
      </c>
    </row>
    <row r="1195" spans="1:10" x14ac:dyDescent="0.3">
      <c r="A1195" t="s">
        <v>496</v>
      </c>
      <c r="B1195" t="s">
        <v>493</v>
      </c>
      <c r="C1195" t="s">
        <v>614</v>
      </c>
      <c r="D1195">
        <v>2023</v>
      </c>
      <c r="E1195" t="s">
        <v>573</v>
      </c>
      <c r="G1195" s="6">
        <v>0.36505112072246942</v>
      </c>
    </row>
    <row r="1196" spans="1:10" x14ac:dyDescent="0.3">
      <c r="A1196" t="s">
        <v>496</v>
      </c>
      <c r="B1196" t="s">
        <v>493</v>
      </c>
      <c r="C1196" t="s">
        <v>614</v>
      </c>
      <c r="D1196">
        <v>2024</v>
      </c>
      <c r="E1196" t="s">
        <v>573</v>
      </c>
      <c r="G1196" s="6">
        <v>1.1121944808888326E-3</v>
      </c>
    </row>
    <row r="1197" spans="1:10" x14ac:dyDescent="0.3">
      <c r="A1197" t="s">
        <v>499</v>
      </c>
      <c r="B1197" t="s">
        <v>500</v>
      </c>
      <c r="C1197" t="s">
        <v>615</v>
      </c>
      <c r="D1197">
        <v>2006</v>
      </c>
      <c r="E1197" t="s">
        <v>573</v>
      </c>
      <c r="F1197" s="6">
        <v>0.64984822799999997</v>
      </c>
      <c r="G1197" s="6">
        <v>0.64984822799999997</v>
      </c>
      <c r="H1197" s="6">
        <v>0</v>
      </c>
      <c r="I1197" s="6"/>
      <c r="J1197" s="6"/>
    </row>
    <row r="1198" spans="1:10" x14ac:dyDescent="0.3">
      <c r="A1198" t="s">
        <v>499</v>
      </c>
      <c r="B1198" t="s">
        <v>500</v>
      </c>
      <c r="C1198" t="s">
        <v>615</v>
      </c>
      <c r="D1198">
        <v>2007</v>
      </c>
      <c r="E1198" t="s">
        <v>573</v>
      </c>
      <c r="F1198" s="6">
        <v>2.086157085</v>
      </c>
      <c r="G1198" s="6">
        <v>2.086157085</v>
      </c>
      <c r="H1198" s="6">
        <v>0</v>
      </c>
      <c r="I1198" s="6"/>
      <c r="J1198" s="6"/>
    </row>
    <row r="1199" spans="1:10" x14ac:dyDescent="0.3">
      <c r="A1199" t="s">
        <v>499</v>
      </c>
      <c r="B1199" t="s">
        <v>500</v>
      </c>
      <c r="C1199" t="s">
        <v>615</v>
      </c>
      <c r="D1199">
        <v>2008</v>
      </c>
      <c r="E1199" t="s">
        <v>573</v>
      </c>
      <c r="F1199" s="6">
        <v>4.1969717329999998</v>
      </c>
      <c r="G1199" s="6">
        <v>4.1969717329999998</v>
      </c>
      <c r="H1199" s="6">
        <v>0</v>
      </c>
      <c r="I1199" s="6"/>
      <c r="J1199" s="6"/>
    </row>
    <row r="1200" spans="1:10" x14ac:dyDescent="0.3">
      <c r="A1200" t="s">
        <v>499</v>
      </c>
      <c r="B1200" t="s">
        <v>500</v>
      </c>
      <c r="C1200" t="s">
        <v>615</v>
      </c>
      <c r="D1200">
        <v>2009</v>
      </c>
      <c r="E1200" t="s">
        <v>573</v>
      </c>
      <c r="F1200" s="6">
        <v>5.3766255589999998</v>
      </c>
      <c r="G1200" s="6">
        <v>5.3766255589999998</v>
      </c>
      <c r="H1200" s="6">
        <v>0</v>
      </c>
      <c r="I1200" s="6"/>
      <c r="J1200" s="6"/>
    </row>
    <row r="1201" spans="1:10" x14ac:dyDescent="0.3">
      <c r="A1201" t="s">
        <v>499</v>
      </c>
      <c r="B1201" t="s">
        <v>500</v>
      </c>
      <c r="C1201" t="s">
        <v>615</v>
      </c>
      <c r="D1201">
        <v>2010</v>
      </c>
      <c r="E1201" t="s">
        <v>573</v>
      </c>
      <c r="F1201" s="6">
        <v>6.9039962949999998</v>
      </c>
      <c r="G1201" s="6">
        <v>6.9039962949999998</v>
      </c>
      <c r="H1201" s="6">
        <v>0</v>
      </c>
      <c r="I1201" s="6"/>
      <c r="J1201" s="6"/>
    </row>
    <row r="1202" spans="1:10" x14ac:dyDescent="0.3">
      <c r="A1202" t="s">
        <v>499</v>
      </c>
      <c r="B1202" t="s">
        <v>500</v>
      </c>
      <c r="C1202" t="s">
        <v>615</v>
      </c>
      <c r="D1202">
        <v>2011</v>
      </c>
      <c r="E1202" t="s">
        <v>573</v>
      </c>
      <c r="F1202" s="6">
        <v>9.3103211990000005</v>
      </c>
      <c r="G1202" s="6">
        <v>9.3121491919999997</v>
      </c>
      <c r="H1202" s="6">
        <v>0</v>
      </c>
      <c r="I1202" s="6"/>
      <c r="J1202" s="6"/>
    </row>
    <row r="1203" spans="1:10" x14ac:dyDescent="0.3">
      <c r="A1203" t="s">
        <v>499</v>
      </c>
      <c r="B1203" t="s">
        <v>500</v>
      </c>
      <c r="C1203" t="s">
        <v>615</v>
      </c>
      <c r="D1203">
        <v>2012</v>
      </c>
      <c r="E1203" t="s">
        <v>573</v>
      </c>
      <c r="F1203" s="6">
        <v>11.775348589</v>
      </c>
      <c r="G1203" s="6">
        <v>11.778506741999999</v>
      </c>
      <c r="H1203" s="6">
        <v>0</v>
      </c>
      <c r="I1203" s="6"/>
      <c r="J1203" s="6"/>
    </row>
    <row r="1204" spans="1:10" x14ac:dyDescent="0.3">
      <c r="A1204" t="s">
        <v>499</v>
      </c>
      <c r="B1204" t="s">
        <v>500</v>
      </c>
      <c r="C1204" t="s">
        <v>615</v>
      </c>
      <c r="D1204">
        <v>2013</v>
      </c>
      <c r="E1204" t="s">
        <v>573</v>
      </c>
      <c r="F1204" s="6">
        <v>14.952099305000001</v>
      </c>
      <c r="G1204" s="6">
        <v>14.985976367999999</v>
      </c>
      <c r="H1204" s="6">
        <v>3.3877062999999999E-2</v>
      </c>
      <c r="I1204" s="6"/>
      <c r="J1204" s="6"/>
    </row>
    <row r="1205" spans="1:10" x14ac:dyDescent="0.3">
      <c r="A1205" t="s">
        <v>499</v>
      </c>
      <c r="B1205" t="s">
        <v>500</v>
      </c>
      <c r="C1205" t="s">
        <v>615</v>
      </c>
      <c r="D1205">
        <v>2014</v>
      </c>
      <c r="E1205" t="s">
        <v>573</v>
      </c>
      <c r="F1205" s="6">
        <v>16.538617460000001</v>
      </c>
      <c r="G1205" s="6">
        <v>16.553388927</v>
      </c>
      <c r="H1205" s="6">
        <v>1.4771467E-2</v>
      </c>
      <c r="I1205" s="6"/>
      <c r="J1205" s="6"/>
    </row>
    <row r="1206" spans="1:10" x14ac:dyDescent="0.3">
      <c r="A1206" t="s">
        <v>499</v>
      </c>
      <c r="B1206" t="s">
        <v>500</v>
      </c>
      <c r="C1206" t="s">
        <v>615</v>
      </c>
      <c r="D1206">
        <v>2015</v>
      </c>
      <c r="E1206" t="s">
        <v>573</v>
      </c>
      <c r="F1206" s="6">
        <v>16.217572505</v>
      </c>
      <c r="G1206" s="6">
        <v>16.238370114999999</v>
      </c>
      <c r="H1206" s="6">
        <v>2.0797610000000001E-2</v>
      </c>
      <c r="I1206" s="6"/>
      <c r="J1206" s="6"/>
    </row>
    <row r="1207" spans="1:10" x14ac:dyDescent="0.3">
      <c r="A1207" t="s">
        <v>499</v>
      </c>
      <c r="B1207" t="s">
        <v>500</v>
      </c>
      <c r="C1207" t="s">
        <v>615</v>
      </c>
      <c r="D1207">
        <v>2016</v>
      </c>
      <c r="E1207" t="s">
        <v>573</v>
      </c>
      <c r="F1207" s="6">
        <v>15.844327287</v>
      </c>
      <c r="G1207" s="6">
        <v>15.852492209999999</v>
      </c>
      <c r="H1207" s="6">
        <v>8.1649229999999993E-3</v>
      </c>
      <c r="I1207" s="6"/>
      <c r="J1207" s="6"/>
    </row>
    <row r="1208" spans="1:10" x14ac:dyDescent="0.3">
      <c r="A1208" t="s">
        <v>499</v>
      </c>
      <c r="B1208" t="s">
        <v>500</v>
      </c>
      <c r="C1208" t="s">
        <v>615</v>
      </c>
      <c r="D1208">
        <v>2017</v>
      </c>
      <c r="E1208" t="s">
        <v>573</v>
      </c>
      <c r="F1208" s="6">
        <v>16.799312691000001</v>
      </c>
      <c r="G1208" s="6">
        <v>16.811607030000001</v>
      </c>
      <c r="H1208" s="6">
        <v>1.2294339E-2</v>
      </c>
      <c r="I1208" s="6"/>
      <c r="J1208" s="6"/>
    </row>
    <row r="1209" spans="1:10" x14ac:dyDescent="0.3">
      <c r="A1209" t="s">
        <v>499</v>
      </c>
      <c r="B1209" t="s">
        <v>500</v>
      </c>
      <c r="C1209" t="s">
        <v>615</v>
      </c>
      <c r="D1209">
        <v>2018</v>
      </c>
      <c r="E1209" t="s">
        <v>573</v>
      </c>
      <c r="F1209" s="6">
        <v>15.803637999999999</v>
      </c>
      <c r="G1209" s="6">
        <v>15.822994</v>
      </c>
      <c r="H1209" s="6">
        <v>1.9355000000000001E-2</v>
      </c>
      <c r="I1209" s="6"/>
      <c r="J1209" s="6"/>
    </row>
    <row r="1210" spans="1:10" x14ac:dyDescent="0.3">
      <c r="A1210" t="s">
        <v>499</v>
      </c>
      <c r="B1210" t="s">
        <v>500</v>
      </c>
      <c r="C1210" t="s">
        <v>615</v>
      </c>
      <c r="D1210">
        <v>2019</v>
      </c>
      <c r="E1210" t="s">
        <v>573</v>
      </c>
      <c r="F1210" s="6">
        <v>17.691815999999999</v>
      </c>
      <c r="G1210" s="6">
        <v>17.712572999999999</v>
      </c>
      <c r="H1210" s="6">
        <v>2.0757000000000001E-2</v>
      </c>
      <c r="I1210" s="6"/>
      <c r="J1210" s="6"/>
    </row>
    <row r="1211" spans="1:10" x14ac:dyDescent="0.3">
      <c r="A1211" t="s">
        <v>499</v>
      </c>
      <c r="B1211" t="s">
        <v>500</v>
      </c>
      <c r="C1211" t="s">
        <v>615</v>
      </c>
      <c r="D1211">
        <v>2020</v>
      </c>
      <c r="E1211" t="s">
        <v>573</v>
      </c>
      <c r="F1211" s="6">
        <v>18.990614470000001</v>
      </c>
      <c r="G1211" s="6">
        <v>19.023463</v>
      </c>
      <c r="H1211" s="6">
        <v>3.2849000000000003E-2</v>
      </c>
      <c r="I1211" s="6"/>
      <c r="J1211" s="6"/>
    </row>
    <row r="1212" spans="1:10" x14ac:dyDescent="0.3">
      <c r="A1212" t="s">
        <v>499</v>
      </c>
      <c r="B1212" t="s">
        <v>500</v>
      </c>
      <c r="C1212" t="s">
        <v>615</v>
      </c>
      <c r="D1212">
        <v>2021</v>
      </c>
      <c r="E1212" t="s">
        <v>573</v>
      </c>
      <c r="F1212" s="6">
        <v>19.621023723</v>
      </c>
      <c r="G1212" s="6">
        <v>19.635513997</v>
      </c>
      <c r="H1212" s="6">
        <v>1.4490273999999999E-2</v>
      </c>
      <c r="I1212" s="6"/>
      <c r="J1212" s="6"/>
    </row>
    <row r="1213" spans="1:10" x14ac:dyDescent="0.3">
      <c r="A1213" t="s">
        <v>499</v>
      </c>
      <c r="B1213" t="s">
        <v>500</v>
      </c>
      <c r="C1213" t="s">
        <v>615</v>
      </c>
      <c r="D1213">
        <v>2022</v>
      </c>
      <c r="E1213" t="s">
        <v>573</v>
      </c>
      <c r="F1213" s="6">
        <v>17.273001722</v>
      </c>
      <c r="G1213" s="6">
        <v>17.302442188000001</v>
      </c>
      <c r="H1213" s="6">
        <v>2.9440465999999998E-2</v>
      </c>
      <c r="I1213" s="6"/>
      <c r="J1213" s="6"/>
    </row>
    <row r="1214" spans="1:10" x14ac:dyDescent="0.3">
      <c r="A1214" t="s">
        <v>499</v>
      </c>
      <c r="B1214" t="s">
        <v>500</v>
      </c>
      <c r="C1214" t="s">
        <v>615</v>
      </c>
      <c r="D1214">
        <v>2023</v>
      </c>
      <c r="E1214" t="s">
        <v>573</v>
      </c>
      <c r="F1214" s="6">
        <v>18.288404974999999</v>
      </c>
      <c r="G1214" s="6">
        <v>18.329774919999998</v>
      </c>
      <c r="H1214" s="6">
        <v>4.1369944999999998E-2</v>
      </c>
      <c r="I1214" s="6"/>
      <c r="J1214" s="6"/>
    </row>
    <row r="1215" spans="1:10" x14ac:dyDescent="0.3">
      <c r="A1215" t="s">
        <v>499</v>
      </c>
      <c r="B1215" t="s">
        <v>500</v>
      </c>
      <c r="C1215" t="s">
        <v>615</v>
      </c>
      <c r="D1215">
        <v>2024</v>
      </c>
      <c r="E1215" t="s">
        <v>573</v>
      </c>
      <c r="F1215" s="6">
        <v>18.274056404</v>
      </c>
      <c r="G1215" s="6">
        <v>18.288050475999999</v>
      </c>
      <c r="H1215" s="6">
        <v>1.3994072E-2</v>
      </c>
      <c r="I1215" s="6"/>
      <c r="J1215" s="6"/>
    </row>
    <row r="1216" spans="1:10" x14ac:dyDescent="0.3">
      <c r="A1216" t="s">
        <v>504</v>
      </c>
      <c r="B1216" t="s">
        <v>505</v>
      </c>
      <c r="C1216" t="s">
        <v>616</v>
      </c>
      <c r="D1216">
        <v>2007</v>
      </c>
      <c r="E1216" t="s">
        <v>573</v>
      </c>
      <c r="F1216" s="6">
        <v>1.765850559</v>
      </c>
      <c r="G1216" s="6">
        <v>1.7661948780000001</v>
      </c>
      <c r="H1216" s="6">
        <v>3.4431899999999999E-4</v>
      </c>
      <c r="I1216" s="6"/>
      <c r="J1216" s="6"/>
    </row>
    <row r="1217" spans="1:10" x14ac:dyDescent="0.3">
      <c r="A1217" t="s">
        <v>504</v>
      </c>
      <c r="B1217" t="s">
        <v>505</v>
      </c>
      <c r="C1217" t="s">
        <v>616</v>
      </c>
      <c r="D1217">
        <v>2008</v>
      </c>
      <c r="E1217" t="s">
        <v>573</v>
      </c>
      <c r="F1217" s="6">
        <v>2.888437787</v>
      </c>
      <c r="G1217" s="6">
        <v>2.8886363410000002</v>
      </c>
      <c r="H1217" s="6">
        <v>1.9855400000000001E-4</v>
      </c>
      <c r="I1217" s="6"/>
      <c r="J1217" s="6"/>
    </row>
    <row r="1218" spans="1:10" x14ac:dyDescent="0.3">
      <c r="A1218" t="s">
        <v>504</v>
      </c>
      <c r="B1218" t="s">
        <v>505</v>
      </c>
      <c r="C1218" t="s">
        <v>616</v>
      </c>
      <c r="D1218">
        <v>2009</v>
      </c>
      <c r="E1218" t="s">
        <v>573</v>
      </c>
      <c r="F1218" s="6">
        <v>2.9647744220000001</v>
      </c>
      <c r="G1218" s="6">
        <v>3.2447825770000001</v>
      </c>
      <c r="H1218" s="6">
        <v>0.28000815499999998</v>
      </c>
      <c r="I1218" s="6"/>
      <c r="J1218" s="6"/>
    </row>
    <row r="1219" spans="1:10" x14ac:dyDescent="0.3">
      <c r="A1219" t="s">
        <v>504</v>
      </c>
      <c r="B1219" t="s">
        <v>505</v>
      </c>
      <c r="C1219" t="s">
        <v>616</v>
      </c>
      <c r="D1219">
        <v>2010</v>
      </c>
      <c r="E1219" t="s">
        <v>573</v>
      </c>
      <c r="F1219" s="6">
        <v>3.6197641460000001</v>
      </c>
      <c r="G1219" s="6">
        <v>3.9544680159999999</v>
      </c>
      <c r="H1219" s="6">
        <v>0.33470387000000001</v>
      </c>
      <c r="I1219" s="6"/>
      <c r="J1219" s="6"/>
    </row>
    <row r="1220" spans="1:10" x14ac:dyDescent="0.3">
      <c r="A1220" t="s">
        <v>504</v>
      </c>
      <c r="B1220" t="s">
        <v>505</v>
      </c>
      <c r="C1220" t="s">
        <v>616</v>
      </c>
      <c r="D1220">
        <v>2011</v>
      </c>
      <c r="E1220" t="s">
        <v>573</v>
      </c>
      <c r="F1220" s="6">
        <v>4.0808805059999997</v>
      </c>
      <c r="G1220" s="6">
        <v>4.5492059620000003</v>
      </c>
      <c r="H1220" s="6">
        <v>0.46832545599999997</v>
      </c>
      <c r="I1220" s="6"/>
      <c r="J1220" s="6"/>
    </row>
    <row r="1221" spans="1:10" x14ac:dyDescent="0.3">
      <c r="A1221" t="s">
        <v>504</v>
      </c>
      <c r="B1221" t="s">
        <v>505</v>
      </c>
      <c r="C1221" t="s">
        <v>616</v>
      </c>
      <c r="D1221">
        <v>2012</v>
      </c>
      <c r="E1221" t="s">
        <v>573</v>
      </c>
      <c r="F1221" s="6">
        <v>4.7091250569999996</v>
      </c>
      <c r="G1221" s="6">
        <v>5.575471114</v>
      </c>
      <c r="H1221" s="6">
        <v>0.866346057</v>
      </c>
      <c r="I1221" s="6"/>
      <c r="J1221" s="6"/>
    </row>
    <row r="1222" spans="1:10" x14ac:dyDescent="0.3">
      <c r="A1222" t="s">
        <v>504</v>
      </c>
      <c r="B1222" t="s">
        <v>505</v>
      </c>
      <c r="C1222" t="s">
        <v>616</v>
      </c>
      <c r="D1222">
        <v>2013</v>
      </c>
      <c r="E1222" t="s">
        <v>573</v>
      </c>
      <c r="F1222" s="6">
        <v>5.1506527889999996</v>
      </c>
      <c r="G1222" s="6">
        <v>5.4552803699999997</v>
      </c>
      <c r="H1222" s="6">
        <v>0.30462758699999998</v>
      </c>
      <c r="I1222" s="6"/>
      <c r="J1222" s="6"/>
    </row>
    <row r="1223" spans="1:10" x14ac:dyDescent="0.3">
      <c r="A1223" t="s">
        <v>504</v>
      </c>
      <c r="B1223" t="s">
        <v>505</v>
      </c>
      <c r="C1223" t="s">
        <v>616</v>
      </c>
      <c r="D1223">
        <v>2014</v>
      </c>
      <c r="E1223" t="s">
        <v>573</v>
      </c>
      <c r="F1223" s="6">
        <v>5.5298198129999996</v>
      </c>
      <c r="G1223" s="6">
        <v>5.8821880249999996</v>
      </c>
      <c r="H1223" s="6">
        <v>0.35236821200000001</v>
      </c>
      <c r="I1223" s="6"/>
      <c r="J1223" s="6"/>
    </row>
    <row r="1224" spans="1:10" x14ac:dyDescent="0.3">
      <c r="A1224" t="s">
        <v>504</v>
      </c>
      <c r="B1224" t="s">
        <v>505</v>
      </c>
      <c r="C1224" t="s">
        <v>616</v>
      </c>
      <c r="D1224">
        <v>2015</v>
      </c>
      <c r="E1224" t="s">
        <v>573</v>
      </c>
      <c r="F1224" s="6">
        <v>5.6504594179999996</v>
      </c>
      <c r="G1224" s="6">
        <v>6.1170011779999998</v>
      </c>
      <c r="H1224" s="6">
        <v>0.46654176000000003</v>
      </c>
      <c r="I1224" s="6"/>
      <c r="J1224" s="6"/>
    </row>
    <row r="1225" spans="1:10" x14ac:dyDescent="0.3">
      <c r="A1225" t="s">
        <v>504</v>
      </c>
      <c r="B1225" t="s">
        <v>505</v>
      </c>
      <c r="C1225" t="s">
        <v>616</v>
      </c>
      <c r="D1225">
        <v>2016</v>
      </c>
      <c r="E1225" t="s">
        <v>573</v>
      </c>
      <c r="F1225" s="6">
        <v>5.5808606540000003</v>
      </c>
      <c r="G1225" s="6">
        <v>5.8747837919999997</v>
      </c>
      <c r="H1225" s="6">
        <v>0.29392313799999997</v>
      </c>
      <c r="I1225" s="6"/>
      <c r="J1225" s="6"/>
    </row>
    <row r="1226" spans="1:10" x14ac:dyDescent="0.3">
      <c r="A1226" t="s">
        <v>504</v>
      </c>
      <c r="B1226" t="s">
        <v>505</v>
      </c>
      <c r="C1226" t="s">
        <v>616</v>
      </c>
      <c r="D1226">
        <v>2017</v>
      </c>
      <c r="E1226" t="s">
        <v>573</v>
      </c>
      <c r="F1226" s="6">
        <v>5.7577880520000004</v>
      </c>
      <c r="G1226" s="6">
        <v>6.006974016</v>
      </c>
      <c r="H1226" s="6">
        <v>0.24918596400000001</v>
      </c>
      <c r="I1226" s="6"/>
      <c r="J1226" s="6"/>
    </row>
    <row r="1227" spans="1:10" x14ac:dyDescent="0.3">
      <c r="A1227" t="s">
        <v>504</v>
      </c>
      <c r="B1227" t="s">
        <v>505</v>
      </c>
      <c r="C1227" t="s">
        <v>616</v>
      </c>
      <c r="D1227">
        <v>2018</v>
      </c>
      <c r="E1227" t="s">
        <v>573</v>
      </c>
      <c r="F1227" s="6">
        <v>5.9615059620000004</v>
      </c>
      <c r="G1227" s="6">
        <v>6.2446835189999996</v>
      </c>
      <c r="H1227" s="6">
        <v>0.28317755700000002</v>
      </c>
      <c r="I1227" s="6"/>
      <c r="J1227" s="6"/>
    </row>
    <row r="1228" spans="1:10" x14ac:dyDescent="0.3">
      <c r="A1228" t="s">
        <v>504</v>
      </c>
      <c r="B1228" t="s">
        <v>505</v>
      </c>
      <c r="C1228" t="s">
        <v>616</v>
      </c>
      <c r="D1228">
        <v>2019</v>
      </c>
      <c r="E1228" t="s">
        <v>573</v>
      </c>
      <c r="F1228" s="6">
        <v>6.2503430729999998</v>
      </c>
      <c r="G1228" s="6">
        <v>6.9487812089999998</v>
      </c>
      <c r="H1228" s="6">
        <v>0.69843813600000004</v>
      </c>
      <c r="I1228" s="6"/>
      <c r="J1228" s="6"/>
    </row>
    <row r="1229" spans="1:10" x14ac:dyDescent="0.3">
      <c r="A1229" t="s">
        <v>504</v>
      </c>
      <c r="B1229" t="s">
        <v>505</v>
      </c>
      <c r="C1229" t="s">
        <v>616</v>
      </c>
      <c r="D1229">
        <v>2020</v>
      </c>
      <c r="E1229" t="s">
        <v>573</v>
      </c>
      <c r="F1229" s="6">
        <v>5.7275806920000001</v>
      </c>
      <c r="G1229" s="6">
        <v>6.2515910789999998</v>
      </c>
      <c r="H1229" s="6">
        <v>0.52401038700000002</v>
      </c>
      <c r="I1229" s="6"/>
      <c r="J1229" s="6"/>
    </row>
    <row r="1230" spans="1:10" x14ac:dyDescent="0.3">
      <c r="A1230" t="s">
        <v>504</v>
      </c>
      <c r="B1230" t="s">
        <v>505</v>
      </c>
      <c r="C1230" t="s">
        <v>616</v>
      </c>
      <c r="D1230">
        <v>2021</v>
      </c>
      <c r="E1230" t="s">
        <v>573</v>
      </c>
      <c r="F1230" s="6">
        <v>5.4590446080000001</v>
      </c>
      <c r="G1230" s="6">
        <v>5.6497706460000003</v>
      </c>
      <c r="H1230" s="6">
        <v>0.19072603799999999</v>
      </c>
      <c r="I1230" s="6"/>
      <c r="J1230" s="6"/>
    </row>
    <row r="1231" spans="1:10" x14ac:dyDescent="0.3">
      <c r="A1231" t="s">
        <v>504</v>
      </c>
      <c r="B1231" t="s">
        <v>505</v>
      </c>
      <c r="C1231" t="s">
        <v>616</v>
      </c>
      <c r="D1231">
        <v>2022</v>
      </c>
      <c r="E1231" t="s">
        <v>573</v>
      </c>
      <c r="F1231" s="6">
        <v>4.7095821889999998</v>
      </c>
      <c r="G1231" s="6">
        <v>5.0302056459999998</v>
      </c>
      <c r="H1231" s="6">
        <v>0.320623457</v>
      </c>
      <c r="I1231" s="6"/>
      <c r="J1231" s="6"/>
    </row>
    <row r="1232" spans="1:10" x14ac:dyDescent="0.3">
      <c r="A1232" t="s">
        <v>504</v>
      </c>
      <c r="B1232" t="s">
        <v>505</v>
      </c>
      <c r="C1232" t="s">
        <v>616</v>
      </c>
      <c r="D1232">
        <v>2023</v>
      </c>
      <c r="E1232" t="s">
        <v>573</v>
      </c>
      <c r="F1232" s="6">
        <v>5.3864226100000003</v>
      </c>
      <c r="G1232" s="6">
        <v>5.8740763989999998</v>
      </c>
      <c r="H1232" s="6">
        <v>0.487653789</v>
      </c>
      <c r="I1232" s="6"/>
      <c r="J1232" s="6"/>
    </row>
    <row r="1233" spans="1:10" x14ac:dyDescent="0.3">
      <c r="A1233" t="s">
        <v>504</v>
      </c>
      <c r="B1233" t="s">
        <v>505</v>
      </c>
      <c r="C1233" t="s">
        <v>616</v>
      </c>
      <c r="D1233">
        <v>2024</v>
      </c>
      <c r="E1233" t="s">
        <v>573</v>
      </c>
      <c r="F1233" s="6">
        <v>6.0825172170000004</v>
      </c>
      <c r="G1233" s="6">
        <v>6.4458334410000004</v>
      </c>
      <c r="H1233" s="6">
        <v>0.36331622400000002</v>
      </c>
      <c r="I1233" s="6"/>
      <c r="J1233" s="6"/>
    </row>
    <row r="1234" spans="1:10" x14ac:dyDescent="0.3">
      <c r="A1234" t="s">
        <v>509</v>
      </c>
      <c r="B1234" t="s">
        <v>510</v>
      </c>
      <c r="C1234" t="s">
        <v>617</v>
      </c>
      <c r="D1234">
        <v>2016</v>
      </c>
      <c r="E1234" t="s">
        <v>573</v>
      </c>
      <c r="F1234" s="6"/>
      <c r="G1234" s="6"/>
      <c r="H1234" s="6"/>
      <c r="I1234" s="6"/>
      <c r="J1234" s="6"/>
    </row>
    <row r="1235" spans="1:10" x14ac:dyDescent="0.3">
      <c r="A1235" t="s">
        <v>509</v>
      </c>
      <c r="B1235" t="s">
        <v>510</v>
      </c>
      <c r="C1235" t="s">
        <v>617</v>
      </c>
      <c r="D1235">
        <v>2017</v>
      </c>
      <c r="E1235" t="s">
        <v>573</v>
      </c>
      <c r="F1235" s="6">
        <v>42.638522224929844</v>
      </c>
      <c r="G1235" s="6">
        <v>58.773350642643784</v>
      </c>
      <c r="H1235" s="6">
        <v>16.134828417713937</v>
      </c>
      <c r="I1235" s="6"/>
      <c r="J1235" s="6"/>
    </row>
    <row r="1236" spans="1:10" x14ac:dyDescent="0.3">
      <c r="A1236" t="s">
        <v>509</v>
      </c>
      <c r="B1236" t="s">
        <v>510</v>
      </c>
      <c r="C1236" t="s">
        <v>617</v>
      </c>
      <c r="D1236">
        <v>2018</v>
      </c>
      <c r="E1236" t="s">
        <v>573</v>
      </c>
      <c r="F1236" s="6">
        <v>42.926909081118481</v>
      </c>
      <c r="G1236" s="6">
        <v>243.49024619074351</v>
      </c>
      <c r="H1236" s="6">
        <v>200.563337109625</v>
      </c>
      <c r="I1236" s="6"/>
      <c r="J1236" s="6"/>
    </row>
    <row r="1237" spans="1:10" x14ac:dyDescent="0.3">
      <c r="A1237" t="s">
        <v>509</v>
      </c>
      <c r="B1237" t="s">
        <v>510</v>
      </c>
      <c r="C1237" t="s">
        <v>617</v>
      </c>
      <c r="D1237">
        <v>2019</v>
      </c>
      <c r="E1237" t="s">
        <v>573</v>
      </c>
      <c r="F1237" s="6">
        <v>41.337582087553002</v>
      </c>
      <c r="G1237" s="6">
        <v>255.62654437398436</v>
      </c>
      <c r="H1237" s="6">
        <v>215.56305980803057</v>
      </c>
      <c r="I1237" s="6"/>
      <c r="J1237" s="6"/>
    </row>
    <row r="1238" spans="1:10" x14ac:dyDescent="0.3">
      <c r="A1238" t="s">
        <v>509</v>
      </c>
      <c r="B1238" t="s">
        <v>510</v>
      </c>
      <c r="C1238" t="s">
        <v>617</v>
      </c>
      <c r="D1238">
        <v>2020</v>
      </c>
      <c r="E1238" t="s">
        <v>573</v>
      </c>
      <c r="F1238" s="6">
        <v>40.879461747380539</v>
      </c>
      <c r="G1238" s="6">
        <v>309.52036817597798</v>
      </c>
      <c r="H1238" s="6">
        <v>268.64090642859742</v>
      </c>
      <c r="I1238" s="6"/>
      <c r="J1238" s="6"/>
    </row>
    <row r="1239" spans="1:10" x14ac:dyDescent="0.3">
      <c r="A1239" t="s">
        <v>509</v>
      </c>
      <c r="B1239" t="s">
        <v>510</v>
      </c>
      <c r="C1239" t="s">
        <v>617</v>
      </c>
      <c r="D1239">
        <v>2021</v>
      </c>
      <c r="E1239" t="s">
        <v>573</v>
      </c>
      <c r="F1239" s="6">
        <v>44.699973153780036</v>
      </c>
      <c r="G1239" s="6">
        <v>361.70163002654795</v>
      </c>
      <c r="H1239" s="6">
        <v>317.00165687276791</v>
      </c>
      <c r="I1239" s="6"/>
      <c r="J1239" s="6"/>
    </row>
    <row r="1240" spans="1:10" x14ac:dyDescent="0.3">
      <c r="A1240" t="s">
        <v>509</v>
      </c>
      <c r="B1240" t="s">
        <v>510</v>
      </c>
      <c r="C1240" t="s">
        <v>617</v>
      </c>
      <c r="D1240">
        <v>2022</v>
      </c>
      <c r="E1240" t="s">
        <v>573</v>
      </c>
      <c r="F1240" s="6">
        <v>55.206159215800966</v>
      </c>
      <c r="G1240" s="6">
        <v>338.69039921783133</v>
      </c>
      <c r="H1240" s="6">
        <v>283.48424000203033</v>
      </c>
      <c r="I1240" s="6"/>
      <c r="J1240" s="6"/>
    </row>
    <row r="1241" spans="1:10" x14ac:dyDescent="0.3">
      <c r="A1241" t="s">
        <v>509</v>
      </c>
      <c r="B1241" t="s">
        <v>510</v>
      </c>
      <c r="C1241" t="s">
        <v>617</v>
      </c>
      <c r="D1241">
        <v>2023</v>
      </c>
      <c r="E1241" t="s">
        <v>573</v>
      </c>
      <c r="F1241" s="6">
        <v>61.929973035444007</v>
      </c>
      <c r="G1241" s="6">
        <v>394.06097334422424</v>
      </c>
      <c r="H1241" s="6">
        <v>332.13100030878019</v>
      </c>
      <c r="I1241" s="6"/>
      <c r="J1241" s="6"/>
    </row>
    <row r="1242" spans="1:10" x14ac:dyDescent="0.3">
      <c r="A1242" t="s">
        <v>509</v>
      </c>
      <c r="B1242" t="s">
        <v>510</v>
      </c>
      <c r="C1242" t="s">
        <v>617</v>
      </c>
      <c r="D1242">
        <v>2024</v>
      </c>
      <c r="E1242" t="s">
        <v>573</v>
      </c>
      <c r="F1242" s="6">
        <v>62.25933415554416</v>
      </c>
      <c r="G1242" s="6">
        <v>387.54442041757176</v>
      </c>
      <c r="H1242" s="6">
        <v>325.28508626202756</v>
      </c>
      <c r="I1242" s="6"/>
      <c r="J1242" s="6"/>
    </row>
    <row r="1243" spans="1:10" x14ac:dyDescent="0.3">
      <c r="A1243" t="s">
        <v>527</v>
      </c>
      <c r="B1243" t="s">
        <v>524</v>
      </c>
      <c r="C1243" t="s">
        <v>618</v>
      </c>
      <c r="D1243">
        <v>2002</v>
      </c>
      <c r="E1243" t="s">
        <v>573</v>
      </c>
      <c r="F1243" s="6"/>
      <c r="G1243" s="6"/>
      <c r="H1243" s="6"/>
      <c r="I1243" s="6"/>
      <c r="J1243" s="6"/>
    </row>
    <row r="1244" spans="1:10" x14ac:dyDescent="0.3">
      <c r="A1244" t="s">
        <v>527</v>
      </c>
      <c r="B1244" t="s">
        <v>524</v>
      </c>
      <c r="C1244" t="s">
        <v>618</v>
      </c>
      <c r="D1244">
        <v>2003</v>
      </c>
      <c r="E1244" t="s">
        <v>573</v>
      </c>
      <c r="F1244" s="6"/>
      <c r="G1244" s="6"/>
      <c r="H1244" s="6"/>
      <c r="I1244" s="6"/>
      <c r="J1244" s="6"/>
    </row>
    <row r="1245" spans="1:10" x14ac:dyDescent="0.3">
      <c r="A1245" t="s">
        <v>527</v>
      </c>
      <c r="B1245" t="s">
        <v>524</v>
      </c>
      <c r="C1245" t="s">
        <v>618</v>
      </c>
      <c r="D1245">
        <v>2004</v>
      </c>
      <c r="E1245" t="s">
        <v>573</v>
      </c>
      <c r="F1245" s="6"/>
      <c r="G1245" s="6"/>
      <c r="H1245" s="6"/>
      <c r="I1245" s="6"/>
      <c r="J1245" s="6"/>
    </row>
    <row r="1246" spans="1:10" x14ac:dyDescent="0.3">
      <c r="A1246" t="s">
        <v>527</v>
      </c>
      <c r="B1246" t="s">
        <v>524</v>
      </c>
      <c r="C1246" t="s">
        <v>618</v>
      </c>
      <c r="D1246">
        <v>2005</v>
      </c>
      <c r="E1246" t="s">
        <v>573</v>
      </c>
      <c r="F1246" s="6"/>
      <c r="G1246" s="6"/>
      <c r="H1246" s="6"/>
      <c r="I1246" s="6"/>
      <c r="J1246" s="6"/>
    </row>
    <row r="1247" spans="1:10" x14ac:dyDescent="0.3">
      <c r="A1247" t="s">
        <v>527</v>
      </c>
      <c r="B1247" t="s">
        <v>524</v>
      </c>
      <c r="C1247" t="s">
        <v>618</v>
      </c>
      <c r="D1247">
        <v>2006</v>
      </c>
      <c r="E1247" t="s">
        <v>573</v>
      </c>
      <c r="F1247" s="6"/>
      <c r="G1247" s="6"/>
      <c r="H1247" s="6"/>
      <c r="I1247" s="6"/>
      <c r="J1247" s="6"/>
    </row>
    <row r="1248" spans="1:10" x14ac:dyDescent="0.3">
      <c r="A1248" t="s">
        <v>527</v>
      </c>
      <c r="B1248" t="s">
        <v>524</v>
      </c>
      <c r="C1248" t="s">
        <v>618</v>
      </c>
      <c r="D1248">
        <v>2007</v>
      </c>
      <c r="E1248" t="s">
        <v>573</v>
      </c>
      <c r="G1248" s="6"/>
      <c r="H1248" s="6"/>
      <c r="I1248" s="6"/>
      <c r="J1248" s="6">
        <v>31.313818924438394</v>
      </c>
    </row>
    <row r="1249" spans="1:10" x14ac:dyDescent="0.3">
      <c r="A1249" t="s">
        <v>527</v>
      </c>
      <c r="B1249" t="s">
        <v>524</v>
      </c>
      <c r="C1249" t="s">
        <v>618</v>
      </c>
      <c r="D1249">
        <v>2008</v>
      </c>
      <c r="E1249" t="s">
        <v>573</v>
      </c>
      <c r="G1249" s="6"/>
      <c r="H1249" s="6"/>
      <c r="I1249" s="6"/>
      <c r="J1249" s="6">
        <v>38.121170864533696</v>
      </c>
    </row>
    <row r="1250" spans="1:10" x14ac:dyDescent="0.3">
      <c r="A1250" t="s">
        <v>527</v>
      </c>
      <c r="B1250" t="s">
        <v>524</v>
      </c>
      <c r="C1250" t="s">
        <v>618</v>
      </c>
      <c r="D1250">
        <v>2009</v>
      </c>
      <c r="E1250" t="s">
        <v>573</v>
      </c>
      <c r="G1250" s="6"/>
      <c r="H1250" s="6"/>
      <c r="I1250" s="6"/>
      <c r="J1250" s="6">
        <v>70.524166099387344</v>
      </c>
    </row>
    <row r="1251" spans="1:10" x14ac:dyDescent="0.3">
      <c r="A1251" t="s">
        <v>527</v>
      </c>
      <c r="B1251" t="s">
        <v>524</v>
      </c>
      <c r="C1251" t="s">
        <v>618</v>
      </c>
      <c r="D1251">
        <v>2010</v>
      </c>
      <c r="E1251" t="s">
        <v>573</v>
      </c>
      <c r="G1251" s="6"/>
      <c r="H1251" s="6"/>
      <c r="I1251" s="6"/>
      <c r="J1251" s="6">
        <v>75.425459496255954</v>
      </c>
    </row>
    <row r="1252" spans="1:10" x14ac:dyDescent="0.3">
      <c r="A1252" t="s">
        <v>527</v>
      </c>
      <c r="B1252" t="s">
        <v>524</v>
      </c>
      <c r="C1252" t="s">
        <v>618</v>
      </c>
      <c r="D1252">
        <v>2011</v>
      </c>
      <c r="E1252" t="s">
        <v>573</v>
      </c>
      <c r="G1252" s="6"/>
      <c r="H1252" s="6"/>
      <c r="I1252" s="6"/>
      <c r="J1252" s="6">
        <v>113.54663036078966</v>
      </c>
    </row>
    <row r="1253" spans="1:10" x14ac:dyDescent="0.3">
      <c r="A1253" t="s">
        <v>527</v>
      </c>
      <c r="B1253" t="s">
        <v>524</v>
      </c>
      <c r="C1253" t="s">
        <v>618</v>
      </c>
      <c r="D1253">
        <v>2012</v>
      </c>
      <c r="E1253" t="s">
        <v>573</v>
      </c>
      <c r="G1253" s="6"/>
      <c r="H1253" s="6"/>
      <c r="I1253" s="6"/>
      <c r="J1253" s="6">
        <v>129.33968686181075</v>
      </c>
    </row>
    <row r="1254" spans="1:10" x14ac:dyDescent="0.3">
      <c r="A1254" t="s">
        <v>527</v>
      </c>
      <c r="B1254" t="s">
        <v>524</v>
      </c>
      <c r="C1254" t="s">
        <v>618</v>
      </c>
      <c r="D1254">
        <v>2013</v>
      </c>
      <c r="E1254" t="s">
        <v>573</v>
      </c>
      <c r="G1254" s="6"/>
      <c r="H1254" s="6"/>
      <c r="I1254" s="6"/>
      <c r="J1254" s="6">
        <v>132.6072157930565</v>
      </c>
    </row>
    <row r="1255" spans="1:10" x14ac:dyDescent="0.3">
      <c r="A1255" t="s">
        <v>527</v>
      </c>
      <c r="B1255" t="s">
        <v>524</v>
      </c>
      <c r="C1255" t="s">
        <v>618</v>
      </c>
      <c r="D1255">
        <v>2014</v>
      </c>
      <c r="E1255" t="s">
        <v>573</v>
      </c>
      <c r="G1255" s="6"/>
      <c r="H1255" s="6"/>
      <c r="I1255" s="6"/>
      <c r="J1255" s="6">
        <v>123.89380530973452</v>
      </c>
    </row>
    <row r="1256" spans="1:10" x14ac:dyDescent="0.3">
      <c r="A1256" t="s">
        <v>527</v>
      </c>
      <c r="B1256" t="s">
        <v>524</v>
      </c>
      <c r="C1256" t="s">
        <v>618</v>
      </c>
      <c r="D1256">
        <v>2015</v>
      </c>
      <c r="E1256" t="s">
        <v>573</v>
      </c>
      <c r="G1256" s="6"/>
      <c r="H1256" s="6"/>
      <c r="I1256" s="6"/>
      <c r="J1256" s="6">
        <v>127.9782164737917</v>
      </c>
    </row>
    <row r="1257" spans="1:10" x14ac:dyDescent="0.3">
      <c r="A1257" t="s">
        <v>527</v>
      </c>
      <c r="B1257" t="s">
        <v>524</v>
      </c>
      <c r="C1257" t="s">
        <v>618</v>
      </c>
      <c r="D1257">
        <v>2016</v>
      </c>
      <c r="E1257" t="s">
        <v>573</v>
      </c>
      <c r="G1257" s="6"/>
      <c r="H1257" s="6"/>
      <c r="I1257" s="6"/>
      <c r="J1257" s="6">
        <v>127.70592239618789</v>
      </c>
    </row>
    <row r="1258" spans="1:10" x14ac:dyDescent="0.3">
      <c r="A1258" t="s">
        <v>527</v>
      </c>
      <c r="B1258" t="s">
        <v>524</v>
      </c>
      <c r="C1258" t="s">
        <v>618</v>
      </c>
      <c r="D1258">
        <v>2017</v>
      </c>
      <c r="E1258" t="s">
        <v>573</v>
      </c>
      <c r="G1258" s="6"/>
      <c r="H1258" s="6"/>
      <c r="I1258" s="6"/>
      <c r="J1258" s="6">
        <v>127.70592239618789</v>
      </c>
    </row>
    <row r="1259" spans="1:10" x14ac:dyDescent="0.3">
      <c r="A1259" t="s">
        <v>527</v>
      </c>
      <c r="B1259" t="s">
        <v>524</v>
      </c>
      <c r="C1259" t="s">
        <v>618</v>
      </c>
      <c r="D1259">
        <v>2018</v>
      </c>
      <c r="E1259" t="s">
        <v>573</v>
      </c>
      <c r="G1259" s="6"/>
      <c r="H1259" s="6"/>
      <c r="I1259" s="6"/>
      <c r="J1259" s="6">
        <v>228.45473110959838</v>
      </c>
    </row>
    <row r="1260" spans="1:10" x14ac:dyDescent="0.3">
      <c r="A1260" t="s">
        <v>527</v>
      </c>
      <c r="B1260" t="s">
        <v>524</v>
      </c>
      <c r="C1260" t="s">
        <v>618</v>
      </c>
      <c r="D1260">
        <v>2019</v>
      </c>
      <c r="E1260" t="s">
        <v>573</v>
      </c>
      <c r="G1260" s="6"/>
      <c r="H1260" s="6"/>
      <c r="I1260" s="6"/>
      <c r="J1260" s="6">
        <v>232.26684819605174</v>
      </c>
    </row>
    <row r="1261" spans="1:10" x14ac:dyDescent="0.3">
      <c r="A1261" t="s">
        <v>527</v>
      </c>
      <c r="B1261" t="s">
        <v>524</v>
      </c>
      <c r="C1261" t="s">
        <v>618</v>
      </c>
      <c r="D1261">
        <v>2020</v>
      </c>
      <c r="E1261" t="s">
        <v>573</v>
      </c>
      <c r="G1261" s="6"/>
      <c r="H1261" s="6"/>
      <c r="I1261" s="6"/>
      <c r="J1261" s="6">
        <v>243.43090537780805</v>
      </c>
    </row>
    <row r="1262" spans="1:10" x14ac:dyDescent="0.3">
      <c r="A1262" t="s">
        <v>527</v>
      </c>
      <c r="B1262" t="s">
        <v>524</v>
      </c>
      <c r="C1262" t="s">
        <v>618</v>
      </c>
      <c r="D1262">
        <v>2021</v>
      </c>
      <c r="E1262" t="s">
        <v>573</v>
      </c>
      <c r="G1262" s="6"/>
      <c r="H1262" s="6"/>
      <c r="I1262" s="6"/>
      <c r="J1262" s="6">
        <v>284.54731109598367</v>
      </c>
    </row>
    <row r="1263" spans="1:10" x14ac:dyDescent="0.3">
      <c r="A1263" t="s">
        <v>527</v>
      </c>
      <c r="B1263" t="s">
        <v>524</v>
      </c>
      <c r="C1263" t="s">
        <v>618</v>
      </c>
      <c r="D1263">
        <v>2022</v>
      </c>
      <c r="E1263" t="s">
        <v>573</v>
      </c>
      <c r="G1263" s="6"/>
      <c r="H1263" s="6"/>
      <c r="I1263" s="6"/>
      <c r="J1263" s="6">
        <v>276.37848876786933</v>
      </c>
    </row>
    <row r="1264" spans="1:10" x14ac:dyDescent="0.3">
      <c r="A1264" t="s">
        <v>527</v>
      </c>
      <c r="B1264" t="s">
        <v>524</v>
      </c>
      <c r="C1264" t="s">
        <v>618</v>
      </c>
      <c r="D1264">
        <v>2023</v>
      </c>
      <c r="E1264" t="s">
        <v>573</v>
      </c>
      <c r="G1264" s="6"/>
      <c r="H1264" s="6"/>
      <c r="I1264" s="6"/>
      <c r="J1264" s="6">
        <v>302.51872021783527</v>
      </c>
    </row>
    <row r="1265" spans="1:10" x14ac:dyDescent="0.3">
      <c r="A1265" t="s">
        <v>527</v>
      </c>
      <c r="B1265" t="s">
        <v>524</v>
      </c>
      <c r="C1265" t="s">
        <v>618</v>
      </c>
      <c r="D1265">
        <v>2024</v>
      </c>
      <c r="E1265" t="s">
        <v>573</v>
      </c>
      <c r="G1265" s="6"/>
      <c r="H1265" s="6"/>
      <c r="I1265" s="6"/>
      <c r="J1265" s="6">
        <v>330.02042205582029</v>
      </c>
    </row>
    <row r="1266" spans="1:10" x14ac:dyDescent="0.3">
      <c r="A1266" t="s">
        <v>533</v>
      </c>
      <c r="B1266" t="s">
        <v>524</v>
      </c>
      <c r="C1266" t="s">
        <v>618</v>
      </c>
      <c r="D1266">
        <v>2006</v>
      </c>
      <c r="E1266" t="s">
        <v>573</v>
      </c>
      <c r="G1266" s="6"/>
      <c r="H1266" s="6"/>
      <c r="I1266" s="6"/>
      <c r="J1266" s="6"/>
    </row>
    <row r="1267" spans="1:10" x14ac:dyDescent="0.3">
      <c r="A1267" t="s">
        <v>533</v>
      </c>
      <c r="B1267" t="s">
        <v>524</v>
      </c>
      <c r="C1267" t="s">
        <v>618</v>
      </c>
      <c r="D1267">
        <v>2007</v>
      </c>
      <c r="E1267" t="s">
        <v>573</v>
      </c>
      <c r="G1267" s="6"/>
      <c r="H1267" s="6"/>
      <c r="I1267" s="6"/>
      <c r="J1267" s="6"/>
    </row>
    <row r="1268" spans="1:10" x14ac:dyDescent="0.3">
      <c r="A1268" t="s">
        <v>533</v>
      </c>
      <c r="B1268" t="s">
        <v>524</v>
      </c>
      <c r="C1268" t="s">
        <v>618</v>
      </c>
      <c r="D1268">
        <v>2008</v>
      </c>
      <c r="E1268" t="s">
        <v>573</v>
      </c>
      <c r="G1268" s="6"/>
      <c r="H1268" s="6"/>
      <c r="I1268" s="6"/>
      <c r="J1268" s="6"/>
    </row>
    <row r="1269" spans="1:10" x14ac:dyDescent="0.3">
      <c r="A1269" t="s">
        <v>533</v>
      </c>
      <c r="B1269" t="s">
        <v>524</v>
      </c>
      <c r="C1269" t="s">
        <v>618</v>
      </c>
      <c r="D1269">
        <v>2009</v>
      </c>
      <c r="E1269" t="s">
        <v>573</v>
      </c>
      <c r="G1269" s="6"/>
      <c r="H1269" s="6"/>
      <c r="I1269" s="6"/>
      <c r="J1269" s="6"/>
    </row>
    <row r="1270" spans="1:10" x14ac:dyDescent="0.3">
      <c r="A1270" t="s">
        <v>533</v>
      </c>
      <c r="B1270" t="s">
        <v>524</v>
      </c>
      <c r="C1270" t="s">
        <v>618</v>
      </c>
      <c r="D1270">
        <v>2010</v>
      </c>
      <c r="E1270" t="s">
        <v>573</v>
      </c>
      <c r="G1270" s="6"/>
      <c r="H1270" s="6"/>
      <c r="I1270" s="6"/>
      <c r="J1270" s="6"/>
    </row>
    <row r="1271" spans="1:10" x14ac:dyDescent="0.3">
      <c r="A1271" t="s">
        <v>533</v>
      </c>
      <c r="B1271" t="s">
        <v>524</v>
      </c>
      <c r="C1271" t="s">
        <v>618</v>
      </c>
      <c r="D1271">
        <v>2011</v>
      </c>
      <c r="E1271" t="s">
        <v>573</v>
      </c>
      <c r="F1271" s="6">
        <v>34.659693941456773</v>
      </c>
      <c r="G1271" s="6">
        <v>127.40988046289993</v>
      </c>
      <c r="H1271" s="6">
        <v>92.750186521443155</v>
      </c>
      <c r="I1271" s="6"/>
      <c r="J1271" s="6"/>
    </row>
    <row r="1272" spans="1:10" x14ac:dyDescent="0.3">
      <c r="A1272" t="s">
        <v>533</v>
      </c>
      <c r="B1272" t="s">
        <v>524</v>
      </c>
      <c r="C1272" t="s">
        <v>618</v>
      </c>
      <c r="D1272">
        <v>2012</v>
      </c>
      <c r="E1272" t="s">
        <v>573</v>
      </c>
      <c r="F1272" s="6">
        <v>38.623321170864536</v>
      </c>
      <c r="G1272" s="6">
        <v>146.49326426140232</v>
      </c>
      <c r="H1272" s="6">
        <v>107.86994309053779</v>
      </c>
      <c r="I1272" s="6"/>
      <c r="J1272" s="6"/>
    </row>
    <row r="1273" spans="1:10" x14ac:dyDescent="0.3">
      <c r="A1273" t="s">
        <v>533</v>
      </c>
      <c r="B1273" t="s">
        <v>524</v>
      </c>
      <c r="C1273" t="s">
        <v>618</v>
      </c>
      <c r="D1273">
        <v>2013</v>
      </c>
      <c r="E1273" t="s">
        <v>573</v>
      </c>
      <c r="F1273" s="6">
        <v>44.118029407760382</v>
      </c>
      <c r="G1273" s="6">
        <v>165.64276324029953</v>
      </c>
      <c r="H1273" s="6">
        <v>121.52473383253914</v>
      </c>
      <c r="I1273" s="6"/>
      <c r="J1273" s="6"/>
    </row>
    <row r="1274" spans="1:10" x14ac:dyDescent="0.3">
      <c r="A1274" t="s">
        <v>533</v>
      </c>
      <c r="B1274" t="s">
        <v>524</v>
      </c>
      <c r="C1274" t="s">
        <v>618</v>
      </c>
      <c r="D1274">
        <v>2014</v>
      </c>
      <c r="E1274" t="s">
        <v>573</v>
      </c>
      <c r="F1274" s="6">
        <v>51.742967188563654</v>
      </c>
      <c r="G1274" s="6">
        <v>183.05749870660313</v>
      </c>
      <c r="H1274" s="6">
        <v>131.31453151803947</v>
      </c>
      <c r="I1274" s="6"/>
      <c r="J1274" s="6"/>
    </row>
    <row r="1275" spans="1:10" x14ac:dyDescent="0.3">
      <c r="A1275" t="s">
        <v>533</v>
      </c>
      <c r="B1275" t="s">
        <v>524</v>
      </c>
      <c r="C1275" t="s">
        <v>618</v>
      </c>
      <c r="D1275">
        <v>2015</v>
      </c>
      <c r="E1275" t="s">
        <v>573</v>
      </c>
      <c r="F1275" s="6">
        <v>53.443200816882239</v>
      </c>
      <c r="G1275" s="6">
        <v>196.0759381892444</v>
      </c>
      <c r="H1275" s="6">
        <v>142.63273737236216</v>
      </c>
      <c r="I1275" s="6"/>
      <c r="J1275" s="6"/>
    </row>
    <row r="1276" spans="1:10" x14ac:dyDescent="0.3">
      <c r="A1276" t="s">
        <v>533</v>
      </c>
      <c r="B1276" t="s">
        <v>524</v>
      </c>
      <c r="C1276" t="s">
        <v>618</v>
      </c>
      <c r="D1276">
        <v>2016</v>
      </c>
      <c r="E1276" t="s">
        <v>573</v>
      </c>
      <c r="F1276" s="6">
        <v>57.012945405037442</v>
      </c>
      <c r="G1276" s="6">
        <v>209.63666548672566</v>
      </c>
      <c r="H1276" s="6">
        <v>152.62372008168822</v>
      </c>
      <c r="I1276" s="6"/>
      <c r="J1276" s="6"/>
    </row>
    <row r="1277" spans="1:10" x14ac:dyDescent="0.3">
      <c r="A1277" t="s">
        <v>533</v>
      </c>
      <c r="B1277" t="s">
        <v>524</v>
      </c>
      <c r="C1277" t="s">
        <v>618</v>
      </c>
      <c r="D1277">
        <v>2017</v>
      </c>
      <c r="E1277" t="s">
        <v>573</v>
      </c>
      <c r="F1277" s="6">
        <v>61.939298025867942</v>
      </c>
      <c r="G1277" s="6">
        <v>229.89622927161335</v>
      </c>
      <c r="H1277" s="6">
        <v>167.95693124574541</v>
      </c>
      <c r="I1277" s="6"/>
      <c r="J1277" s="6"/>
    </row>
    <row r="1278" spans="1:10" x14ac:dyDescent="0.3">
      <c r="A1278" t="s">
        <v>533</v>
      </c>
      <c r="B1278" t="s">
        <v>524</v>
      </c>
      <c r="C1278" t="s">
        <v>618</v>
      </c>
      <c r="D1278">
        <v>2018</v>
      </c>
      <c r="E1278" t="s">
        <v>573</v>
      </c>
      <c r="F1278" s="6">
        <v>64.742686725663717</v>
      </c>
      <c r="G1278" s="6">
        <v>239.40839128658953</v>
      </c>
      <c r="H1278" s="6">
        <v>174.6657045609258</v>
      </c>
      <c r="I1278" s="6"/>
      <c r="J1278" s="6"/>
    </row>
    <row r="1279" spans="1:10" x14ac:dyDescent="0.3">
      <c r="A1279" t="s">
        <v>533</v>
      </c>
      <c r="B1279" t="s">
        <v>524</v>
      </c>
      <c r="C1279" t="s">
        <v>618</v>
      </c>
      <c r="D1279">
        <v>2019</v>
      </c>
      <c r="E1279" t="s">
        <v>573</v>
      </c>
      <c r="F1279" s="6">
        <v>68.501757113682771</v>
      </c>
      <c r="G1279" s="6">
        <v>305.32785568413891</v>
      </c>
      <c r="H1279" s="6">
        <v>236.82609857045608</v>
      </c>
      <c r="I1279" s="6"/>
      <c r="J1279" s="6"/>
    </row>
    <row r="1280" spans="1:10" x14ac:dyDescent="0.3">
      <c r="A1280" t="s">
        <v>533</v>
      </c>
      <c r="B1280" t="s">
        <v>524</v>
      </c>
      <c r="C1280" t="s">
        <v>618</v>
      </c>
      <c r="D1280">
        <v>2020</v>
      </c>
      <c r="E1280" t="s">
        <v>573</v>
      </c>
      <c r="F1280" s="6">
        <v>65.693367733151803</v>
      </c>
      <c r="G1280" s="6">
        <v>302.41000517358748</v>
      </c>
      <c r="H1280" s="6">
        <v>236.71663744043568</v>
      </c>
      <c r="I1280" s="6"/>
      <c r="J1280" s="6"/>
    </row>
    <row r="1281" spans="1:10" x14ac:dyDescent="0.3">
      <c r="A1281" t="s">
        <v>533</v>
      </c>
      <c r="B1281" t="s">
        <v>524</v>
      </c>
      <c r="C1281" t="s">
        <v>618</v>
      </c>
      <c r="D1281">
        <v>2021</v>
      </c>
      <c r="E1281" t="s">
        <v>573</v>
      </c>
      <c r="F1281" s="6">
        <v>64.910072430224645</v>
      </c>
      <c r="G1281" s="6">
        <v>299.81701102791016</v>
      </c>
      <c r="H1281" s="6">
        <v>234.90693859768552</v>
      </c>
      <c r="I1281" s="6"/>
      <c r="J1281" s="6"/>
    </row>
    <row r="1282" spans="1:10" x14ac:dyDescent="0.3">
      <c r="A1282" t="s">
        <v>533</v>
      </c>
      <c r="B1282" t="s">
        <v>524</v>
      </c>
      <c r="C1282" t="s">
        <v>618</v>
      </c>
      <c r="D1282">
        <v>2022</v>
      </c>
      <c r="E1282" t="s">
        <v>573</v>
      </c>
      <c r="F1282" s="6">
        <v>73.170185432266848</v>
      </c>
      <c r="G1282" s="6">
        <v>320.44558665759018</v>
      </c>
      <c r="H1282" s="6">
        <v>247.27540122532335</v>
      </c>
      <c r="I1282" s="6"/>
      <c r="J1282" s="6"/>
    </row>
    <row r="1283" spans="1:10" x14ac:dyDescent="0.3">
      <c r="A1283" t="s">
        <v>533</v>
      </c>
      <c r="B1283" t="s">
        <v>524</v>
      </c>
      <c r="C1283" t="s">
        <v>618</v>
      </c>
      <c r="D1283">
        <v>2023</v>
      </c>
      <c r="E1283" t="s">
        <v>573</v>
      </c>
      <c r="F1283" s="6">
        <v>84.613296392103479</v>
      </c>
      <c r="G1283" s="6">
        <v>359.99792539142277</v>
      </c>
      <c r="H1283" s="6">
        <v>275.38462899931926</v>
      </c>
      <c r="I1283" s="6"/>
      <c r="J1283" s="6"/>
    </row>
    <row r="1284" spans="1:10" x14ac:dyDescent="0.3">
      <c r="A1284" t="s">
        <v>533</v>
      </c>
      <c r="B1284" t="s">
        <v>524</v>
      </c>
      <c r="C1284" t="s">
        <v>618</v>
      </c>
      <c r="D1284">
        <v>2024</v>
      </c>
      <c r="E1284" t="s">
        <v>573</v>
      </c>
      <c r="F1284" s="6">
        <v>98.178352620830495</v>
      </c>
      <c r="G1284" s="6">
        <v>399.77372362151124</v>
      </c>
      <c r="H1284" s="6">
        <v>301.5953710006807</v>
      </c>
      <c r="I1284" s="6"/>
      <c r="J1284" s="6"/>
    </row>
    <row r="1285" spans="1:10" x14ac:dyDescent="0.3">
      <c r="A1285" t="s">
        <v>551</v>
      </c>
      <c r="B1285" t="s">
        <v>552</v>
      </c>
      <c r="C1285" t="s">
        <v>619</v>
      </c>
      <c r="D1285">
        <v>2006</v>
      </c>
      <c r="E1285" t="s">
        <v>573</v>
      </c>
      <c r="F1285" s="6"/>
      <c r="G1285" s="6"/>
      <c r="H1285" s="6"/>
      <c r="I1285" s="6"/>
      <c r="J1285" s="6"/>
    </row>
    <row r="1286" spans="1:10" x14ac:dyDescent="0.3">
      <c r="A1286" t="s">
        <v>551</v>
      </c>
      <c r="B1286" t="s">
        <v>552</v>
      </c>
      <c r="C1286" t="s">
        <v>619</v>
      </c>
      <c r="D1286">
        <v>2007</v>
      </c>
      <c r="E1286" t="s">
        <v>573</v>
      </c>
      <c r="F1286" s="6"/>
      <c r="G1286" s="6"/>
      <c r="H1286" s="6"/>
      <c r="I1286" s="6"/>
      <c r="J1286" s="6"/>
    </row>
    <row r="1287" spans="1:10" x14ac:dyDescent="0.3">
      <c r="A1287" t="s">
        <v>551</v>
      </c>
      <c r="B1287" t="s">
        <v>552</v>
      </c>
      <c r="C1287" t="s">
        <v>619</v>
      </c>
      <c r="D1287">
        <v>2008</v>
      </c>
      <c r="E1287" t="s">
        <v>573</v>
      </c>
      <c r="F1287" s="6"/>
      <c r="G1287" s="6"/>
      <c r="H1287" s="6"/>
      <c r="I1287" s="6"/>
      <c r="J1287" s="6"/>
    </row>
    <row r="1288" spans="1:10" x14ac:dyDescent="0.3">
      <c r="A1288" t="s">
        <v>551</v>
      </c>
      <c r="B1288" t="s">
        <v>552</v>
      </c>
      <c r="C1288" t="s">
        <v>619</v>
      </c>
      <c r="D1288">
        <v>2009</v>
      </c>
      <c r="E1288" t="s">
        <v>573</v>
      </c>
      <c r="F1288" s="6"/>
      <c r="G1288" s="6"/>
      <c r="H1288" s="6"/>
      <c r="I1288" s="6"/>
      <c r="J1288" s="6"/>
    </row>
    <row r="1289" spans="1:10" x14ac:dyDescent="0.3">
      <c r="A1289" t="s">
        <v>551</v>
      </c>
      <c r="B1289" t="s">
        <v>552</v>
      </c>
      <c r="C1289" t="s">
        <v>619</v>
      </c>
      <c r="D1289">
        <v>2010</v>
      </c>
      <c r="E1289" t="s">
        <v>573</v>
      </c>
      <c r="F1289" s="6"/>
      <c r="G1289" s="6"/>
      <c r="H1289" s="6"/>
      <c r="I1289" s="6"/>
      <c r="J1289" s="6"/>
    </row>
    <row r="1290" spans="1:10" x14ac:dyDescent="0.3">
      <c r="A1290" t="s">
        <v>551</v>
      </c>
      <c r="B1290" t="s">
        <v>552</v>
      </c>
      <c r="C1290" t="s">
        <v>619</v>
      </c>
      <c r="D1290">
        <v>2011</v>
      </c>
      <c r="E1290" t="s">
        <v>573</v>
      </c>
      <c r="F1290" s="6"/>
      <c r="G1290" s="6"/>
      <c r="H1290" s="6"/>
      <c r="I1290" s="6"/>
      <c r="J1290" s="6"/>
    </row>
    <row r="1291" spans="1:10" x14ac:dyDescent="0.3">
      <c r="A1291" t="s">
        <v>551</v>
      </c>
      <c r="B1291" t="s">
        <v>552</v>
      </c>
      <c r="C1291" t="s">
        <v>619</v>
      </c>
      <c r="D1291">
        <v>2012</v>
      </c>
      <c r="E1291" t="s">
        <v>573</v>
      </c>
      <c r="F1291" s="6"/>
      <c r="G1291" s="6"/>
      <c r="H1291" s="6"/>
      <c r="I1291" s="6"/>
      <c r="J1291" s="6"/>
    </row>
    <row r="1292" spans="1:10" x14ac:dyDescent="0.3">
      <c r="A1292" t="s">
        <v>551</v>
      </c>
      <c r="B1292" t="s">
        <v>552</v>
      </c>
      <c r="C1292" t="s">
        <v>619</v>
      </c>
      <c r="D1292">
        <v>2013</v>
      </c>
      <c r="E1292" t="s">
        <v>573</v>
      </c>
      <c r="F1292" s="6"/>
      <c r="G1292" s="6"/>
      <c r="H1292" s="6"/>
      <c r="I1292" s="6"/>
      <c r="J1292" s="6"/>
    </row>
    <row r="1293" spans="1:10" x14ac:dyDescent="0.3">
      <c r="A1293" t="s">
        <v>551</v>
      </c>
      <c r="B1293" t="s">
        <v>552</v>
      </c>
      <c r="C1293" t="s">
        <v>619</v>
      </c>
      <c r="D1293">
        <v>2014</v>
      </c>
      <c r="E1293" t="s">
        <v>573</v>
      </c>
      <c r="F1293" s="6"/>
      <c r="G1293" s="6"/>
      <c r="H1293" s="6"/>
      <c r="I1293" s="6"/>
      <c r="J1293" s="6"/>
    </row>
    <row r="1294" spans="1:10" x14ac:dyDescent="0.3">
      <c r="A1294" t="s">
        <v>551</v>
      </c>
      <c r="B1294" t="s">
        <v>552</v>
      </c>
      <c r="C1294" t="s">
        <v>619</v>
      </c>
      <c r="D1294">
        <v>2015</v>
      </c>
      <c r="E1294" t="s">
        <v>573</v>
      </c>
      <c r="F1294" s="6"/>
      <c r="G1294" s="6"/>
      <c r="H1294" s="6"/>
      <c r="I1294" s="6"/>
      <c r="J1294" s="6"/>
    </row>
    <row r="1295" spans="1:10" x14ac:dyDescent="0.3">
      <c r="A1295" t="s">
        <v>551</v>
      </c>
      <c r="B1295" t="s">
        <v>552</v>
      </c>
      <c r="C1295" t="s">
        <v>619</v>
      </c>
      <c r="D1295">
        <v>2016</v>
      </c>
      <c r="E1295" t="s">
        <v>573</v>
      </c>
      <c r="F1295" s="6"/>
      <c r="G1295" s="6"/>
      <c r="H1295" s="6"/>
      <c r="I1295" s="6"/>
      <c r="J1295" s="6"/>
    </row>
    <row r="1296" spans="1:10" x14ac:dyDescent="0.3">
      <c r="A1296" t="s">
        <v>551</v>
      </c>
      <c r="B1296" t="s">
        <v>552</v>
      </c>
      <c r="C1296" t="s">
        <v>619</v>
      </c>
      <c r="D1296">
        <v>2017</v>
      </c>
      <c r="E1296" t="s">
        <v>573</v>
      </c>
      <c r="F1296" s="6">
        <v>31.523218530395422</v>
      </c>
      <c r="G1296" s="6">
        <v>39.604916119642247</v>
      </c>
      <c r="H1296" s="6">
        <v>8.0817046289128083</v>
      </c>
    </row>
    <row r="1297" spans="1:8" x14ac:dyDescent="0.3">
      <c r="A1297" t="s">
        <v>551</v>
      </c>
      <c r="B1297" t="s">
        <v>552</v>
      </c>
      <c r="C1297" t="s">
        <v>619</v>
      </c>
      <c r="D1297">
        <v>2018</v>
      </c>
      <c r="E1297" t="s">
        <v>573</v>
      </c>
      <c r="F1297" s="6">
        <v>20.976570140103497</v>
      </c>
      <c r="G1297" s="6">
        <v>25.966863566201376</v>
      </c>
      <c r="H1297" s="6">
        <v>4.9902934260978791</v>
      </c>
    </row>
    <row r="1298" spans="1:8" x14ac:dyDescent="0.3">
      <c r="A1298" t="s">
        <v>551</v>
      </c>
      <c r="B1298" t="s">
        <v>552</v>
      </c>
      <c r="C1298" t="s">
        <v>619</v>
      </c>
      <c r="D1298">
        <v>2019</v>
      </c>
      <c r="E1298" t="s">
        <v>573</v>
      </c>
      <c r="F1298" s="6">
        <v>23.100391399611645</v>
      </c>
      <c r="G1298" s="6">
        <v>27.404850298869938</v>
      </c>
      <c r="H1298" s="6">
        <v>4.3044588992582931</v>
      </c>
    </row>
    <row r="1299" spans="1:8" x14ac:dyDescent="0.3">
      <c r="A1299" t="s">
        <v>551</v>
      </c>
      <c r="B1299" t="s">
        <v>552</v>
      </c>
      <c r="C1299" t="s">
        <v>619</v>
      </c>
      <c r="D1299">
        <v>2020</v>
      </c>
      <c r="E1299" t="s">
        <v>573</v>
      </c>
      <c r="F1299" s="6">
        <v>20.927962429358299</v>
      </c>
      <c r="G1299" s="6">
        <v>24.711177423102249</v>
      </c>
      <c r="H1299" s="6">
        <v>3.7832149937439454</v>
      </c>
    </row>
    <row r="1300" spans="1:8" x14ac:dyDescent="0.3">
      <c r="A1300" t="s">
        <v>551</v>
      </c>
      <c r="B1300" t="s">
        <v>552</v>
      </c>
      <c r="C1300" t="s">
        <v>619</v>
      </c>
      <c r="D1300">
        <v>2021</v>
      </c>
      <c r="E1300" t="s">
        <v>573</v>
      </c>
      <c r="F1300" s="6">
        <v>20.041059588046899</v>
      </c>
      <c r="G1300" s="6">
        <v>23.626387502474209</v>
      </c>
      <c r="H1300" s="6">
        <v>3.5853279144273134</v>
      </c>
    </row>
    <row r="1301" spans="1:8" x14ac:dyDescent="0.3">
      <c r="A1301" t="s">
        <v>551</v>
      </c>
      <c r="B1301" t="s">
        <v>552</v>
      </c>
      <c r="C1301" t="s">
        <v>619</v>
      </c>
      <c r="D1301">
        <v>2022</v>
      </c>
      <c r="E1301" t="s">
        <v>573</v>
      </c>
      <c r="F1301" s="6">
        <v>19.683531439935205</v>
      </c>
      <c r="G1301" s="6">
        <v>23.12582483133713</v>
      </c>
      <c r="H1301" s="6">
        <v>3.4422933914019271</v>
      </c>
    </row>
    <row r="1302" spans="1:8" x14ac:dyDescent="0.3">
      <c r="A1302" t="s">
        <v>551</v>
      </c>
      <c r="B1302" t="s">
        <v>552</v>
      </c>
      <c r="C1302" t="s">
        <v>619</v>
      </c>
      <c r="D1302">
        <v>2023</v>
      </c>
      <c r="E1302" t="s">
        <v>573</v>
      </c>
      <c r="F1302" s="6">
        <v>21.044768416585498</v>
      </c>
      <c r="G1302" s="6">
        <v>24.286186567082776</v>
      </c>
      <c r="H1302" s="6">
        <v>3.2414181504972803</v>
      </c>
    </row>
    <row r="1303" spans="1:8" x14ac:dyDescent="0.3">
      <c r="A1303" t="s">
        <v>551</v>
      </c>
      <c r="B1303" t="s">
        <v>552</v>
      </c>
      <c r="C1303" t="s">
        <v>619</v>
      </c>
      <c r="D1303">
        <v>2024</v>
      </c>
      <c r="E1303" t="s">
        <v>573</v>
      </c>
    </row>
  </sheetData>
  <autoFilter ref="A1:J1302" xr:uid="{75B358B8-0F57-4B1D-9B57-4D0DBEF2B022}"/>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8AA2F-93ED-4071-A488-A0A2E181BC13}">
  <sheetPr>
    <tabColor theme="0"/>
  </sheetPr>
  <dimension ref="A1:J923"/>
  <sheetViews>
    <sheetView zoomScale="85" zoomScaleNormal="85" workbookViewId="0">
      <selection activeCell="F1" sqref="F1"/>
    </sheetView>
  </sheetViews>
  <sheetFormatPr baseColWidth="10" defaultRowHeight="14.4" x14ac:dyDescent="0.3"/>
  <cols>
    <col min="1" max="3" width="13.77734375" customWidth="1"/>
    <col min="4" max="5" width="16.6640625" customWidth="1"/>
    <col min="6" max="9" width="13.77734375" customWidth="1"/>
    <col min="10" max="10" width="13.44140625" customWidth="1"/>
  </cols>
  <sheetData>
    <row r="1" spans="1:10" ht="56.55" customHeight="1" x14ac:dyDescent="0.3">
      <c r="A1" s="18" t="s">
        <v>39</v>
      </c>
      <c r="B1" s="18" t="s">
        <v>568</v>
      </c>
      <c r="C1" s="18" t="s">
        <v>26</v>
      </c>
      <c r="D1" s="18" t="s">
        <v>1413</v>
      </c>
      <c r="E1" s="18" t="s">
        <v>1430</v>
      </c>
      <c r="F1" s="18" t="s">
        <v>15</v>
      </c>
      <c r="G1" s="18" t="s">
        <v>17</v>
      </c>
      <c r="H1" s="18" t="s">
        <v>570</v>
      </c>
      <c r="I1" s="18" t="s">
        <v>21</v>
      </c>
      <c r="J1" s="18" t="s">
        <v>571</v>
      </c>
    </row>
    <row r="2" spans="1:10" x14ac:dyDescent="0.3">
      <c r="A2" t="s">
        <v>60</v>
      </c>
      <c r="B2" t="s">
        <v>572</v>
      </c>
      <c r="C2">
        <v>2000</v>
      </c>
      <c r="D2">
        <v>75.259789999999995</v>
      </c>
      <c r="E2" t="s">
        <v>1383</v>
      </c>
      <c r="F2">
        <v>232137</v>
      </c>
    </row>
    <row r="3" spans="1:10" x14ac:dyDescent="0.3">
      <c r="A3" t="s">
        <v>60</v>
      </c>
      <c r="B3" t="s">
        <v>572</v>
      </c>
      <c r="C3">
        <v>2001</v>
      </c>
      <c r="D3">
        <v>77.215019999999996</v>
      </c>
      <c r="E3" t="s">
        <v>1383</v>
      </c>
      <c r="F3">
        <v>171534</v>
      </c>
    </row>
    <row r="4" spans="1:10" x14ac:dyDescent="0.3">
      <c r="A4" t="s">
        <v>60</v>
      </c>
      <c r="B4" t="s">
        <v>572</v>
      </c>
      <c r="C4">
        <v>2002</v>
      </c>
      <c r="D4">
        <v>79.681899999999999</v>
      </c>
      <c r="E4" t="s">
        <v>1383</v>
      </c>
      <c r="F4">
        <v>27978</v>
      </c>
    </row>
    <row r="5" spans="1:10" x14ac:dyDescent="0.3">
      <c r="A5" t="s">
        <v>60</v>
      </c>
      <c r="B5" t="s">
        <v>572</v>
      </c>
      <c r="C5">
        <v>2003</v>
      </c>
      <c r="D5">
        <v>77.394970000000001</v>
      </c>
      <c r="E5" t="s">
        <v>1383</v>
      </c>
      <c r="F5">
        <v>320892</v>
      </c>
    </row>
    <row r="6" spans="1:10" x14ac:dyDescent="0.3">
      <c r="A6" t="s">
        <v>60</v>
      </c>
      <c r="B6" t="s">
        <v>572</v>
      </c>
      <c r="C6">
        <v>2004</v>
      </c>
      <c r="D6">
        <v>72.060649999999995</v>
      </c>
      <c r="E6" t="s">
        <v>1383</v>
      </c>
      <c r="F6">
        <v>721688</v>
      </c>
    </row>
    <row r="7" spans="1:10" x14ac:dyDescent="0.3">
      <c r="A7" t="s">
        <v>60</v>
      </c>
      <c r="B7" t="s">
        <v>572</v>
      </c>
      <c r="C7">
        <v>2005</v>
      </c>
      <c r="D7">
        <v>73.276309999999995</v>
      </c>
      <c r="E7" t="s">
        <v>1383</v>
      </c>
      <c r="F7">
        <v>1842686</v>
      </c>
    </row>
    <row r="8" spans="1:10" x14ac:dyDescent="0.3">
      <c r="A8" t="s">
        <v>60</v>
      </c>
      <c r="B8" t="s">
        <v>572</v>
      </c>
      <c r="C8">
        <v>2006</v>
      </c>
      <c r="D8">
        <v>72.646609999999995</v>
      </c>
      <c r="E8" t="s">
        <v>1383</v>
      </c>
      <c r="F8">
        <v>2931045</v>
      </c>
    </row>
    <row r="9" spans="1:10" x14ac:dyDescent="0.3">
      <c r="A9" t="s">
        <v>60</v>
      </c>
      <c r="B9" t="s">
        <v>572</v>
      </c>
      <c r="C9">
        <v>2007</v>
      </c>
      <c r="D9">
        <v>69.292400000000001</v>
      </c>
      <c r="E9" t="s">
        <v>1383</v>
      </c>
      <c r="F9">
        <v>3215530</v>
      </c>
    </row>
    <row r="10" spans="1:10" x14ac:dyDescent="0.3">
      <c r="A10" t="s">
        <v>60</v>
      </c>
      <c r="B10" t="s">
        <v>572</v>
      </c>
      <c r="C10">
        <v>2008</v>
      </c>
      <c r="D10">
        <v>64.582800000000006</v>
      </c>
      <c r="E10" t="s">
        <v>1383</v>
      </c>
      <c r="F10">
        <v>4280073.3</v>
      </c>
    </row>
    <row r="11" spans="1:10" x14ac:dyDescent="0.3">
      <c r="A11" t="s">
        <v>60</v>
      </c>
      <c r="B11" t="s">
        <v>572</v>
      </c>
      <c r="C11">
        <v>2009</v>
      </c>
      <c r="D11">
        <v>72.647419999999997</v>
      </c>
      <c r="E11" t="s">
        <v>1383</v>
      </c>
      <c r="F11">
        <v>4316465</v>
      </c>
    </row>
    <row r="12" spans="1:10" x14ac:dyDescent="0.3">
      <c r="A12" t="s">
        <v>60</v>
      </c>
      <c r="B12" t="s">
        <v>572</v>
      </c>
      <c r="C12">
        <v>2010</v>
      </c>
      <c r="D12">
        <v>74.385990000000007</v>
      </c>
      <c r="E12" t="s">
        <v>1383</v>
      </c>
      <c r="F12">
        <v>4842837</v>
      </c>
    </row>
    <row r="13" spans="1:10" x14ac:dyDescent="0.3">
      <c r="A13" t="s">
        <v>60</v>
      </c>
      <c r="B13" t="s">
        <v>572</v>
      </c>
      <c r="C13">
        <v>2011</v>
      </c>
      <c r="D13">
        <v>72.937880000000007</v>
      </c>
      <c r="E13" t="s">
        <v>1383</v>
      </c>
      <c r="F13">
        <v>5381702</v>
      </c>
    </row>
    <row r="14" spans="1:10" x14ac:dyDescent="0.3">
      <c r="A14" t="s">
        <v>60</v>
      </c>
      <c r="B14" t="s">
        <v>572</v>
      </c>
      <c r="C14">
        <v>2012</v>
      </c>
      <c r="D14">
        <v>77.535960000000003</v>
      </c>
      <c r="E14" t="s">
        <v>1383</v>
      </c>
      <c r="F14">
        <v>5633751</v>
      </c>
    </row>
    <row r="15" spans="1:10" x14ac:dyDescent="0.3">
      <c r="A15" t="s">
        <v>60</v>
      </c>
      <c r="B15" t="s">
        <v>572</v>
      </c>
      <c r="C15">
        <v>2013</v>
      </c>
      <c r="D15">
        <v>79.368399999999994</v>
      </c>
      <c r="E15" t="s">
        <v>1383</v>
      </c>
      <c r="F15">
        <v>5563511</v>
      </c>
    </row>
    <row r="16" spans="1:10" x14ac:dyDescent="0.3">
      <c r="A16" t="s">
        <v>60</v>
      </c>
      <c r="B16" t="s">
        <v>572</v>
      </c>
      <c r="C16">
        <v>2014</v>
      </c>
      <c r="D16">
        <v>80.57902</v>
      </c>
      <c r="E16" t="s">
        <v>1383</v>
      </c>
      <c r="F16">
        <v>4408159</v>
      </c>
    </row>
    <row r="17" spans="1:8" x14ac:dyDescent="0.3">
      <c r="A17" t="s">
        <v>60</v>
      </c>
      <c r="B17" t="s">
        <v>572</v>
      </c>
      <c r="C17">
        <v>2015</v>
      </c>
      <c r="D17">
        <v>100.6914</v>
      </c>
      <c r="E17" t="s">
        <v>1383</v>
      </c>
      <c r="F17">
        <v>2073846</v>
      </c>
    </row>
    <row r="18" spans="1:8" x14ac:dyDescent="0.3">
      <c r="A18" t="s">
        <v>60</v>
      </c>
      <c r="B18" t="s">
        <v>572</v>
      </c>
      <c r="C18">
        <v>2016</v>
      </c>
      <c r="D18">
        <v>109.4431</v>
      </c>
      <c r="E18" t="s">
        <v>1383</v>
      </c>
      <c r="F18">
        <v>784458</v>
      </c>
    </row>
    <row r="19" spans="1:8" x14ac:dyDescent="0.3">
      <c r="A19" t="s">
        <v>60</v>
      </c>
      <c r="B19" t="s">
        <v>572</v>
      </c>
      <c r="C19">
        <v>2017</v>
      </c>
      <c r="D19">
        <v>110.973</v>
      </c>
      <c r="E19" t="s">
        <v>1383</v>
      </c>
      <c r="F19">
        <v>0</v>
      </c>
    </row>
    <row r="20" spans="1:8" x14ac:dyDescent="0.3">
      <c r="A20" t="s">
        <v>60</v>
      </c>
      <c r="B20" t="s">
        <v>572</v>
      </c>
      <c r="C20">
        <v>2018</v>
      </c>
      <c r="D20">
        <v>116.5938</v>
      </c>
      <c r="E20" t="s">
        <v>1383</v>
      </c>
      <c r="F20">
        <v>305500</v>
      </c>
    </row>
    <row r="21" spans="1:8" x14ac:dyDescent="0.3">
      <c r="A21" t="s">
        <v>60</v>
      </c>
      <c r="B21" t="s">
        <v>572</v>
      </c>
      <c r="C21">
        <v>2019</v>
      </c>
      <c r="D21">
        <v>119.3536</v>
      </c>
      <c r="E21" t="s">
        <v>1383</v>
      </c>
      <c r="F21">
        <v>305500</v>
      </c>
    </row>
    <row r="22" spans="1:8" x14ac:dyDescent="0.3">
      <c r="A22" t="s">
        <v>60</v>
      </c>
      <c r="B22" t="s">
        <v>572</v>
      </c>
      <c r="C22">
        <v>2020</v>
      </c>
      <c r="D22">
        <v>126.77679999999999</v>
      </c>
      <c r="E22" t="s">
        <v>1383</v>
      </c>
      <c r="F22">
        <v>0</v>
      </c>
    </row>
    <row r="23" spans="1:8" x14ac:dyDescent="0.3">
      <c r="A23" t="s">
        <v>60</v>
      </c>
      <c r="B23" t="s">
        <v>572</v>
      </c>
      <c r="C23">
        <v>2021</v>
      </c>
      <c r="D23">
        <v>135.0641</v>
      </c>
      <c r="E23" t="s">
        <v>1383</v>
      </c>
      <c r="F23">
        <v>682104</v>
      </c>
    </row>
    <row r="24" spans="1:8" x14ac:dyDescent="0.3">
      <c r="A24" t="s">
        <v>60</v>
      </c>
      <c r="B24" t="s">
        <v>572</v>
      </c>
      <c r="C24">
        <v>2022</v>
      </c>
      <c r="D24">
        <v>141.995</v>
      </c>
      <c r="E24" t="s">
        <v>1383</v>
      </c>
      <c r="F24">
        <v>1966593</v>
      </c>
    </row>
    <row r="25" spans="1:8" x14ac:dyDescent="0.3">
      <c r="A25" t="s">
        <v>60</v>
      </c>
      <c r="B25" t="s">
        <v>572</v>
      </c>
      <c r="C25">
        <v>2023</v>
      </c>
      <c r="D25">
        <v>135.84289999999999</v>
      </c>
      <c r="E25" t="s">
        <v>1383</v>
      </c>
      <c r="F25">
        <v>2659945</v>
      </c>
    </row>
    <row r="26" spans="1:8" x14ac:dyDescent="0.3">
      <c r="A26" t="s">
        <v>66</v>
      </c>
      <c r="B26" t="s">
        <v>574</v>
      </c>
      <c r="C26">
        <v>2012</v>
      </c>
      <c r="D26">
        <v>95.467960000000005</v>
      </c>
      <c r="E26" t="s">
        <v>1384</v>
      </c>
      <c r="F26">
        <v>1833.8150000000001</v>
      </c>
      <c r="G26">
        <v>3096.681</v>
      </c>
      <c r="H26">
        <v>1262.866</v>
      </c>
    </row>
    <row r="27" spans="1:8" x14ac:dyDescent="0.3">
      <c r="A27" t="s">
        <v>66</v>
      </c>
      <c r="B27" t="s">
        <v>574</v>
      </c>
      <c r="C27">
        <v>2013</v>
      </c>
      <c r="D27">
        <v>96.518280000000004</v>
      </c>
      <c r="E27" t="s">
        <v>1384</v>
      </c>
      <c r="F27">
        <v>356498.04800000001</v>
      </c>
      <c r="G27">
        <v>357008.00199999998</v>
      </c>
      <c r="H27">
        <v>509.95400000000001</v>
      </c>
    </row>
    <row r="28" spans="1:8" x14ac:dyDescent="0.3">
      <c r="A28" t="s">
        <v>66</v>
      </c>
      <c r="B28" t="s">
        <v>574</v>
      </c>
      <c r="C28">
        <v>2014</v>
      </c>
      <c r="E28" t="s">
        <v>1385</v>
      </c>
      <c r="F28">
        <v>4840.7719999999999</v>
      </c>
      <c r="G28">
        <v>4878.2730000000001</v>
      </c>
      <c r="H28">
        <v>37.500999999999998</v>
      </c>
    </row>
    <row r="29" spans="1:8" x14ac:dyDescent="0.3">
      <c r="A29" t="s">
        <v>66</v>
      </c>
      <c r="B29" t="s">
        <v>574</v>
      </c>
      <c r="C29">
        <v>2015</v>
      </c>
      <c r="E29" t="s">
        <v>1385</v>
      </c>
      <c r="F29">
        <v>4705.8969999999999</v>
      </c>
      <c r="G29">
        <v>4758.3850000000002</v>
      </c>
      <c r="H29">
        <v>52.488</v>
      </c>
    </row>
    <row r="30" spans="1:8" x14ac:dyDescent="0.3">
      <c r="A30" t="s">
        <v>66</v>
      </c>
      <c r="B30" t="s">
        <v>574</v>
      </c>
      <c r="C30">
        <v>2016</v>
      </c>
      <c r="E30" t="s">
        <v>1385</v>
      </c>
      <c r="F30">
        <v>4923.3689999999997</v>
      </c>
      <c r="G30">
        <v>4990.652</v>
      </c>
      <c r="H30">
        <v>67.283000000000001</v>
      </c>
    </row>
    <row r="31" spans="1:8" x14ac:dyDescent="0.3">
      <c r="A31" t="s">
        <v>66</v>
      </c>
      <c r="B31" t="s">
        <v>574</v>
      </c>
      <c r="C31">
        <v>2017</v>
      </c>
      <c r="E31" t="s">
        <v>1385</v>
      </c>
      <c r="F31">
        <v>4539.1559999999999</v>
      </c>
      <c r="G31">
        <v>4652.902</v>
      </c>
      <c r="H31">
        <v>113.746</v>
      </c>
    </row>
    <row r="32" spans="1:8" x14ac:dyDescent="0.3">
      <c r="A32" t="s">
        <v>66</v>
      </c>
      <c r="B32" t="s">
        <v>574</v>
      </c>
      <c r="C32">
        <v>2018</v>
      </c>
      <c r="E32" t="s">
        <v>1385</v>
      </c>
      <c r="F32">
        <v>4435.0940000000001</v>
      </c>
      <c r="G32">
        <v>4539.6040000000003</v>
      </c>
      <c r="H32">
        <v>104.51</v>
      </c>
    </row>
    <row r="33" spans="1:8" x14ac:dyDescent="0.3">
      <c r="A33" t="s">
        <v>66</v>
      </c>
      <c r="B33" t="s">
        <v>574</v>
      </c>
      <c r="C33">
        <v>2019</v>
      </c>
      <c r="E33" t="s">
        <v>1385</v>
      </c>
      <c r="F33">
        <v>3668.7979999999998</v>
      </c>
      <c r="G33">
        <v>4587.3459999999995</v>
      </c>
      <c r="H33">
        <v>918.548</v>
      </c>
    </row>
    <row r="34" spans="1:8" x14ac:dyDescent="0.3">
      <c r="A34" t="s">
        <v>66</v>
      </c>
      <c r="B34" t="s">
        <v>574</v>
      </c>
      <c r="C34">
        <v>2020</v>
      </c>
      <c r="E34" t="s">
        <v>1385</v>
      </c>
      <c r="F34">
        <v>2243.41</v>
      </c>
      <c r="G34">
        <v>2953.4229999999998</v>
      </c>
      <c r="H34">
        <v>710.01300000000003</v>
      </c>
    </row>
    <row r="35" spans="1:8" x14ac:dyDescent="0.3">
      <c r="A35" t="s">
        <v>66</v>
      </c>
      <c r="B35" t="s">
        <v>574</v>
      </c>
      <c r="C35">
        <v>2021</v>
      </c>
      <c r="E35" t="s">
        <v>1385</v>
      </c>
      <c r="F35">
        <v>2306.3359999999998</v>
      </c>
      <c r="G35">
        <v>2808.4879999999998</v>
      </c>
      <c r="H35">
        <v>502.15199999999999</v>
      </c>
    </row>
    <row r="36" spans="1:8" x14ac:dyDescent="0.3">
      <c r="A36" t="s">
        <v>66</v>
      </c>
      <c r="B36" t="s">
        <v>574</v>
      </c>
      <c r="C36">
        <v>2022</v>
      </c>
      <c r="E36" t="s">
        <v>1385</v>
      </c>
      <c r="F36">
        <v>3609.69</v>
      </c>
      <c r="G36">
        <v>3612.172</v>
      </c>
      <c r="H36">
        <v>2.4820000000000002</v>
      </c>
    </row>
    <row r="37" spans="1:8" x14ac:dyDescent="0.3">
      <c r="A37" t="s">
        <v>66</v>
      </c>
      <c r="B37" t="s">
        <v>574</v>
      </c>
      <c r="C37">
        <v>2023</v>
      </c>
      <c r="E37" t="s">
        <v>1385</v>
      </c>
      <c r="F37">
        <v>3809.04</v>
      </c>
      <c r="G37">
        <v>3815.52</v>
      </c>
      <c r="H37">
        <v>6.48</v>
      </c>
    </row>
    <row r="38" spans="1:8" x14ac:dyDescent="0.3">
      <c r="A38" t="s">
        <v>66</v>
      </c>
      <c r="B38" t="s">
        <v>574</v>
      </c>
      <c r="C38">
        <v>2024</v>
      </c>
      <c r="E38" t="s">
        <v>1385</v>
      </c>
      <c r="F38">
        <v>3984.8719999999998</v>
      </c>
      <c r="G38">
        <v>3990.1579999999999</v>
      </c>
      <c r="H38">
        <v>5.2859999999999996</v>
      </c>
    </row>
    <row r="39" spans="1:8" x14ac:dyDescent="0.3">
      <c r="A39" t="s">
        <v>76</v>
      </c>
      <c r="B39" t="s">
        <v>575</v>
      </c>
      <c r="C39">
        <v>2006</v>
      </c>
      <c r="D39">
        <v>1.3279730000000001</v>
      </c>
      <c r="E39" t="s">
        <v>1398</v>
      </c>
      <c r="F39">
        <v>18163.042000000001</v>
      </c>
      <c r="G39">
        <v>18163.316999999999</v>
      </c>
      <c r="H39">
        <v>0.27500000000000002</v>
      </c>
    </row>
    <row r="40" spans="1:8" x14ac:dyDescent="0.3">
      <c r="A40" t="s">
        <v>76</v>
      </c>
      <c r="B40" t="s">
        <v>575</v>
      </c>
      <c r="C40">
        <v>2007</v>
      </c>
      <c r="D40">
        <v>1.1950730000000001</v>
      </c>
      <c r="E40" t="s">
        <v>1398</v>
      </c>
      <c r="F40">
        <v>52466.69</v>
      </c>
      <c r="G40">
        <v>53062.184999999998</v>
      </c>
      <c r="H40">
        <v>595.495</v>
      </c>
    </row>
    <row r="41" spans="1:8" x14ac:dyDescent="0.3">
      <c r="A41" t="s">
        <v>76</v>
      </c>
      <c r="B41" t="s">
        <v>575</v>
      </c>
      <c r="C41">
        <v>2008</v>
      </c>
      <c r="D41">
        <v>1.192178</v>
      </c>
      <c r="E41" t="s">
        <v>1398</v>
      </c>
      <c r="F41">
        <v>64139.697999999997</v>
      </c>
      <c r="G41">
        <v>64259.919000000002</v>
      </c>
      <c r="H41">
        <v>120.221</v>
      </c>
    </row>
    <row r="42" spans="1:8" x14ac:dyDescent="0.3">
      <c r="A42" t="s">
        <v>76</v>
      </c>
      <c r="B42" t="s">
        <v>575</v>
      </c>
      <c r="C42">
        <v>2009</v>
      </c>
      <c r="D42">
        <v>1.282189</v>
      </c>
      <c r="E42" t="s">
        <v>1398</v>
      </c>
      <c r="F42">
        <v>60961.561999999998</v>
      </c>
      <c r="G42">
        <v>62757.307000000001</v>
      </c>
      <c r="H42">
        <v>1795.7449999999999</v>
      </c>
    </row>
    <row r="43" spans="1:8" x14ac:dyDescent="0.3">
      <c r="A43" t="s">
        <v>76</v>
      </c>
      <c r="B43" t="s">
        <v>575</v>
      </c>
      <c r="C43">
        <v>2010</v>
      </c>
      <c r="D43">
        <v>1.09016</v>
      </c>
      <c r="E43" t="s">
        <v>1398</v>
      </c>
      <c r="F43">
        <v>67282.035999999993</v>
      </c>
      <c r="G43">
        <v>70638.376999999993</v>
      </c>
      <c r="H43">
        <v>3356.3409999999999</v>
      </c>
    </row>
    <row r="44" spans="1:8" x14ac:dyDescent="0.3">
      <c r="A44" t="s">
        <v>76</v>
      </c>
      <c r="B44" t="s">
        <v>575</v>
      </c>
      <c r="C44">
        <v>2011</v>
      </c>
      <c r="D44">
        <v>0.96946319999999997</v>
      </c>
      <c r="E44" t="s">
        <v>1398</v>
      </c>
      <c r="F44">
        <v>75306.793999999994</v>
      </c>
      <c r="G44">
        <v>77643.008000000002</v>
      </c>
      <c r="H44">
        <v>2336.2139999999999</v>
      </c>
    </row>
    <row r="45" spans="1:8" x14ac:dyDescent="0.3">
      <c r="A45" t="s">
        <v>76</v>
      </c>
      <c r="B45" t="s">
        <v>575</v>
      </c>
      <c r="C45">
        <v>2012</v>
      </c>
      <c r="D45">
        <v>0.96580109999999997</v>
      </c>
      <c r="E45" t="s">
        <v>1398</v>
      </c>
      <c r="F45">
        <v>76946.376000000004</v>
      </c>
      <c r="G45">
        <v>78250.47</v>
      </c>
      <c r="H45">
        <v>1304.0940000000001</v>
      </c>
    </row>
    <row r="46" spans="1:8" x14ac:dyDescent="0.3">
      <c r="A46" t="s">
        <v>76</v>
      </c>
      <c r="B46" t="s">
        <v>575</v>
      </c>
      <c r="C46">
        <v>2013</v>
      </c>
      <c r="D46">
        <v>1.0358430000000001</v>
      </c>
      <c r="E46" t="s">
        <v>1398</v>
      </c>
      <c r="F46">
        <v>88804.297999999995</v>
      </c>
      <c r="G46">
        <v>94893.668999999994</v>
      </c>
      <c r="H46">
        <v>6089.3710000000001</v>
      </c>
    </row>
    <row r="47" spans="1:8" x14ac:dyDescent="0.3">
      <c r="A47" t="s">
        <v>76</v>
      </c>
      <c r="B47" t="s">
        <v>575</v>
      </c>
      <c r="C47">
        <v>2014</v>
      </c>
      <c r="D47">
        <v>1.1093630000000001</v>
      </c>
      <c r="E47" t="s">
        <v>1398</v>
      </c>
      <c r="F47">
        <v>101540.192</v>
      </c>
      <c r="G47">
        <v>102304.022</v>
      </c>
      <c r="H47">
        <v>763.83</v>
      </c>
    </row>
    <row r="48" spans="1:8" x14ac:dyDescent="0.3">
      <c r="A48" t="s">
        <v>76</v>
      </c>
      <c r="B48" t="s">
        <v>575</v>
      </c>
      <c r="C48">
        <v>2015</v>
      </c>
      <c r="D48">
        <v>1.3310900000000001</v>
      </c>
      <c r="E48" t="s">
        <v>1398</v>
      </c>
      <c r="F48">
        <v>117145.72500000001</v>
      </c>
      <c r="G48">
        <v>118443.504</v>
      </c>
      <c r="H48">
        <v>1297.779</v>
      </c>
    </row>
    <row r="49" spans="1:8" x14ac:dyDescent="0.3">
      <c r="A49" t="s">
        <v>76</v>
      </c>
      <c r="B49" t="s">
        <v>575</v>
      </c>
      <c r="C49">
        <v>2016</v>
      </c>
      <c r="D49">
        <v>1.3452139999999999</v>
      </c>
      <c r="E49" t="s">
        <v>1398</v>
      </c>
      <c r="F49">
        <v>122735.65</v>
      </c>
      <c r="G49">
        <v>124292.37300000001</v>
      </c>
      <c r="H49">
        <v>1556.723</v>
      </c>
    </row>
    <row r="50" spans="1:8" x14ac:dyDescent="0.3">
      <c r="A50" t="s">
        <v>76</v>
      </c>
      <c r="B50" t="s">
        <v>575</v>
      </c>
      <c r="C50">
        <v>2017</v>
      </c>
      <c r="D50">
        <v>1.3047580000000001</v>
      </c>
      <c r="E50" t="s">
        <v>1398</v>
      </c>
      <c r="F50">
        <v>133412.21599999999</v>
      </c>
      <c r="G50">
        <v>134997.08499999999</v>
      </c>
      <c r="H50">
        <v>1584.8689999999999</v>
      </c>
    </row>
    <row r="51" spans="1:8" x14ac:dyDescent="0.3">
      <c r="A51" t="s">
        <v>76</v>
      </c>
      <c r="B51" t="s">
        <v>575</v>
      </c>
      <c r="C51">
        <v>2018</v>
      </c>
      <c r="D51">
        <v>1.3384119999999999</v>
      </c>
      <c r="E51" t="s">
        <v>1398</v>
      </c>
      <c r="F51">
        <v>145747.17000000001</v>
      </c>
      <c r="G51">
        <v>148343.31899999999</v>
      </c>
      <c r="H51">
        <v>2596.1489999999999</v>
      </c>
    </row>
    <row r="52" spans="1:8" x14ac:dyDescent="0.3">
      <c r="A52" t="s">
        <v>76</v>
      </c>
      <c r="B52" t="s">
        <v>575</v>
      </c>
      <c r="C52">
        <v>2019</v>
      </c>
      <c r="D52">
        <v>1.438507</v>
      </c>
      <c r="E52" t="s">
        <v>1398</v>
      </c>
      <c r="F52">
        <v>162474.63099999999</v>
      </c>
      <c r="G52">
        <v>163615.70199999999</v>
      </c>
      <c r="H52">
        <v>1141.0709999999999</v>
      </c>
    </row>
    <row r="53" spans="1:8" x14ac:dyDescent="0.3">
      <c r="A53" t="s">
        <v>76</v>
      </c>
      <c r="B53" t="s">
        <v>575</v>
      </c>
      <c r="C53">
        <v>2020</v>
      </c>
      <c r="D53">
        <v>1.453085</v>
      </c>
      <c r="E53" t="s">
        <v>1398</v>
      </c>
      <c r="F53">
        <v>161046.18100000001</v>
      </c>
      <c r="G53">
        <v>162564.62899999999</v>
      </c>
      <c r="H53">
        <v>1518.4480000000001</v>
      </c>
    </row>
    <row r="54" spans="1:8" x14ac:dyDescent="0.3">
      <c r="A54" t="s">
        <v>76</v>
      </c>
      <c r="B54" t="s">
        <v>575</v>
      </c>
      <c r="C54">
        <v>2021</v>
      </c>
      <c r="D54">
        <v>1.331224</v>
      </c>
      <c r="E54" t="s">
        <v>1398</v>
      </c>
      <c r="F54">
        <v>196759.50599999999</v>
      </c>
      <c r="G54">
        <v>198828.821</v>
      </c>
      <c r="H54">
        <v>2069.3150000000001</v>
      </c>
    </row>
    <row r="55" spans="1:8" x14ac:dyDescent="0.3">
      <c r="A55" t="s">
        <v>76</v>
      </c>
      <c r="B55" t="s">
        <v>575</v>
      </c>
      <c r="C55">
        <v>2022</v>
      </c>
      <c r="D55">
        <v>1.4416640000000001</v>
      </c>
      <c r="E55" t="s">
        <v>1398</v>
      </c>
      <c r="F55">
        <v>194312.72099999999</v>
      </c>
      <c r="G55">
        <v>200626.20499999999</v>
      </c>
      <c r="H55">
        <v>6313.4840000000004</v>
      </c>
    </row>
    <row r="56" spans="1:8" x14ac:dyDescent="0.3">
      <c r="A56" t="s">
        <v>76</v>
      </c>
      <c r="B56" t="s">
        <v>575</v>
      </c>
      <c r="C56">
        <v>2023</v>
      </c>
      <c r="D56">
        <v>1.5051909999999999</v>
      </c>
      <c r="E56" t="s">
        <v>1398</v>
      </c>
      <c r="F56">
        <v>206023.209</v>
      </c>
      <c r="G56">
        <v>210437.88200000001</v>
      </c>
      <c r="H56">
        <v>4414.6729999999998</v>
      </c>
    </row>
    <row r="57" spans="1:8" x14ac:dyDescent="0.3">
      <c r="A57" t="s">
        <v>76</v>
      </c>
      <c r="B57" t="s">
        <v>575</v>
      </c>
      <c r="C57">
        <v>2024</v>
      </c>
      <c r="D57">
        <v>1.515358</v>
      </c>
      <c r="E57" t="s">
        <v>1398</v>
      </c>
      <c r="F57">
        <v>224793.60800000001</v>
      </c>
      <c r="G57">
        <v>229157.41</v>
      </c>
      <c r="H57">
        <v>4363.8019999999997</v>
      </c>
    </row>
    <row r="58" spans="1:8" x14ac:dyDescent="0.3">
      <c r="A58" t="s">
        <v>82</v>
      </c>
      <c r="B58" t="s">
        <v>576</v>
      </c>
      <c r="C58">
        <v>2017</v>
      </c>
      <c r="D58">
        <v>0.88520549999999998</v>
      </c>
      <c r="E58" t="s">
        <v>1386</v>
      </c>
      <c r="F58">
        <v>1957.8330000000005</v>
      </c>
      <c r="G58">
        <v>2206.7669999999994</v>
      </c>
    </row>
    <row r="59" spans="1:8" x14ac:dyDescent="0.3">
      <c r="A59" t="s">
        <v>82</v>
      </c>
      <c r="B59" t="s">
        <v>576</v>
      </c>
      <c r="C59">
        <v>2018</v>
      </c>
      <c r="D59">
        <v>0.84677270000000004</v>
      </c>
      <c r="E59" t="s">
        <v>1386</v>
      </c>
      <c r="F59">
        <v>2037.8957625400003</v>
      </c>
      <c r="G59">
        <v>2207.1059692899998</v>
      </c>
    </row>
    <row r="60" spans="1:8" x14ac:dyDescent="0.3">
      <c r="A60" t="s">
        <v>82</v>
      </c>
      <c r="B60" t="s">
        <v>576</v>
      </c>
      <c r="C60">
        <v>2019</v>
      </c>
      <c r="D60">
        <v>0.89327630000000002</v>
      </c>
      <c r="E60" t="s">
        <v>1386</v>
      </c>
      <c r="F60">
        <v>3462.9180632600005</v>
      </c>
      <c r="G60">
        <v>3513.3670798899998</v>
      </c>
    </row>
    <row r="61" spans="1:8" x14ac:dyDescent="0.3">
      <c r="A61" t="s">
        <v>82</v>
      </c>
      <c r="B61" t="s">
        <v>576</v>
      </c>
      <c r="C61">
        <v>2020</v>
      </c>
      <c r="D61">
        <v>0.87550640000000002</v>
      </c>
      <c r="E61" t="s">
        <v>1386</v>
      </c>
      <c r="F61">
        <v>3466.3837231900006</v>
      </c>
      <c r="G61">
        <v>3521.9356166999992</v>
      </c>
    </row>
    <row r="62" spans="1:8" x14ac:dyDescent="0.3">
      <c r="A62" t="s">
        <v>82</v>
      </c>
      <c r="B62" t="s">
        <v>576</v>
      </c>
      <c r="C62">
        <v>2021</v>
      </c>
      <c r="D62">
        <v>0.84549419999999997</v>
      </c>
      <c r="E62" t="s">
        <v>1386</v>
      </c>
      <c r="F62">
        <v>3442.4778116500001</v>
      </c>
      <c r="G62">
        <v>3517.5873074000001</v>
      </c>
    </row>
    <row r="63" spans="1:8" x14ac:dyDescent="0.3">
      <c r="A63" t="s">
        <v>82</v>
      </c>
      <c r="B63" t="s">
        <v>576</v>
      </c>
      <c r="C63">
        <v>2022</v>
      </c>
      <c r="D63">
        <v>0.94962380000000002</v>
      </c>
      <c r="E63" t="s">
        <v>1386</v>
      </c>
      <c r="F63">
        <v>3447.2370029100002</v>
      </c>
      <c r="G63">
        <v>3528.2368647099997</v>
      </c>
    </row>
    <row r="64" spans="1:8" x14ac:dyDescent="0.3">
      <c r="A64" t="s">
        <v>82</v>
      </c>
      <c r="B64" t="s">
        <v>576</v>
      </c>
      <c r="C64">
        <v>2023</v>
      </c>
      <c r="D64">
        <v>0.92483959999999998</v>
      </c>
      <c r="E64" t="s">
        <v>1386</v>
      </c>
      <c r="F64">
        <v>3466.6937606399997</v>
      </c>
      <c r="G64">
        <v>3518.4593922700005</v>
      </c>
    </row>
    <row r="65" spans="1:8" x14ac:dyDescent="0.3">
      <c r="A65" t="s">
        <v>82</v>
      </c>
      <c r="B65" t="s">
        <v>576</v>
      </c>
      <c r="C65">
        <v>2024</v>
      </c>
      <c r="D65">
        <v>0.92388950000000003</v>
      </c>
      <c r="E65" t="s">
        <v>1386</v>
      </c>
      <c r="F65">
        <v>3485.2191582099999</v>
      </c>
      <c r="G65">
        <v>3516.6790294400002</v>
      </c>
    </row>
    <row r="66" spans="1:8" x14ac:dyDescent="0.3">
      <c r="A66" t="s">
        <v>87</v>
      </c>
      <c r="B66" t="s">
        <v>577</v>
      </c>
      <c r="C66">
        <v>2001</v>
      </c>
      <c r="D66">
        <v>0.9313167</v>
      </c>
      <c r="E66" t="s">
        <v>1387</v>
      </c>
      <c r="F66">
        <v>2349966</v>
      </c>
      <c r="G66">
        <v>2349966</v>
      </c>
      <c r="H66">
        <v>0</v>
      </c>
    </row>
    <row r="67" spans="1:8" x14ac:dyDescent="0.3">
      <c r="A67" t="s">
        <v>87</v>
      </c>
      <c r="B67" t="s">
        <v>577</v>
      </c>
      <c r="C67">
        <v>2002</v>
      </c>
      <c r="D67">
        <v>0.97216420000000003</v>
      </c>
      <c r="E67" t="s">
        <v>1387</v>
      </c>
      <c r="F67">
        <v>3373921</v>
      </c>
      <c r="G67">
        <v>3389197</v>
      </c>
      <c r="H67">
        <v>15276</v>
      </c>
    </row>
    <row r="68" spans="1:8" x14ac:dyDescent="0.3">
      <c r="A68" t="s">
        <v>87</v>
      </c>
      <c r="B68" t="s">
        <v>577</v>
      </c>
      <c r="C68">
        <v>2003</v>
      </c>
      <c r="D68">
        <v>0.98214599999999996</v>
      </c>
      <c r="E68" t="s">
        <v>1387</v>
      </c>
      <c r="F68">
        <v>3968125</v>
      </c>
      <c r="G68">
        <v>4025048</v>
      </c>
      <c r="H68">
        <v>56923</v>
      </c>
    </row>
    <row r="69" spans="1:8" x14ac:dyDescent="0.3">
      <c r="A69" t="s">
        <v>87</v>
      </c>
      <c r="B69" t="s">
        <v>577</v>
      </c>
      <c r="C69">
        <v>2004</v>
      </c>
      <c r="D69">
        <v>0.98269550000000006</v>
      </c>
      <c r="E69" t="s">
        <v>1387</v>
      </c>
      <c r="F69">
        <v>4734742</v>
      </c>
      <c r="G69">
        <v>4751386</v>
      </c>
      <c r="H69">
        <v>16644</v>
      </c>
    </row>
    <row r="70" spans="1:8" x14ac:dyDescent="0.3">
      <c r="A70" t="s">
        <v>87</v>
      </c>
      <c r="B70" t="s">
        <v>577</v>
      </c>
      <c r="C70">
        <v>2005</v>
      </c>
      <c r="D70">
        <v>0.94542099999999996</v>
      </c>
      <c r="E70" t="s">
        <v>1387</v>
      </c>
      <c r="F70">
        <v>6423072</v>
      </c>
      <c r="G70">
        <v>6424662</v>
      </c>
      <c r="H70">
        <v>1590</v>
      </c>
    </row>
    <row r="71" spans="1:8" x14ac:dyDescent="0.3">
      <c r="A71" t="s">
        <v>87</v>
      </c>
      <c r="B71" t="s">
        <v>577</v>
      </c>
      <c r="C71">
        <v>2006</v>
      </c>
      <c r="D71">
        <v>0.89344500000000004</v>
      </c>
      <c r="E71" t="s">
        <v>1388</v>
      </c>
      <c r="F71">
        <v>1284.269</v>
      </c>
      <c r="G71">
        <v>1284.78</v>
      </c>
      <c r="H71">
        <v>0.51100000000000001</v>
      </c>
    </row>
    <row r="72" spans="1:8" x14ac:dyDescent="0.3">
      <c r="A72" t="s">
        <v>87</v>
      </c>
      <c r="B72" t="s">
        <v>577</v>
      </c>
      <c r="C72">
        <v>2007</v>
      </c>
      <c r="D72">
        <v>0.85812379999999999</v>
      </c>
      <c r="E72" t="s">
        <v>1388</v>
      </c>
      <c r="F72">
        <v>2087.4769999999999</v>
      </c>
      <c r="G72">
        <v>2100.1120000000001</v>
      </c>
      <c r="H72">
        <v>12.635</v>
      </c>
    </row>
    <row r="73" spans="1:8" x14ac:dyDescent="0.3">
      <c r="A73" t="s">
        <v>87</v>
      </c>
      <c r="B73" t="s">
        <v>577</v>
      </c>
      <c r="C73">
        <v>2008</v>
      </c>
      <c r="D73">
        <v>0.82161960000000001</v>
      </c>
      <c r="E73" t="s">
        <v>1388</v>
      </c>
      <c r="F73">
        <v>9009.8209999999999</v>
      </c>
      <c r="G73">
        <v>9010.1209999999992</v>
      </c>
      <c r="H73">
        <v>0.3</v>
      </c>
    </row>
    <row r="74" spans="1:8" x14ac:dyDescent="0.3">
      <c r="A74" t="s">
        <v>87</v>
      </c>
      <c r="B74" t="s">
        <v>577</v>
      </c>
      <c r="C74">
        <v>2009</v>
      </c>
      <c r="D74">
        <v>0.80378340000000004</v>
      </c>
      <c r="E74" t="s">
        <v>1388</v>
      </c>
      <c r="F74">
        <v>11990.907999999999</v>
      </c>
      <c r="G74">
        <v>11991.492</v>
      </c>
      <c r="H74">
        <v>0.58399999999999996</v>
      </c>
    </row>
    <row r="75" spans="1:8" x14ac:dyDescent="0.3">
      <c r="A75" t="s">
        <v>87</v>
      </c>
      <c r="B75" t="s">
        <v>577</v>
      </c>
      <c r="C75">
        <v>2010</v>
      </c>
      <c r="D75">
        <v>0.80264999999999997</v>
      </c>
      <c r="E75" t="s">
        <v>1388</v>
      </c>
      <c r="F75">
        <v>18196.325000000001</v>
      </c>
      <c r="G75">
        <v>18196.668000000001</v>
      </c>
      <c r="H75">
        <v>0.34300000000000003</v>
      </c>
    </row>
    <row r="76" spans="1:8" x14ac:dyDescent="0.3">
      <c r="A76" t="s">
        <v>87</v>
      </c>
      <c r="B76" t="s">
        <v>577</v>
      </c>
      <c r="C76">
        <v>2011</v>
      </c>
      <c r="D76">
        <v>0.78968640000000001</v>
      </c>
      <c r="E76" t="s">
        <v>1388</v>
      </c>
      <c r="F76">
        <v>23512.368999999999</v>
      </c>
      <c r="G76">
        <v>23512.797999999999</v>
      </c>
      <c r="H76">
        <v>0.42899999999999999</v>
      </c>
    </row>
    <row r="77" spans="1:8" x14ac:dyDescent="0.3">
      <c r="A77" t="s">
        <v>87</v>
      </c>
      <c r="B77" t="s">
        <v>577</v>
      </c>
      <c r="C77">
        <v>2012</v>
      </c>
      <c r="D77">
        <v>0.78564540000000005</v>
      </c>
      <c r="E77" t="s">
        <v>1388</v>
      </c>
      <c r="F77">
        <v>26885.379000000001</v>
      </c>
      <c r="G77">
        <v>26890.135999999999</v>
      </c>
      <c r="H77">
        <v>4.7569999999999997</v>
      </c>
    </row>
    <row r="78" spans="1:8" x14ac:dyDescent="0.3">
      <c r="A78" t="s">
        <v>87</v>
      </c>
      <c r="B78" t="s">
        <v>577</v>
      </c>
      <c r="C78">
        <v>2013</v>
      </c>
      <c r="D78">
        <v>0.78454109999999999</v>
      </c>
      <c r="E78" t="s">
        <v>1388</v>
      </c>
      <c r="F78">
        <v>28299.574000000001</v>
      </c>
      <c r="G78">
        <v>28307.455999999998</v>
      </c>
      <c r="H78">
        <v>7.8819999999999997</v>
      </c>
    </row>
    <row r="79" spans="1:8" x14ac:dyDescent="0.3">
      <c r="A79" t="s">
        <v>87</v>
      </c>
      <c r="B79" t="s">
        <v>577</v>
      </c>
      <c r="C79">
        <v>2014</v>
      </c>
      <c r="D79">
        <v>0.78434749999999998</v>
      </c>
      <c r="E79" t="s">
        <v>1388</v>
      </c>
      <c r="F79">
        <v>29266.973999999998</v>
      </c>
      <c r="G79">
        <v>29282.51</v>
      </c>
      <c r="H79">
        <v>15.536</v>
      </c>
    </row>
    <row r="80" spans="1:8" x14ac:dyDescent="0.3">
      <c r="A80" t="s">
        <v>87</v>
      </c>
      <c r="B80" t="s">
        <v>577</v>
      </c>
      <c r="C80">
        <v>2015</v>
      </c>
      <c r="D80">
        <v>1.024564</v>
      </c>
      <c r="E80" t="s">
        <v>1388</v>
      </c>
      <c r="F80">
        <v>52066.904000000002</v>
      </c>
      <c r="G80">
        <v>52115.249000000003</v>
      </c>
      <c r="H80">
        <v>48.344999999999999</v>
      </c>
    </row>
    <row r="81" spans="1:8" x14ac:dyDescent="0.3">
      <c r="A81" t="s">
        <v>87</v>
      </c>
      <c r="B81" t="s">
        <v>577</v>
      </c>
      <c r="C81">
        <v>2016</v>
      </c>
      <c r="D81">
        <v>1.5957220000000001</v>
      </c>
      <c r="E81" t="s">
        <v>1388</v>
      </c>
      <c r="F81">
        <v>58250.053999999996</v>
      </c>
      <c r="G81">
        <v>58772.73</v>
      </c>
      <c r="H81">
        <v>522.67600000000004</v>
      </c>
    </row>
    <row r="82" spans="1:8" x14ac:dyDescent="0.3">
      <c r="A82" t="s">
        <v>87</v>
      </c>
      <c r="B82" t="s">
        <v>577</v>
      </c>
      <c r="C82">
        <v>2017</v>
      </c>
      <c r="D82">
        <v>1.721155</v>
      </c>
      <c r="E82" t="s">
        <v>1388</v>
      </c>
      <c r="F82">
        <v>60526.993000000002</v>
      </c>
      <c r="G82">
        <v>61072.408000000003</v>
      </c>
      <c r="H82">
        <v>545.41499999999996</v>
      </c>
    </row>
    <row r="83" spans="1:8" x14ac:dyDescent="0.3">
      <c r="A83" t="s">
        <v>87</v>
      </c>
      <c r="B83" t="s">
        <v>577</v>
      </c>
      <c r="C83">
        <v>2018</v>
      </c>
      <c r="D83">
        <v>1.7000169999999999</v>
      </c>
      <c r="E83" t="s">
        <v>1388</v>
      </c>
      <c r="F83">
        <v>65057.392999999996</v>
      </c>
      <c r="G83">
        <v>66071.721999999994</v>
      </c>
      <c r="H83">
        <v>1014.329</v>
      </c>
    </row>
    <row r="84" spans="1:8" x14ac:dyDescent="0.3">
      <c r="A84" t="s">
        <v>87</v>
      </c>
      <c r="B84" t="s">
        <v>577</v>
      </c>
      <c r="C84">
        <v>2019</v>
      </c>
      <c r="D84">
        <v>1.7</v>
      </c>
      <c r="E84" t="s">
        <v>1388</v>
      </c>
      <c r="F84">
        <v>73222.34</v>
      </c>
      <c r="G84">
        <v>74311.156000000003</v>
      </c>
      <c r="H84">
        <v>1088.816</v>
      </c>
    </row>
    <row r="85" spans="1:8" x14ac:dyDescent="0.3">
      <c r="A85" t="s">
        <v>87</v>
      </c>
      <c r="B85" t="s">
        <v>577</v>
      </c>
      <c r="C85">
        <v>2020</v>
      </c>
      <c r="D85">
        <v>1.7</v>
      </c>
      <c r="E85" t="s">
        <v>1388</v>
      </c>
      <c r="F85">
        <v>73760.959000000003</v>
      </c>
      <c r="G85">
        <v>74403.293000000005</v>
      </c>
      <c r="H85">
        <v>642.33399999999995</v>
      </c>
    </row>
    <row r="86" spans="1:8" x14ac:dyDescent="0.3">
      <c r="A86" t="s">
        <v>87</v>
      </c>
      <c r="B86" t="s">
        <v>577</v>
      </c>
      <c r="C86">
        <v>2021</v>
      </c>
      <c r="D86">
        <v>1.7</v>
      </c>
      <c r="E86" t="s">
        <v>1388</v>
      </c>
      <c r="F86">
        <v>76332.433000000005</v>
      </c>
      <c r="G86">
        <v>76917.410999999993</v>
      </c>
      <c r="H86">
        <v>584.97799999999995</v>
      </c>
    </row>
    <row r="87" spans="1:8" x14ac:dyDescent="0.3">
      <c r="A87" t="s">
        <v>87</v>
      </c>
      <c r="B87" t="s">
        <v>577</v>
      </c>
      <c r="C87">
        <v>2022</v>
      </c>
      <c r="D87">
        <v>1.7</v>
      </c>
      <c r="E87" t="s">
        <v>1388</v>
      </c>
      <c r="F87">
        <v>83481.680999999997</v>
      </c>
      <c r="G87">
        <v>84109.51</v>
      </c>
      <c r="H87">
        <v>627.82899999999995</v>
      </c>
    </row>
    <row r="88" spans="1:8" x14ac:dyDescent="0.3">
      <c r="A88" t="s">
        <v>87</v>
      </c>
      <c r="B88" t="s">
        <v>577</v>
      </c>
      <c r="C88">
        <v>2023</v>
      </c>
      <c r="D88">
        <v>1.7</v>
      </c>
      <c r="E88" t="s">
        <v>1388</v>
      </c>
      <c r="F88">
        <v>95313.672000000006</v>
      </c>
      <c r="G88">
        <v>95771.301000000007</v>
      </c>
      <c r="H88">
        <v>457.62900000000002</v>
      </c>
    </row>
    <row r="89" spans="1:8" x14ac:dyDescent="0.3">
      <c r="A89" t="s">
        <v>87</v>
      </c>
      <c r="B89" t="s">
        <v>577</v>
      </c>
      <c r="C89">
        <v>2024</v>
      </c>
      <c r="D89">
        <v>1.7</v>
      </c>
      <c r="E89" t="s">
        <v>1388</v>
      </c>
      <c r="F89">
        <v>102205.389</v>
      </c>
      <c r="G89">
        <v>102629.039</v>
      </c>
      <c r="H89">
        <v>423.65</v>
      </c>
    </row>
    <row r="90" spans="1:8" x14ac:dyDescent="0.3">
      <c r="A90" t="s">
        <v>97</v>
      </c>
      <c r="B90" t="s">
        <v>692</v>
      </c>
      <c r="C90">
        <v>2006</v>
      </c>
      <c r="D90">
        <v>0.376</v>
      </c>
      <c r="E90" t="s">
        <v>1389</v>
      </c>
      <c r="F90">
        <v>3900</v>
      </c>
      <c r="G90">
        <v>3900</v>
      </c>
      <c r="H90">
        <v>0</v>
      </c>
    </row>
    <row r="91" spans="1:8" x14ac:dyDescent="0.3">
      <c r="A91" t="s">
        <v>97</v>
      </c>
      <c r="B91" t="s">
        <v>692</v>
      </c>
      <c r="C91">
        <v>2007</v>
      </c>
      <c r="D91">
        <v>0.376</v>
      </c>
      <c r="E91" t="s">
        <v>1389</v>
      </c>
      <c r="F91">
        <v>3044.0070000000001</v>
      </c>
      <c r="G91">
        <v>5289.125</v>
      </c>
      <c r="H91">
        <v>2245.1179999999999</v>
      </c>
    </row>
    <row r="92" spans="1:8" x14ac:dyDescent="0.3">
      <c r="A92" t="s">
        <v>97</v>
      </c>
      <c r="B92" t="s">
        <v>692</v>
      </c>
      <c r="C92">
        <v>2008</v>
      </c>
      <c r="D92">
        <v>0.376</v>
      </c>
      <c r="E92" t="s">
        <v>1389</v>
      </c>
      <c r="F92">
        <v>2852.625</v>
      </c>
      <c r="G92">
        <v>4882.8419999999996</v>
      </c>
      <c r="H92">
        <v>2030.2170000000001</v>
      </c>
    </row>
    <row r="93" spans="1:8" x14ac:dyDescent="0.3">
      <c r="A93" t="s">
        <v>97</v>
      </c>
      <c r="B93" t="s">
        <v>692</v>
      </c>
      <c r="C93">
        <v>2009</v>
      </c>
      <c r="D93">
        <v>0.376</v>
      </c>
      <c r="E93" t="s">
        <v>1389</v>
      </c>
      <c r="F93">
        <v>2886.1640000000002</v>
      </c>
      <c r="G93">
        <v>4861.183</v>
      </c>
      <c r="H93">
        <v>1975.019</v>
      </c>
    </row>
    <row r="94" spans="1:8" x14ac:dyDescent="0.3">
      <c r="A94" t="s">
        <v>97</v>
      </c>
      <c r="B94" t="s">
        <v>692</v>
      </c>
      <c r="C94">
        <v>2010</v>
      </c>
      <c r="D94">
        <v>0.376</v>
      </c>
      <c r="E94" t="s">
        <v>1389</v>
      </c>
      <c r="F94">
        <v>3247.6109999999999</v>
      </c>
      <c r="G94">
        <v>5070.0330000000004</v>
      </c>
      <c r="H94">
        <v>1822.422</v>
      </c>
    </row>
    <row r="95" spans="1:8" x14ac:dyDescent="0.3">
      <c r="A95" t="s">
        <v>97</v>
      </c>
      <c r="B95" t="s">
        <v>692</v>
      </c>
      <c r="C95">
        <v>2011</v>
      </c>
      <c r="D95">
        <v>0.376</v>
      </c>
      <c r="E95" t="s">
        <v>1389</v>
      </c>
      <c r="F95">
        <v>2565.2750000000001</v>
      </c>
      <c r="G95">
        <v>4219.1809999999996</v>
      </c>
      <c r="H95">
        <v>1653.9059999999999</v>
      </c>
    </row>
    <row r="96" spans="1:8" x14ac:dyDescent="0.3">
      <c r="A96" t="s">
        <v>97</v>
      </c>
      <c r="B96" t="s">
        <v>692</v>
      </c>
      <c r="C96">
        <v>2012</v>
      </c>
      <c r="D96">
        <v>0.376</v>
      </c>
      <c r="E96" t="s">
        <v>1389</v>
      </c>
      <c r="F96">
        <v>2401.6120000000001</v>
      </c>
      <c r="G96">
        <v>4095.558</v>
      </c>
      <c r="H96">
        <v>1693.9459999999999</v>
      </c>
    </row>
    <row r="97" spans="1:8" x14ac:dyDescent="0.3">
      <c r="A97" t="s">
        <v>97</v>
      </c>
      <c r="B97" t="s">
        <v>692</v>
      </c>
      <c r="C97">
        <v>2013</v>
      </c>
      <c r="D97">
        <v>0.376</v>
      </c>
      <c r="E97" t="s">
        <v>1389</v>
      </c>
      <c r="F97">
        <v>2555.5390000000002</v>
      </c>
      <c r="G97">
        <v>4048.26</v>
      </c>
      <c r="H97">
        <v>1492.721</v>
      </c>
    </row>
    <row r="98" spans="1:8" x14ac:dyDescent="0.3">
      <c r="A98" t="s">
        <v>97</v>
      </c>
      <c r="B98" t="s">
        <v>692</v>
      </c>
      <c r="C98">
        <v>2014</v>
      </c>
      <c r="D98">
        <v>0.376</v>
      </c>
      <c r="E98" t="s">
        <v>1389</v>
      </c>
      <c r="F98">
        <v>2615.8539999999998</v>
      </c>
      <c r="G98">
        <v>4164.1899999999996</v>
      </c>
      <c r="H98">
        <v>1548.336</v>
      </c>
    </row>
    <row r="99" spans="1:8" x14ac:dyDescent="0.3">
      <c r="A99" t="s">
        <v>97</v>
      </c>
      <c r="B99" t="s">
        <v>692</v>
      </c>
      <c r="C99">
        <v>2015</v>
      </c>
      <c r="D99">
        <v>0.376</v>
      </c>
      <c r="E99" t="s">
        <v>1389</v>
      </c>
      <c r="F99">
        <v>2662.6680000000001</v>
      </c>
      <c r="G99">
        <v>3956.64</v>
      </c>
      <c r="H99">
        <v>1293.972</v>
      </c>
    </row>
    <row r="100" spans="1:8" x14ac:dyDescent="0.3">
      <c r="A100" t="s">
        <v>97</v>
      </c>
      <c r="B100" t="s">
        <v>692</v>
      </c>
      <c r="C100">
        <v>2016</v>
      </c>
      <c r="D100">
        <v>0.376</v>
      </c>
      <c r="E100" t="s">
        <v>1389</v>
      </c>
      <c r="F100">
        <v>2685.2820000000002</v>
      </c>
      <c r="G100">
        <v>3931.99</v>
      </c>
      <c r="H100">
        <v>1246.7080000000001</v>
      </c>
    </row>
    <row r="101" spans="1:8" x14ac:dyDescent="0.3">
      <c r="A101" t="s">
        <v>97</v>
      </c>
      <c r="B101" t="s">
        <v>692</v>
      </c>
      <c r="C101">
        <v>2017</v>
      </c>
      <c r="D101">
        <v>0.376</v>
      </c>
      <c r="E101" t="s">
        <v>1389</v>
      </c>
      <c r="F101">
        <v>3226.03</v>
      </c>
      <c r="G101">
        <v>5754.49</v>
      </c>
      <c r="H101">
        <v>2528.46</v>
      </c>
    </row>
    <row r="102" spans="1:8" x14ac:dyDescent="0.3">
      <c r="A102" t="s">
        <v>97</v>
      </c>
      <c r="B102" t="s">
        <v>692</v>
      </c>
      <c r="C102">
        <v>2018</v>
      </c>
      <c r="D102">
        <v>0.376</v>
      </c>
      <c r="E102" t="s">
        <v>1389</v>
      </c>
      <c r="F102">
        <v>3308.779</v>
      </c>
      <c r="G102">
        <v>6305.8149999999996</v>
      </c>
      <c r="H102">
        <v>2997.0360000000001</v>
      </c>
    </row>
    <row r="103" spans="1:8" x14ac:dyDescent="0.3">
      <c r="A103" t="s">
        <v>97</v>
      </c>
      <c r="B103" t="s">
        <v>692</v>
      </c>
      <c r="C103">
        <v>2019</v>
      </c>
      <c r="D103">
        <v>0.376</v>
      </c>
      <c r="E103" t="s">
        <v>1389</v>
      </c>
      <c r="F103">
        <v>3295.9490000000001</v>
      </c>
      <c r="G103">
        <v>7080.55</v>
      </c>
      <c r="H103">
        <v>3784.6010000000001</v>
      </c>
    </row>
    <row r="104" spans="1:8" x14ac:dyDescent="0.3">
      <c r="A104" t="s">
        <v>97</v>
      </c>
      <c r="B104" t="s">
        <v>692</v>
      </c>
      <c r="C104">
        <v>2020</v>
      </c>
      <c r="D104">
        <v>0.376</v>
      </c>
      <c r="E104" t="s">
        <v>1389</v>
      </c>
      <c r="F104">
        <v>2891.8380000000002</v>
      </c>
      <c r="G104">
        <v>6641.39</v>
      </c>
      <c r="H104">
        <v>3749.5520000000001</v>
      </c>
    </row>
    <row r="105" spans="1:8" x14ac:dyDescent="0.3">
      <c r="A105" t="s">
        <v>97</v>
      </c>
      <c r="B105" t="s">
        <v>692</v>
      </c>
      <c r="C105">
        <v>2021</v>
      </c>
      <c r="D105">
        <v>0.376</v>
      </c>
      <c r="E105" t="s">
        <v>1389</v>
      </c>
      <c r="F105">
        <v>3339.3670000000002</v>
      </c>
      <c r="G105">
        <v>6928.7569999999996</v>
      </c>
      <c r="H105">
        <v>3589.39</v>
      </c>
    </row>
    <row r="106" spans="1:8" x14ac:dyDescent="0.3">
      <c r="A106" t="s">
        <v>97</v>
      </c>
      <c r="B106" t="s">
        <v>692</v>
      </c>
      <c r="C106">
        <v>2022</v>
      </c>
      <c r="D106">
        <v>0.376</v>
      </c>
      <c r="E106" t="s">
        <v>1389</v>
      </c>
      <c r="F106">
        <v>3305.83</v>
      </c>
      <c r="G106">
        <v>6693.7340000000004</v>
      </c>
      <c r="H106">
        <v>3387.904</v>
      </c>
    </row>
    <row r="107" spans="1:8" x14ac:dyDescent="0.3">
      <c r="A107" t="s">
        <v>97</v>
      </c>
      <c r="B107" t="s">
        <v>692</v>
      </c>
      <c r="C107">
        <v>2023</v>
      </c>
      <c r="D107">
        <v>0.376</v>
      </c>
      <c r="E107" t="s">
        <v>1389</v>
      </c>
      <c r="F107">
        <v>2831.5279999999998</v>
      </c>
      <c r="G107">
        <v>6657.6</v>
      </c>
      <c r="H107">
        <v>3826.0720000000001</v>
      </c>
    </row>
    <row r="108" spans="1:8" x14ac:dyDescent="0.3">
      <c r="A108" t="s">
        <v>97</v>
      </c>
      <c r="B108" t="s">
        <v>692</v>
      </c>
      <c r="C108">
        <v>2024</v>
      </c>
      <c r="D108">
        <v>0.376</v>
      </c>
      <c r="E108" t="s">
        <v>1389</v>
      </c>
      <c r="F108">
        <v>3191.6129999999998</v>
      </c>
      <c r="G108">
        <v>7223.0569999999998</v>
      </c>
      <c r="H108">
        <v>4031.444</v>
      </c>
    </row>
    <row r="109" spans="1:8" x14ac:dyDescent="0.3">
      <c r="A109" t="s">
        <v>107</v>
      </c>
      <c r="B109" t="s">
        <v>578</v>
      </c>
      <c r="C109">
        <v>2006</v>
      </c>
      <c r="D109">
        <v>0.79643269999999999</v>
      </c>
      <c r="E109" t="s">
        <v>1386</v>
      </c>
      <c r="F109">
        <v>883.97299999999996</v>
      </c>
      <c r="G109">
        <v>936.01700000000005</v>
      </c>
    </row>
    <row r="110" spans="1:8" x14ac:dyDescent="0.3">
      <c r="A110" t="s">
        <v>107</v>
      </c>
      <c r="B110" t="s">
        <v>578</v>
      </c>
      <c r="C110">
        <v>2007</v>
      </c>
      <c r="D110">
        <v>0.7296724</v>
      </c>
      <c r="E110" t="s">
        <v>1386</v>
      </c>
      <c r="F110">
        <v>1562.9839999999999</v>
      </c>
      <c r="G110">
        <v>1617.6089999999999</v>
      </c>
    </row>
    <row r="111" spans="1:8" x14ac:dyDescent="0.3">
      <c r="A111" t="s">
        <v>107</v>
      </c>
      <c r="B111" t="s">
        <v>578</v>
      </c>
      <c r="C111">
        <v>2008</v>
      </c>
      <c r="D111">
        <v>0.67992269999999999</v>
      </c>
      <c r="E111" t="s">
        <v>1386</v>
      </c>
      <c r="F111">
        <v>1635.6759999999999</v>
      </c>
      <c r="G111">
        <v>6756.8410000000003</v>
      </c>
    </row>
    <row r="112" spans="1:8" x14ac:dyDescent="0.3">
      <c r="A112" t="s">
        <v>107</v>
      </c>
      <c r="B112" t="s">
        <v>578</v>
      </c>
      <c r="C112">
        <v>2009</v>
      </c>
      <c r="D112">
        <v>0.71695770000000003</v>
      </c>
      <c r="E112" t="s">
        <v>1386</v>
      </c>
      <c r="F112">
        <v>1843.537</v>
      </c>
      <c r="G112">
        <v>1739.36</v>
      </c>
    </row>
    <row r="113" spans="1:7" x14ac:dyDescent="0.3">
      <c r="A113" t="s">
        <v>107</v>
      </c>
      <c r="B113" t="s">
        <v>578</v>
      </c>
      <c r="C113">
        <v>2010</v>
      </c>
      <c r="D113">
        <v>0.75430900000000001</v>
      </c>
      <c r="E113" t="s">
        <v>1386</v>
      </c>
      <c r="F113">
        <v>1896.616</v>
      </c>
      <c r="G113">
        <v>1785.0550000000001</v>
      </c>
    </row>
    <row r="114" spans="1:7" x14ac:dyDescent="0.3">
      <c r="A114" t="s">
        <v>107</v>
      </c>
      <c r="B114" t="s">
        <v>578</v>
      </c>
      <c r="C114">
        <v>2011</v>
      </c>
      <c r="D114">
        <v>0.71841390000000005</v>
      </c>
      <c r="E114" t="s">
        <v>1386</v>
      </c>
      <c r="F114">
        <v>1862.5830000000001</v>
      </c>
      <c r="G114">
        <v>1791.0609999999999</v>
      </c>
    </row>
    <row r="115" spans="1:7" x14ac:dyDescent="0.3">
      <c r="A115" t="s">
        <v>107</v>
      </c>
      <c r="B115" t="s">
        <v>578</v>
      </c>
      <c r="C115">
        <v>2012</v>
      </c>
      <c r="D115">
        <v>0.77833810000000003</v>
      </c>
      <c r="E115" t="s">
        <v>1386</v>
      </c>
      <c r="F115">
        <v>1884.9369999999999</v>
      </c>
      <c r="G115">
        <v>1804.7909999999999</v>
      </c>
    </row>
    <row r="116" spans="1:7" x14ac:dyDescent="0.3">
      <c r="A116" t="s">
        <v>107</v>
      </c>
      <c r="B116" t="s">
        <v>578</v>
      </c>
      <c r="C116">
        <v>2013</v>
      </c>
      <c r="D116">
        <v>0.75294510000000003</v>
      </c>
      <c r="E116" t="s">
        <v>1386</v>
      </c>
      <c r="F116">
        <v>1939.1379999999999</v>
      </c>
      <c r="G116">
        <v>1959.7470000000001</v>
      </c>
    </row>
    <row r="117" spans="1:7" x14ac:dyDescent="0.3">
      <c r="A117" t="s">
        <v>107</v>
      </c>
      <c r="B117" t="s">
        <v>578</v>
      </c>
      <c r="C117">
        <v>2014</v>
      </c>
      <c r="D117">
        <v>0.75272819999999996</v>
      </c>
      <c r="E117" t="s">
        <v>1386</v>
      </c>
      <c r="F117">
        <v>2036.9839999999999</v>
      </c>
      <c r="G117">
        <v>2049.1880000000001</v>
      </c>
    </row>
    <row r="118" spans="1:7" x14ac:dyDescent="0.3">
      <c r="A118" t="s">
        <v>107</v>
      </c>
      <c r="B118" t="s">
        <v>578</v>
      </c>
      <c r="C118">
        <v>2015</v>
      </c>
      <c r="D118">
        <v>0.9012964</v>
      </c>
      <c r="E118" t="s">
        <v>1386</v>
      </c>
      <c r="F118">
        <v>2117.3980000000001</v>
      </c>
      <c r="G118">
        <v>2114.2550000000001</v>
      </c>
    </row>
    <row r="119" spans="1:7" x14ac:dyDescent="0.3">
      <c r="A119" t="s">
        <v>107</v>
      </c>
      <c r="B119" t="s">
        <v>578</v>
      </c>
      <c r="C119">
        <v>2016</v>
      </c>
      <c r="D119">
        <v>0.90342149999999999</v>
      </c>
      <c r="E119" t="s">
        <v>1386</v>
      </c>
      <c r="F119">
        <v>2210.3910000000001</v>
      </c>
      <c r="G119">
        <v>2217.5729999999999</v>
      </c>
    </row>
    <row r="120" spans="1:7" x14ac:dyDescent="0.3">
      <c r="A120" t="s">
        <v>107</v>
      </c>
      <c r="B120" t="s">
        <v>578</v>
      </c>
      <c r="C120">
        <v>2017</v>
      </c>
      <c r="D120">
        <v>0.88520549999999998</v>
      </c>
      <c r="E120" t="s">
        <v>1386</v>
      </c>
      <c r="F120">
        <v>2269.5279999999998</v>
      </c>
      <c r="G120">
        <v>2246.2379999999998</v>
      </c>
    </row>
    <row r="121" spans="1:7" x14ac:dyDescent="0.3">
      <c r="A121" t="s">
        <v>107</v>
      </c>
      <c r="B121" t="s">
        <v>578</v>
      </c>
      <c r="C121">
        <v>2018</v>
      </c>
      <c r="D121">
        <v>0.84677270000000004</v>
      </c>
      <c r="E121" t="s">
        <v>1386</v>
      </c>
      <c r="F121">
        <v>2351.4349999999999</v>
      </c>
      <c r="G121">
        <v>2357.9</v>
      </c>
    </row>
    <row r="122" spans="1:7" x14ac:dyDescent="0.3">
      <c r="A122" t="s">
        <v>107</v>
      </c>
      <c r="B122" t="s">
        <v>578</v>
      </c>
      <c r="C122">
        <v>2019</v>
      </c>
      <c r="D122">
        <v>0.89327630000000002</v>
      </c>
      <c r="E122" t="s">
        <v>1386</v>
      </c>
      <c r="F122">
        <v>2411.7510000000002</v>
      </c>
      <c r="G122">
        <v>2385.4810000000002</v>
      </c>
    </row>
    <row r="123" spans="1:7" x14ac:dyDescent="0.3">
      <c r="A123" t="s">
        <v>107</v>
      </c>
      <c r="B123" t="s">
        <v>578</v>
      </c>
      <c r="C123">
        <v>2020</v>
      </c>
      <c r="D123">
        <v>0.87550640000000002</v>
      </c>
      <c r="E123" t="s">
        <v>1386</v>
      </c>
      <c r="F123">
        <v>2392.9639999999999</v>
      </c>
      <c r="G123">
        <v>2554.817</v>
      </c>
    </row>
    <row r="124" spans="1:7" x14ac:dyDescent="0.3">
      <c r="A124" t="s">
        <v>107</v>
      </c>
      <c r="B124" t="s">
        <v>578</v>
      </c>
      <c r="C124">
        <v>2021</v>
      </c>
      <c r="D124">
        <v>0.84549419999999997</v>
      </c>
      <c r="E124" t="s">
        <v>1386</v>
      </c>
      <c r="F124">
        <v>2510.6469999999999</v>
      </c>
      <c r="G124">
        <v>2520.9740000000002</v>
      </c>
    </row>
    <row r="125" spans="1:7" x14ac:dyDescent="0.3">
      <c r="A125" t="s">
        <v>107</v>
      </c>
      <c r="B125" t="s">
        <v>578</v>
      </c>
      <c r="C125">
        <v>2022</v>
      </c>
      <c r="D125">
        <v>0.94962380000000002</v>
      </c>
      <c r="E125" t="s">
        <v>1386</v>
      </c>
      <c r="F125">
        <v>9427.4249999999993</v>
      </c>
      <c r="G125">
        <v>10077.41</v>
      </c>
    </row>
    <row r="126" spans="1:7" x14ac:dyDescent="0.3">
      <c r="A126" t="s">
        <v>107</v>
      </c>
      <c r="B126" t="s">
        <v>578</v>
      </c>
      <c r="C126">
        <v>2023</v>
      </c>
      <c r="D126">
        <v>0.92483959999999998</v>
      </c>
      <c r="E126" t="s">
        <v>1386</v>
      </c>
      <c r="F126">
        <v>9289.5650000000005</v>
      </c>
      <c r="G126">
        <v>9709.3770000000004</v>
      </c>
    </row>
    <row r="127" spans="1:7" x14ac:dyDescent="0.3">
      <c r="A127" t="s">
        <v>107</v>
      </c>
      <c r="B127" t="s">
        <v>578</v>
      </c>
      <c r="C127">
        <v>2024</v>
      </c>
      <c r="D127">
        <v>0.92388950000000003</v>
      </c>
      <c r="E127" t="s">
        <v>1386</v>
      </c>
      <c r="F127">
        <v>11232.513999999999</v>
      </c>
      <c r="G127">
        <v>11523.2</v>
      </c>
    </row>
    <row r="128" spans="1:7" x14ac:dyDescent="0.3">
      <c r="A128" t="s">
        <v>132</v>
      </c>
      <c r="B128" t="s">
        <v>579</v>
      </c>
      <c r="C128">
        <v>2008</v>
      </c>
      <c r="D128">
        <v>1.8337669999999999</v>
      </c>
      <c r="E128" t="s">
        <v>1390</v>
      </c>
      <c r="F128">
        <v>14258.57965057</v>
      </c>
    </row>
    <row r="129" spans="1:8" x14ac:dyDescent="0.3">
      <c r="A129" t="s">
        <v>132</v>
      </c>
      <c r="B129" t="s">
        <v>579</v>
      </c>
      <c r="C129">
        <v>2009</v>
      </c>
      <c r="D129">
        <v>1.999428</v>
      </c>
      <c r="E129" t="s">
        <v>1390</v>
      </c>
      <c r="F129">
        <v>16348.06451</v>
      </c>
    </row>
    <row r="130" spans="1:8" x14ac:dyDescent="0.3">
      <c r="A130" t="s">
        <v>132</v>
      </c>
      <c r="B130" t="s">
        <v>579</v>
      </c>
      <c r="C130">
        <v>2010</v>
      </c>
      <c r="D130">
        <v>1.7592270000000001</v>
      </c>
      <c r="E130" t="s">
        <v>1390</v>
      </c>
      <c r="F130">
        <v>18763.738978759997</v>
      </c>
    </row>
    <row r="131" spans="1:8" x14ac:dyDescent="0.3">
      <c r="A131" t="s">
        <v>132</v>
      </c>
      <c r="B131" t="s">
        <v>579</v>
      </c>
      <c r="C131">
        <v>2011</v>
      </c>
      <c r="D131">
        <v>1.6728289999999999</v>
      </c>
      <c r="E131" t="s">
        <v>1390</v>
      </c>
      <c r="F131">
        <v>15545.818663690001</v>
      </c>
    </row>
    <row r="132" spans="1:8" x14ac:dyDescent="0.3">
      <c r="A132" t="s">
        <v>132</v>
      </c>
      <c r="B132" t="s">
        <v>579</v>
      </c>
      <c r="C132">
        <v>2012</v>
      </c>
      <c r="D132">
        <v>1.9530689999999999</v>
      </c>
      <c r="E132" t="s">
        <v>1390</v>
      </c>
      <c r="F132">
        <v>15253.556139459999</v>
      </c>
    </row>
    <row r="133" spans="1:8" x14ac:dyDescent="0.3">
      <c r="A133" t="s">
        <v>132</v>
      </c>
      <c r="B133" t="s">
        <v>579</v>
      </c>
      <c r="C133">
        <v>2013</v>
      </c>
      <c r="D133">
        <v>2.1560890000000001</v>
      </c>
      <c r="E133" t="s">
        <v>1390</v>
      </c>
      <c r="F133">
        <v>16678.508973650001</v>
      </c>
    </row>
    <row r="134" spans="1:8" x14ac:dyDescent="0.3">
      <c r="A134" t="s">
        <v>132</v>
      </c>
      <c r="B134" t="s">
        <v>579</v>
      </c>
      <c r="C134">
        <v>2014</v>
      </c>
      <c r="D134">
        <v>2.3529520000000002</v>
      </c>
      <c r="E134" t="s">
        <v>1390</v>
      </c>
      <c r="F134">
        <v>18384.176400790002</v>
      </c>
    </row>
    <row r="135" spans="1:8" x14ac:dyDescent="0.3">
      <c r="A135" t="s">
        <v>132</v>
      </c>
      <c r="B135" t="s">
        <v>579</v>
      </c>
      <c r="C135">
        <v>2015</v>
      </c>
      <c r="D135">
        <v>3.3269039999999999</v>
      </c>
      <c r="E135" t="s">
        <v>1390</v>
      </c>
      <c r="F135">
        <v>19735.501379880003</v>
      </c>
    </row>
    <row r="136" spans="1:8" x14ac:dyDescent="0.3">
      <c r="A136" t="s">
        <v>132</v>
      </c>
      <c r="B136" t="s">
        <v>579</v>
      </c>
      <c r="C136">
        <v>2016</v>
      </c>
      <c r="D136">
        <v>3.4913129999999999</v>
      </c>
      <c r="E136" t="s">
        <v>1390</v>
      </c>
      <c r="F136">
        <v>23595.11060244</v>
      </c>
    </row>
    <row r="137" spans="1:8" x14ac:dyDescent="0.3">
      <c r="A137" t="s">
        <v>132</v>
      </c>
      <c r="B137" t="s">
        <v>579</v>
      </c>
      <c r="C137">
        <v>2017</v>
      </c>
      <c r="D137">
        <v>3.1913900000000002</v>
      </c>
      <c r="E137" t="s">
        <v>1390</v>
      </c>
      <c r="F137">
        <v>26304.621021999999</v>
      </c>
    </row>
    <row r="138" spans="1:8" x14ac:dyDescent="0.3">
      <c r="A138" t="s">
        <v>132</v>
      </c>
      <c r="B138" t="s">
        <v>579</v>
      </c>
      <c r="C138">
        <v>2018</v>
      </c>
      <c r="D138">
        <v>3.6538249999999999</v>
      </c>
      <c r="E138" t="s">
        <v>1390</v>
      </c>
      <c r="F138">
        <v>27389.71152026</v>
      </c>
    </row>
    <row r="139" spans="1:8" x14ac:dyDescent="0.3">
      <c r="A139" t="s">
        <v>138</v>
      </c>
      <c r="B139" t="s">
        <v>580</v>
      </c>
      <c r="C139">
        <v>2021</v>
      </c>
      <c r="D139">
        <v>93.218090000000004</v>
      </c>
      <c r="E139" t="s">
        <v>1391</v>
      </c>
      <c r="F139">
        <v>11003.302293999999</v>
      </c>
      <c r="G139">
        <v>11003.354044</v>
      </c>
      <c r="H139">
        <v>5.1749999999999997E-2</v>
      </c>
    </row>
    <row r="140" spans="1:8" x14ac:dyDescent="0.3">
      <c r="A140" t="s">
        <v>138</v>
      </c>
      <c r="B140" t="s">
        <v>580</v>
      </c>
      <c r="C140">
        <v>2022</v>
      </c>
      <c r="D140">
        <v>104.8631</v>
      </c>
      <c r="E140" t="s">
        <v>1391</v>
      </c>
      <c r="F140">
        <v>10906.975775000001</v>
      </c>
      <c r="G140">
        <v>10912.871089</v>
      </c>
      <c r="H140">
        <v>5.8953139999999999</v>
      </c>
    </row>
    <row r="141" spans="1:8" x14ac:dyDescent="0.3">
      <c r="A141" t="s">
        <v>138</v>
      </c>
      <c r="B141" t="s">
        <v>580</v>
      </c>
      <c r="C141">
        <v>2023</v>
      </c>
      <c r="D141">
        <v>101.8048</v>
      </c>
      <c r="E141" t="s">
        <v>1391</v>
      </c>
      <c r="F141">
        <v>11110.373587</v>
      </c>
      <c r="G141">
        <v>11145.288498</v>
      </c>
      <c r="H141">
        <v>34.914910999999996</v>
      </c>
    </row>
    <row r="142" spans="1:8" x14ac:dyDescent="0.3">
      <c r="A142" t="s">
        <v>138</v>
      </c>
      <c r="B142" t="s">
        <v>580</v>
      </c>
      <c r="C142">
        <v>2024</v>
      </c>
      <c r="D142">
        <v>101.922</v>
      </c>
      <c r="E142" t="s">
        <v>1391</v>
      </c>
      <c r="F142">
        <v>11346.442681</v>
      </c>
      <c r="G142">
        <v>11440.616540999999</v>
      </c>
      <c r="H142">
        <v>94.173860000000005</v>
      </c>
    </row>
    <row r="143" spans="1:8" x14ac:dyDescent="0.3">
      <c r="A143" t="s">
        <v>144</v>
      </c>
      <c r="B143" t="s">
        <v>581</v>
      </c>
      <c r="C143">
        <v>2006</v>
      </c>
      <c r="E143" t="s">
        <v>1385</v>
      </c>
      <c r="F143">
        <v>604.62829699999998</v>
      </c>
    </row>
    <row r="144" spans="1:8" x14ac:dyDescent="0.3">
      <c r="A144" t="s">
        <v>144</v>
      </c>
      <c r="B144" t="s">
        <v>581</v>
      </c>
      <c r="C144">
        <v>2007</v>
      </c>
      <c r="E144" t="s">
        <v>1385</v>
      </c>
      <c r="F144">
        <v>1466.3539760000001</v>
      </c>
    </row>
    <row r="145" spans="1:8" x14ac:dyDescent="0.3">
      <c r="A145" t="s">
        <v>144</v>
      </c>
      <c r="B145" t="s">
        <v>581</v>
      </c>
      <c r="C145">
        <v>2008</v>
      </c>
      <c r="E145" t="s">
        <v>1385</v>
      </c>
      <c r="F145">
        <v>2506.7600400000001</v>
      </c>
    </row>
    <row r="146" spans="1:8" x14ac:dyDescent="0.3">
      <c r="A146" t="s">
        <v>144</v>
      </c>
      <c r="B146" t="s">
        <v>581</v>
      </c>
      <c r="C146">
        <v>2009</v>
      </c>
      <c r="E146" t="s">
        <v>1385</v>
      </c>
      <c r="F146">
        <v>3420.8330259999998</v>
      </c>
    </row>
    <row r="147" spans="1:8" x14ac:dyDescent="0.3">
      <c r="A147" t="s">
        <v>144</v>
      </c>
      <c r="B147" t="s">
        <v>581</v>
      </c>
      <c r="C147">
        <v>2010</v>
      </c>
      <c r="D147">
        <v>3836699090</v>
      </c>
      <c r="E147" t="s">
        <v>1385</v>
      </c>
      <c r="F147">
        <v>3836.699091</v>
      </c>
    </row>
    <row r="148" spans="1:8" x14ac:dyDescent="0.3">
      <c r="A148" t="s">
        <v>144</v>
      </c>
      <c r="B148" t="s">
        <v>581</v>
      </c>
      <c r="C148">
        <v>2011</v>
      </c>
      <c r="D148">
        <v>4405595418</v>
      </c>
      <c r="E148" t="s">
        <v>1385</v>
      </c>
      <c r="F148">
        <v>4405.5954179999999</v>
      </c>
    </row>
    <row r="149" spans="1:8" x14ac:dyDescent="0.3">
      <c r="A149" t="s">
        <v>144</v>
      </c>
      <c r="B149" t="s">
        <v>581</v>
      </c>
      <c r="C149">
        <v>2012</v>
      </c>
      <c r="D149">
        <v>5883308273</v>
      </c>
      <c r="E149" t="s">
        <v>1385</v>
      </c>
      <c r="F149">
        <v>5883.2542649999996</v>
      </c>
      <c r="H149">
        <v>5.4008E-2</v>
      </c>
    </row>
    <row r="150" spans="1:8" x14ac:dyDescent="0.3">
      <c r="A150" t="s">
        <v>144</v>
      </c>
      <c r="B150" t="s">
        <v>581</v>
      </c>
      <c r="C150">
        <v>2013</v>
      </c>
      <c r="D150">
        <v>7335201829</v>
      </c>
      <c r="E150" t="s">
        <v>1385</v>
      </c>
      <c r="F150">
        <v>7335.1145049999996</v>
      </c>
      <c r="H150">
        <v>8.7323999999999999E-2</v>
      </c>
    </row>
    <row r="151" spans="1:8" x14ac:dyDescent="0.3">
      <c r="A151" t="s">
        <v>144</v>
      </c>
      <c r="B151" t="s">
        <v>581</v>
      </c>
      <c r="C151">
        <v>2014</v>
      </c>
      <c r="D151">
        <v>7946263545</v>
      </c>
      <c r="E151" t="s">
        <v>1385</v>
      </c>
      <c r="F151">
        <v>7943.699404</v>
      </c>
      <c r="H151">
        <v>2.5641409999999998</v>
      </c>
    </row>
    <row r="152" spans="1:8" x14ac:dyDescent="0.3">
      <c r="A152" t="s">
        <v>144</v>
      </c>
      <c r="B152" t="s">
        <v>581</v>
      </c>
      <c r="C152">
        <v>2015</v>
      </c>
      <c r="D152">
        <v>8112312688</v>
      </c>
      <c r="E152" t="s">
        <v>1385</v>
      </c>
      <c r="F152">
        <v>8112.2054600000001</v>
      </c>
      <c r="H152">
        <v>0.107228</v>
      </c>
    </row>
    <row r="153" spans="1:8" x14ac:dyDescent="0.3">
      <c r="A153" t="s">
        <v>144</v>
      </c>
      <c r="B153" t="s">
        <v>581</v>
      </c>
      <c r="C153">
        <v>2016</v>
      </c>
      <c r="D153">
        <v>8862298912</v>
      </c>
      <c r="E153" t="s">
        <v>1385</v>
      </c>
      <c r="F153">
        <v>8862.0748120000007</v>
      </c>
      <c r="H153">
        <v>0.22409999999999999</v>
      </c>
    </row>
    <row r="154" spans="1:8" x14ac:dyDescent="0.3">
      <c r="A154" t="s">
        <v>144</v>
      </c>
      <c r="B154" t="s">
        <v>581</v>
      </c>
      <c r="C154">
        <v>2017</v>
      </c>
      <c r="D154">
        <v>10010962050</v>
      </c>
      <c r="E154" t="s">
        <v>1385</v>
      </c>
      <c r="F154">
        <v>10010.951766</v>
      </c>
      <c r="H154">
        <v>1.0284E-2</v>
      </c>
    </row>
    <row r="155" spans="1:8" x14ac:dyDescent="0.3">
      <c r="A155" t="s">
        <v>144</v>
      </c>
      <c r="B155" t="s">
        <v>581</v>
      </c>
      <c r="C155">
        <v>2018</v>
      </c>
      <c r="D155">
        <v>9663507101</v>
      </c>
      <c r="E155" t="s">
        <v>1385</v>
      </c>
      <c r="F155">
        <v>9663.2495180000005</v>
      </c>
      <c r="H155">
        <v>0.25758300000000001</v>
      </c>
    </row>
    <row r="156" spans="1:8" x14ac:dyDescent="0.3">
      <c r="A156" t="s">
        <v>144</v>
      </c>
      <c r="B156" t="s">
        <v>581</v>
      </c>
      <c r="C156">
        <v>2019</v>
      </c>
      <c r="D156">
        <v>10812224394</v>
      </c>
      <c r="E156" t="s">
        <v>1385</v>
      </c>
      <c r="F156">
        <v>10812.084079</v>
      </c>
      <c r="H156">
        <v>0.140315</v>
      </c>
    </row>
    <row r="157" spans="1:8" x14ac:dyDescent="0.3">
      <c r="A157" t="s">
        <v>144</v>
      </c>
      <c r="B157" t="s">
        <v>581</v>
      </c>
      <c r="C157">
        <v>2020</v>
      </c>
      <c r="D157">
        <v>10156829315</v>
      </c>
      <c r="E157" t="s">
        <v>1385</v>
      </c>
      <c r="F157">
        <v>10156.827472000001</v>
      </c>
      <c r="H157">
        <v>1.843E-3</v>
      </c>
    </row>
    <row r="158" spans="1:8" x14ac:dyDescent="0.3">
      <c r="A158" t="s">
        <v>144</v>
      </c>
      <c r="B158" t="s">
        <v>581</v>
      </c>
      <c r="C158">
        <v>2021</v>
      </c>
      <c r="D158">
        <v>7473222920.1400003</v>
      </c>
      <c r="E158" t="s">
        <v>1385</v>
      </c>
      <c r="F158">
        <v>7472.9276121000003</v>
      </c>
      <c r="H158">
        <v>0.29530800000000001</v>
      </c>
    </row>
    <row r="159" spans="1:8" x14ac:dyDescent="0.3">
      <c r="A159" t="s">
        <v>144</v>
      </c>
      <c r="B159" t="s">
        <v>581</v>
      </c>
      <c r="C159">
        <v>2022</v>
      </c>
      <c r="D159">
        <v>6475459011.71</v>
      </c>
      <c r="E159" t="s">
        <v>1385</v>
      </c>
      <c r="F159">
        <v>6475.2755505200003</v>
      </c>
      <c r="H159">
        <v>0.18346119</v>
      </c>
    </row>
    <row r="160" spans="1:8" x14ac:dyDescent="0.3">
      <c r="A160" t="s">
        <v>144</v>
      </c>
      <c r="B160" t="s">
        <v>581</v>
      </c>
      <c r="C160">
        <v>2023</v>
      </c>
      <c r="D160">
        <v>8638592374.8899994</v>
      </c>
      <c r="E160" t="s">
        <v>1385</v>
      </c>
      <c r="F160">
        <v>8638.5564429999995</v>
      </c>
      <c r="H160">
        <v>3.5931019999999994E-2</v>
      </c>
    </row>
    <row r="161" spans="1:8" x14ac:dyDescent="0.3">
      <c r="A161" t="s">
        <v>144</v>
      </c>
      <c r="B161" t="s">
        <v>581</v>
      </c>
      <c r="C161">
        <v>2024</v>
      </c>
      <c r="E161" t="s">
        <v>1385</v>
      </c>
      <c r="F161">
        <v>9378.2933140000005</v>
      </c>
    </row>
    <row r="162" spans="1:8" x14ac:dyDescent="0.3">
      <c r="A162" t="s">
        <v>144</v>
      </c>
      <c r="B162" t="s">
        <v>581</v>
      </c>
      <c r="C162">
        <v>2007</v>
      </c>
      <c r="E162" t="s">
        <v>1385</v>
      </c>
      <c r="F162">
        <v>14032.61</v>
      </c>
    </row>
    <row r="163" spans="1:8" x14ac:dyDescent="0.3">
      <c r="A163" t="s">
        <v>144</v>
      </c>
      <c r="B163" t="s">
        <v>581</v>
      </c>
      <c r="C163">
        <v>2008</v>
      </c>
      <c r="E163" t="s">
        <v>1385</v>
      </c>
      <c r="F163">
        <v>20210.68</v>
      </c>
    </row>
    <row r="164" spans="1:8" x14ac:dyDescent="0.3">
      <c r="A164" t="s">
        <v>144</v>
      </c>
      <c r="B164" t="s">
        <v>581</v>
      </c>
      <c r="C164">
        <v>2009</v>
      </c>
      <c r="E164" t="s">
        <v>1385</v>
      </c>
      <c r="F164">
        <v>11284.78</v>
      </c>
    </row>
    <row r="165" spans="1:8" x14ac:dyDescent="0.3">
      <c r="A165" t="s">
        <v>144</v>
      </c>
      <c r="B165" t="s">
        <v>581</v>
      </c>
      <c r="C165">
        <v>2010</v>
      </c>
      <c r="E165" t="s">
        <v>1385</v>
      </c>
      <c r="F165">
        <v>12720.101155</v>
      </c>
      <c r="G165">
        <v>12720.101155</v>
      </c>
      <c r="H165">
        <v>0</v>
      </c>
    </row>
    <row r="166" spans="1:8" x14ac:dyDescent="0.3">
      <c r="A166" t="s">
        <v>144</v>
      </c>
      <c r="B166" t="s">
        <v>581</v>
      </c>
      <c r="C166">
        <v>2011</v>
      </c>
      <c r="E166" t="s">
        <v>1385</v>
      </c>
      <c r="F166">
        <v>13156.642431</v>
      </c>
      <c r="G166">
        <v>13156.642431</v>
      </c>
      <c r="H166">
        <v>0</v>
      </c>
    </row>
    <row r="167" spans="1:8" x14ac:dyDescent="0.3">
      <c r="A167" t="s">
        <v>144</v>
      </c>
      <c r="B167" t="s">
        <v>581</v>
      </c>
      <c r="C167">
        <v>2012</v>
      </c>
      <c r="E167" t="s">
        <v>1385</v>
      </c>
      <c r="F167">
        <v>14997.518658000001</v>
      </c>
      <c r="G167">
        <v>14997.692048000001</v>
      </c>
      <c r="H167">
        <v>0.17338999999999999</v>
      </c>
    </row>
    <row r="168" spans="1:8" x14ac:dyDescent="0.3">
      <c r="A168" t="s">
        <v>144</v>
      </c>
      <c r="B168" t="s">
        <v>581</v>
      </c>
      <c r="C168">
        <v>2013</v>
      </c>
      <c r="E168" t="s">
        <v>1385</v>
      </c>
      <c r="F168">
        <v>15419.125833</v>
      </c>
      <c r="G168">
        <v>15419.149512</v>
      </c>
      <c r="H168">
        <v>2.3678999999999999E-2</v>
      </c>
    </row>
    <row r="169" spans="1:8" x14ac:dyDescent="0.3">
      <c r="A169" t="s">
        <v>144</v>
      </c>
      <c r="B169" t="s">
        <v>581</v>
      </c>
      <c r="C169">
        <v>2014</v>
      </c>
      <c r="E169" t="s">
        <v>1385</v>
      </c>
      <c r="F169">
        <v>14688.820968</v>
      </c>
      <c r="G169">
        <v>14703.081362999999</v>
      </c>
      <c r="H169">
        <v>14.260395000000001</v>
      </c>
    </row>
    <row r="170" spans="1:8" x14ac:dyDescent="0.3">
      <c r="A170" t="s">
        <v>144</v>
      </c>
      <c r="B170" t="s">
        <v>581</v>
      </c>
      <c r="C170">
        <v>2015</v>
      </c>
      <c r="E170" t="s">
        <v>1385</v>
      </c>
      <c r="F170">
        <v>13966.27572</v>
      </c>
      <c r="G170">
        <v>13968.580029999999</v>
      </c>
      <c r="H170">
        <v>2.3043100000000001</v>
      </c>
    </row>
    <row r="171" spans="1:8" x14ac:dyDescent="0.3">
      <c r="A171" t="s">
        <v>144</v>
      </c>
      <c r="B171" t="s">
        <v>581</v>
      </c>
      <c r="C171">
        <v>2016</v>
      </c>
      <c r="E171" t="s">
        <v>1385</v>
      </c>
      <c r="F171">
        <v>13772.058263000001</v>
      </c>
      <c r="G171">
        <v>13772.109909000001</v>
      </c>
      <c r="H171">
        <v>5.1645999999999997E-2</v>
      </c>
    </row>
    <row r="172" spans="1:8" x14ac:dyDescent="0.3">
      <c r="A172" t="s">
        <v>144</v>
      </c>
      <c r="B172" t="s">
        <v>581</v>
      </c>
      <c r="C172">
        <v>2017</v>
      </c>
      <c r="E172" t="s">
        <v>1385</v>
      </c>
      <c r="F172">
        <v>14738.823345000001</v>
      </c>
      <c r="G172">
        <v>14739.287571999999</v>
      </c>
      <c r="H172">
        <v>0.464227</v>
      </c>
    </row>
    <row r="173" spans="1:8" x14ac:dyDescent="0.3">
      <c r="A173" t="s">
        <v>144</v>
      </c>
      <c r="B173" t="s">
        <v>581</v>
      </c>
      <c r="C173">
        <v>2018</v>
      </c>
      <c r="E173" t="s">
        <v>1385</v>
      </c>
      <c r="F173">
        <v>14133.847288000001</v>
      </c>
      <c r="G173">
        <v>14137.789371999999</v>
      </c>
      <c r="H173">
        <v>3.9420839999999999</v>
      </c>
    </row>
    <row r="174" spans="1:8" x14ac:dyDescent="0.3">
      <c r="A174" t="s">
        <v>144</v>
      </c>
      <c r="B174" t="s">
        <v>581</v>
      </c>
      <c r="C174">
        <v>2019</v>
      </c>
      <c r="E174" t="s">
        <v>1385</v>
      </c>
      <c r="F174">
        <v>12233.406487</v>
      </c>
      <c r="G174">
        <v>12233.659481999999</v>
      </c>
      <c r="H174">
        <v>0.25299500000000003</v>
      </c>
    </row>
    <row r="175" spans="1:8" x14ac:dyDescent="0.3">
      <c r="A175" t="s">
        <v>144</v>
      </c>
      <c r="B175" t="s">
        <v>581</v>
      </c>
      <c r="C175">
        <v>2020</v>
      </c>
      <c r="E175" t="s">
        <v>1385</v>
      </c>
      <c r="F175">
        <v>8955.2435929999992</v>
      </c>
      <c r="G175">
        <v>8955.2435929999992</v>
      </c>
      <c r="H175">
        <v>0</v>
      </c>
    </row>
    <row r="176" spans="1:8" x14ac:dyDescent="0.3">
      <c r="A176" t="s">
        <v>144</v>
      </c>
      <c r="B176" t="s">
        <v>581</v>
      </c>
      <c r="C176">
        <v>2021</v>
      </c>
      <c r="E176" t="s">
        <v>1385</v>
      </c>
      <c r="F176">
        <v>2457.19720521</v>
      </c>
      <c r="G176">
        <v>2457.3613017899997</v>
      </c>
      <c r="H176">
        <v>0.16409657999999999</v>
      </c>
    </row>
    <row r="177" spans="1:8" x14ac:dyDescent="0.3">
      <c r="A177" t="s">
        <v>144</v>
      </c>
      <c r="B177" t="s">
        <v>581</v>
      </c>
      <c r="C177">
        <v>2022</v>
      </c>
      <c r="E177" t="s">
        <v>1385</v>
      </c>
      <c r="F177">
        <v>7514.1825330500005</v>
      </c>
      <c r="G177">
        <v>7514.6538078100002</v>
      </c>
      <c r="H177">
        <v>0.47127476000000001</v>
      </c>
    </row>
    <row r="178" spans="1:8" x14ac:dyDescent="0.3">
      <c r="A178" t="s">
        <v>144</v>
      </c>
      <c r="B178" t="s">
        <v>581</v>
      </c>
      <c r="C178">
        <v>2023</v>
      </c>
      <c r="E178" t="s">
        <v>1385</v>
      </c>
      <c r="F178">
        <v>6030.1116362700004</v>
      </c>
      <c r="G178">
        <v>6030.1375813800005</v>
      </c>
      <c r="H178">
        <v>2.594511E-2</v>
      </c>
    </row>
    <row r="179" spans="1:8" x14ac:dyDescent="0.3">
      <c r="A179" t="s">
        <v>144</v>
      </c>
      <c r="B179" t="s">
        <v>581</v>
      </c>
      <c r="C179">
        <v>2024</v>
      </c>
      <c r="E179" t="s">
        <v>1385</v>
      </c>
      <c r="F179">
        <v>3618.1992260000002</v>
      </c>
    </row>
    <row r="180" spans="1:8" x14ac:dyDescent="0.3">
      <c r="A180" t="s">
        <v>153</v>
      </c>
      <c r="B180" t="s">
        <v>582</v>
      </c>
      <c r="C180">
        <v>2007</v>
      </c>
      <c r="E180" t="s">
        <v>1385</v>
      </c>
      <c r="F180">
        <v>200000</v>
      </c>
      <c r="G180">
        <v>200000</v>
      </c>
      <c r="H180">
        <v>0</v>
      </c>
    </row>
    <row r="181" spans="1:8" x14ac:dyDescent="0.3">
      <c r="A181" t="s">
        <v>153</v>
      </c>
      <c r="B181" t="s">
        <v>582</v>
      </c>
      <c r="C181">
        <v>2008</v>
      </c>
      <c r="E181" t="s">
        <v>1385</v>
      </c>
      <c r="F181">
        <v>288756</v>
      </c>
      <c r="G181">
        <v>297540</v>
      </c>
      <c r="H181">
        <v>8784</v>
      </c>
    </row>
    <row r="182" spans="1:8" x14ac:dyDescent="0.3">
      <c r="A182" t="s">
        <v>153</v>
      </c>
      <c r="B182" t="s">
        <v>582</v>
      </c>
      <c r="C182">
        <v>2009</v>
      </c>
      <c r="E182" t="s">
        <v>1385</v>
      </c>
      <c r="F182">
        <v>320010</v>
      </c>
      <c r="G182">
        <v>332394</v>
      </c>
      <c r="H182">
        <v>12384</v>
      </c>
    </row>
    <row r="183" spans="1:8" x14ac:dyDescent="0.3">
      <c r="A183" t="s">
        <v>153</v>
      </c>
      <c r="B183" t="s">
        <v>582</v>
      </c>
      <c r="C183">
        <v>2010</v>
      </c>
      <c r="E183" t="s">
        <v>1385</v>
      </c>
      <c r="F183">
        <v>374302</v>
      </c>
      <c r="G183">
        <v>409579</v>
      </c>
      <c r="H183">
        <v>35277</v>
      </c>
    </row>
    <row r="184" spans="1:8" x14ac:dyDescent="0.3">
      <c r="A184" t="s">
        <v>153</v>
      </c>
      <c r="B184" t="s">
        <v>582</v>
      </c>
      <c r="C184">
        <v>2011</v>
      </c>
      <c r="E184" t="s">
        <v>1385</v>
      </c>
      <c r="F184">
        <v>425095</v>
      </c>
      <c r="G184">
        <v>482167</v>
      </c>
      <c r="H184">
        <v>57072</v>
      </c>
    </row>
    <row r="185" spans="1:8" x14ac:dyDescent="0.3">
      <c r="A185" t="s">
        <v>153</v>
      </c>
      <c r="B185" t="s">
        <v>582</v>
      </c>
      <c r="C185">
        <v>2012</v>
      </c>
      <c r="E185" t="s">
        <v>1385</v>
      </c>
      <c r="F185">
        <v>495917</v>
      </c>
      <c r="G185">
        <v>575178</v>
      </c>
      <c r="H185">
        <v>79261</v>
      </c>
    </row>
    <row r="186" spans="1:8" x14ac:dyDescent="0.3">
      <c r="A186" t="s">
        <v>153</v>
      </c>
      <c r="B186" t="s">
        <v>582</v>
      </c>
      <c r="C186">
        <v>2013</v>
      </c>
      <c r="E186" t="s">
        <v>1385</v>
      </c>
      <c r="F186">
        <v>619230</v>
      </c>
      <c r="G186">
        <v>653163</v>
      </c>
      <c r="H186">
        <v>33933</v>
      </c>
    </row>
    <row r="187" spans="1:8" x14ac:dyDescent="0.3">
      <c r="A187" t="s">
        <v>153</v>
      </c>
      <c r="B187" t="s">
        <v>582</v>
      </c>
      <c r="C187">
        <v>2014</v>
      </c>
      <c r="E187" t="s">
        <v>1385</v>
      </c>
      <c r="F187">
        <v>709349</v>
      </c>
      <c r="G187">
        <v>746730</v>
      </c>
      <c r="H187">
        <v>37381</v>
      </c>
    </row>
    <row r="188" spans="1:8" x14ac:dyDescent="0.3">
      <c r="A188" t="s">
        <v>153</v>
      </c>
      <c r="B188" t="s">
        <v>582</v>
      </c>
      <c r="C188">
        <v>2015</v>
      </c>
      <c r="E188" t="s">
        <v>1385</v>
      </c>
      <c r="F188">
        <v>724742</v>
      </c>
      <c r="G188">
        <v>813762</v>
      </c>
      <c r="H188">
        <v>89020</v>
      </c>
    </row>
    <row r="189" spans="1:8" x14ac:dyDescent="0.3">
      <c r="A189" t="s">
        <v>153</v>
      </c>
      <c r="B189" t="s">
        <v>582</v>
      </c>
      <c r="C189">
        <v>2016</v>
      </c>
      <c r="E189" t="s">
        <v>1385</v>
      </c>
      <c r="F189">
        <v>734956</v>
      </c>
      <c r="G189">
        <v>813513</v>
      </c>
      <c r="H189">
        <v>78557</v>
      </c>
    </row>
    <row r="190" spans="1:8" x14ac:dyDescent="0.3">
      <c r="A190" t="s">
        <v>153</v>
      </c>
      <c r="B190" t="s">
        <v>582</v>
      </c>
      <c r="C190">
        <v>2017</v>
      </c>
      <c r="E190" t="s">
        <v>1385</v>
      </c>
      <c r="F190">
        <v>846014</v>
      </c>
      <c r="G190">
        <v>941417</v>
      </c>
      <c r="H190">
        <v>95403</v>
      </c>
    </row>
    <row r="191" spans="1:8" x14ac:dyDescent="0.3">
      <c r="A191" t="s">
        <v>153</v>
      </c>
      <c r="B191" t="s">
        <v>582</v>
      </c>
      <c r="C191">
        <v>2018</v>
      </c>
      <c r="E191" t="s">
        <v>1385</v>
      </c>
      <c r="F191">
        <v>858845</v>
      </c>
      <c r="G191">
        <v>940604</v>
      </c>
      <c r="H191">
        <v>81759</v>
      </c>
    </row>
    <row r="192" spans="1:8" x14ac:dyDescent="0.3">
      <c r="A192" t="s">
        <v>153</v>
      </c>
      <c r="B192" t="s">
        <v>582</v>
      </c>
      <c r="C192">
        <v>2019</v>
      </c>
      <c r="E192" t="s">
        <v>1385</v>
      </c>
      <c r="F192">
        <v>946934</v>
      </c>
      <c r="G192">
        <v>1045715</v>
      </c>
      <c r="H192">
        <v>98781</v>
      </c>
    </row>
    <row r="193" spans="1:8" x14ac:dyDescent="0.3">
      <c r="A193" t="s">
        <v>153</v>
      </c>
      <c r="B193" t="s">
        <v>582</v>
      </c>
      <c r="C193">
        <v>2020</v>
      </c>
      <c r="E193" t="s">
        <v>1385</v>
      </c>
      <c r="F193">
        <v>1113726</v>
      </c>
      <c r="G193">
        <v>1222307</v>
      </c>
      <c r="H193">
        <v>108581</v>
      </c>
    </row>
    <row r="194" spans="1:8" x14ac:dyDescent="0.3">
      <c r="A194" t="s">
        <v>153</v>
      </c>
      <c r="B194" t="s">
        <v>582</v>
      </c>
      <c r="C194">
        <v>2021</v>
      </c>
      <c r="E194" t="s">
        <v>1385</v>
      </c>
      <c r="F194">
        <v>1245086</v>
      </c>
      <c r="G194">
        <v>1350863</v>
      </c>
      <c r="H194">
        <v>105777</v>
      </c>
    </row>
    <row r="195" spans="1:8" x14ac:dyDescent="0.3">
      <c r="A195" t="s">
        <v>153</v>
      </c>
      <c r="B195" t="s">
        <v>582</v>
      </c>
      <c r="C195">
        <v>2022</v>
      </c>
      <c r="E195" t="s">
        <v>1385</v>
      </c>
      <c r="F195">
        <v>1146469</v>
      </c>
      <c r="G195">
        <v>1239943</v>
      </c>
      <c r="H195">
        <v>93474</v>
      </c>
    </row>
    <row r="196" spans="1:8" x14ac:dyDescent="0.3">
      <c r="A196" t="s">
        <v>153</v>
      </c>
      <c r="B196" t="s">
        <v>582</v>
      </c>
      <c r="C196">
        <v>2023</v>
      </c>
      <c r="E196" t="s">
        <v>1385</v>
      </c>
      <c r="F196">
        <v>1237843</v>
      </c>
      <c r="G196">
        <v>1332071</v>
      </c>
      <c r="H196">
        <v>94228</v>
      </c>
    </row>
    <row r="197" spans="1:8" x14ac:dyDescent="0.3">
      <c r="A197" t="s">
        <v>153</v>
      </c>
      <c r="B197" t="s">
        <v>582</v>
      </c>
      <c r="C197">
        <v>2024</v>
      </c>
      <c r="E197" t="s">
        <v>1385</v>
      </c>
      <c r="F197">
        <v>1369959</v>
      </c>
      <c r="G197">
        <v>1567334</v>
      </c>
      <c r="H197">
        <v>197375</v>
      </c>
    </row>
    <row r="198" spans="1:8" x14ac:dyDescent="0.3">
      <c r="A198" t="s">
        <v>162</v>
      </c>
      <c r="B198" t="s">
        <v>583</v>
      </c>
      <c r="C198">
        <v>2019</v>
      </c>
      <c r="E198" t="s">
        <v>1385</v>
      </c>
      <c r="G198">
        <v>3575.8</v>
      </c>
    </row>
    <row r="199" spans="1:8" x14ac:dyDescent="0.3">
      <c r="A199" t="s">
        <v>162</v>
      </c>
      <c r="B199" t="s">
        <v>583</v>
      </c>
      <c r="C199">
        <v>2020</v>
      </c>
      <c r="E199" t="s">
        <v>1385</v>
      </c>
      <c r="G199">
        <v>4005.5</v>
      </c>
    </row>
    <row r="200" spans="1:8" x14ac:dyDescent="0.3">
      <c r="A200" t="s">
        <v>162</v>
      </c>
      <c r="B200" t="s">
        <v>583</v>
      </c>
      <c r="C200">
        <v>2021</v>
      </c>
      <c r="E200" t="s">
        <v>1385</v>
      </c>
      <c r="G200">
        <v>3690</v>
      </c>
    </row>
    <row r="201" spans="1:8" x14ac:dyDescent="0.3">
      <c r="A201" t="s">
        <v>162</v>
      </c>
      <c r="B201" t="s">
        <v>583</v>
      </c>
      <c r="C201">
        <v>2022</v>
      </c>
      <c r="E201" t="s">
        <v>1385</v>
      </c>
      <c r="G201">
        <v>3641.4</v>
      </c>
    </row>
    <row r="202" spans="1:8" x14ac:dyDescent="0.3">
      <c r="A202" t="s">
        <v>162</v>
      </c>
      <c r="B202" t="s">
        <v>583</v>
      </c>
      <c r="C202">
        <v>2023</v>
      </c>
      <c r="E202" t="s">
        <v>1385</v>
      </c>
      <c r="G202">
        <v>4208.8</v>
      </c>
    </row>
    <row r="203" spans="1:8" x14ac:dyDescent="0.3">
      <c r="A203" t="s">
        <v>162</v>
      </c>
      <c r="B203" t="s">
        <v>583</v>
      </c>
      <c r="C203">
        <v>2024</v>
      </c>
      <c r="E203" t="s">
        <v>1385</v>
      </c>
      <c r="G203">
        <v>4403.1000000000004</v>
      </c>
    </row>
    <row r="204" spans="1:8" x14ac:dyDescent="0.3">
      <c r="A204" t="s">
        <v>162</v>
      </c>
      <c r="B204" t="s">
        <v>583</v>
      </c>
      <c r="C204">
        <v>2010</v>
      </c>
      <c r="E204" t="s">
        <v>1385</v>
      </c>
      <c r="G204">
        <v>907.67005400000005</v>
      </c>
    </row>
    <row r="205" spans="1:8" x14ac:dyDescent="0.3">
      <c r="A205" t="s">
        <v>162</v>
      </c>
      <c r="B205" t="s">
        <v>583</v>
      </c>
      <c r="C205">
        <v>2011</v>
      </c>
      <c r="E205" t="s">
        <v>1385</v>
      </c>
      <c r="G205">
        <v>885.99306000000001</v>
      </c>
    </row>
    <row r="206" spans="1:8" x14ac:dyDescent="0.3">
      <c r="A206" t="s">
        <v>162</v>
      </c>
      <c r="B206" t="s">
        <v>583</v>
      </c>
      <c r="C206">
        <v>2012</v>
      </c>
      <c r="E206" t="s">
        <v>1385</v>
      </c>
      <c r="G206">
        <v>790.90367700000002</v>
      </c>
    </row>
    <row r="207" spans="1:8" x14ac:dyDescent="0.3">
      <c r="A207" t="s">
        <v>162</v>
      </c>
      <c r="B207" t="s">
        <v>583</v>
      </c>
      <c r="C207">
        <v>2013</v>
      </c>
      <c r="E207" t="s">
        <v>1385</v>
      </c>
      <c r="G207">
        <v>698.04812300000003</v>
      </c>
    </row>
    <row r="208" spans="1:8" x14ac:dyDescent="0.3">
      <c r="A208" t="s">
        <v>162</v>
      </c>
      <c r="B208" t="s">
        <v>583</v>
      </c>
      <c r="C208">
        <v>2014</v>
      </c>
      <c r="E208" t="s">
        <v>1385</v>
      </c>
      <c r="G208">
        <v>557.39090099999999</v>
      </c>
    </row>
    <row r="209" spans="1:10" x14ac:dyDescent="0.3">
      <c r="A209" t="s">
        <v>162</v>
      </c>
      <c r="B209" t="s">
        <v>583</v>
      </c>
      <c r="C209">
        <v>2015</v>
      </c>
      <c r="E209" t="s">
        <v>1385</v>
      </c>
      <c r="G209">
        <v>444.65778699999998</v>
      </c>
    </row>
    <row r="210" spans="1:10" x14ac:dyDescent="0.3">
      <c r="A210" t="s">
        <v>162</v>
      </c>
      <c r="B210" t="s">
        <v>583</v>
      </c>
      <c r="C210">
        <v>2016</v>
      </c>
      <c r="E210" t="s">
        <v>1385</v>
      </c>
      <c r="G210">
        <v>337.074523</v>
      </c>
    </row>
    <row r="211" spans="1:10" x14ac:dyDescent="0.3">
      <c r="A211" t="s">
        <v>162</v>
      </c>
      <c r="B211" t="s">
        <v>583</v>
      </c>
      <c r="C211">
        <v>2017</v>
      </c>
      <c r="E211" t="s">
        <v>1385</v>
      </c>
      <c r="G211">
        <v>223.63267400000001</v>
      </c>
    </row>
    <row r="212" spans="1:10" x14ac:dyDescent="0.3">
      <c r="A212" t="s">
        <v>162</v>
      </c>
      <c r="B212" t="s">
        <v>583</v>
      </c>
      <c r="C212">
        <v>2018</v>
      </c>
      <c r="E212" t="s">
        <v>1385</v>
      </c>
      <c r="G212">
        <v>113.35092299999999</v>
      </c>
    </row>
    <row r="213" spans="1:10" x14ac:dyDescent="0.3">
      <c r="A213" t="s">
        <v>162</v>
      </c>
      <c r="B213" t="s">
        <v>583</v>
      </c>
      <c r="C213">
        <v>2019</v>
      </c>
      <c r="E213" t="s">
        <v>1385</v>
      </c>
      <c r="G213">
        <v>18.209541000000002</v>
      </c>
    </row>
    <row r="214" spans="1:10" x14ac:dyDescent="0.3">
      <c r="A214" t="s">
        <v>177</v>
      </c>
      <c r="B214" t="s">
        <v>809</v>
      </c>
      <c r="C214">
        <v>2018</v>
      </c>
      <c r="D214">
        <v>6.3146190000000004</v>
      </c>
      <c r="E214" t="s">
        <v>1392</v>
      </c>
      <c r="F214">
        <v>5614</v>
      </c>
      <c r="G214">
        <v>12483</v>
      </c>
    </row>
    <row r="215" spans="1:10" x14ac:dyDescent="0.3">
      <c r="A215" t="s">
        <v>177</v>
      </c>
      <c r="B215" t="s">
        <v>809</v>
      </c>
      <c r="C215">
        <v>2019</v>
      </c>
      <c r="D215">
        <v>6.6694459999999998</v>
      </c>
      <c r="E215" t="s">
        <v>1392</v>
      </c>
      <c r="F215">
        <v>6091</v>
      </c>
      <c r="G215">
        <v>13937</v>
      </c>
    </row>
    <row r="216" spans="1:10" x14ac:dyDescent="0.3">
      <c r="A216" t="s">
        <v>177</v>
      </c>
      <c r="B216" t="s">
        <v>809</v>
      </c>
      <c r="C216">
        <v>2020</v>
      </c>
      <c r="D216">
        <v>6.5421519999999997</v>
      </c>
      <c r="E216" t="s">
        <v>1392</v>
      </c>
      <c r="F216">
        <v>11287</v>
      </c>
      <c r="G216">
        <v>22564</v>
      </c>
    </row>
    <row r="217" spans="1:10" x14ac:dyDescent="0.3">
      <c r="A217" t="s">
        <v>177</v>
      </c>
      <c r="B217" t="s">
        <v>809</v>
      </c>
      <c r="C217">
        <v>2021</v>
      </c>
      <c r="D217">
        <v>6.2871129999999997</v>
      </c>
      <c r="E217" t="s">
        <v>1392</v>
      </c>
      <c r="F217">
        <v>17115</v>
      </c>
      <c r="G217">
        <v>30684</v>
      </c>
    </row>
    <row r="218" spans="1:10" x14ac:dyDescent="0.3">
      <c r="A218" t="s">
        <v>177</v>
      </c>
      <c r="B218" t="s">
        <v>809</v>
      </c>
      <c r="C218">
        <v>2022</v>
      </c>
      <c r="D218">
        <v>7.0761520000000004</v>
      </c>
      <c r="E218" t="s">
        <v>1392</v>
      </c>
      <c r="F218">
        <v>16979</v>
      </c>
      <c r="G218">
        <v>27883</v>
      </c>
    </row>
    <row r="219" spans="1:10" x14ac:dyDescent="0.3">
      <c r="A219" t="s">
        <v>177</v>
      </c>
      <c r="B219" t="s">
        <v>809</v>
      </c>
      <c r="C219">
        <v>2023</v>
      </c>
      <c r="D219">
        <v>6.8897029999999999</v>
      </c>
      <c r="E219" t="s">
        <v>1392</v>
      </c>
      <c r="F219">
        <v>25663</v>
      </c>
      <c r="G219">
        <v>73160</v>
      </c>
      <c r="H219">
        <v>47497</v>
      </c>
    </row>
    <row r="220" spans="1:10" x14ac:dyDescent="0.3">
      <c r="A220" t="s">
        <v>177</v>
      </c>
      <c r="B220" t="s">
        <v>809</v>
      </c>
      <c r="C220">
        <v>2024</v>
      </c>
      <c r="D220">
        <v>6.8944809999999999</v>
      </c>
      <c r="E220" t="s">
        <v>1392</v>
      </c>
      <c r="F220">
        <v>27428</v>
      </c>
      <c r="G220">
        <v>73400</v>
      </c>
      <c r="H220">
        <v>45970</v>
      </c>
    </row>
    <row r="221" spans="1:10" x14ac:dyDescent="0.3">
      <c r="A221" t="s">
        <v>203</v>
      </c>
      <c r="B221" t="s">
        <v>584</v>
      </c>
      <c r="C221">
        <v>2014</v>
      </c>
      <c r="D221">
        <v>0.75272819999999996</v>
      </c>
      <c r="E221" t="s">
        <v>1386</v>
      </c>
      <c r="F221">
        <v>10571.2</v>
      </c>
      <c r="G221">
        <v>17441.400000000001</v>
      </c>
      <c r="H221">
        <v>6870.2000000000007</v>
      </c>
      <c r="J221">
        <v>24900</v>
      </c>
    </row>
    <row r="222" spans="1:10" x14ac:dyDescent="0.3">
      <c r="A222" t="s">
        <v>203</v>
      </c>
      <c r="B222" t="s">
        <v>584</v>
      </c>
      <c r="C222">
        <v>2015</v>
      </c>
      <c r="D222">
        <v>0.9012964</v>
      </c>
      <c r="E222" t="s">
        <v>1386</v>
      </c>
      <c r="F222">
        <v>10886</v>
      </c>
      <c r="G222">
        <v>17951</v>
      </c>
      <c r="H222">
        <v>7065</v>
      </c>
      <c r="J222">
        <v>26900</v>
      </c>
    </row>
    <row r="223" spans="1:10" x14ac:dyDescent="0.3">
      <c r="A223" t="s">
        <v>203</v>
      </c>
      <c r="B223" t="s">
        <v>584</v>
      </c>
      <c r="C223">
        <v>2016</v>
      </c>
      <c r="D223">
        <v>0.90342149999999999</v>
      </c>
      <c r="E223" t="s">
        <v>1386</v>
      </c>
      <c r="F223">
        <v>11113.5</v>
      </c>
      <c r="G223">
        <v>16933.099999999999</v>
      </c>
      <c r="H223">
        <v>5819.6</v>
      </c>
      <c r="J223">
        <v>27400</v>
      </c>
    </row>
    <row r="224" spans="1:10" x14ac:dyDescent="0.3">
      <c r="A224" t="s">
        <v>203</v>
      </c>
      <c r="B224" t="s">
        <v>584</v>
      </c>
      <c r="C224">
        <v>2017</v>
      </c>
      <c r="D224">
        <v>0.88520549999999998</v>
      </c>
      <c r="E224" t="s">
        <v>1386</v>
      </c>
      <c r="F224">
        <v>11555.1</v>
      </c>
      <c r="G224">
        <v>17337</v>
      </c>
      <c r="H224">
        <v>5781.9</v>
      </c>
      <c r="J224">
        <v>29800</v>
      </c>
    </row>
    <row r="225" spans="1:10" x14ac:dyDescent="0.3">
      <c r="A225" t="s">
        <v>203</v>
      </c>
      <c r="B225" t="s">
        <v>584</v>
      </c>
      <c r="C225">
        <v>2018</v>
      </c>
      <c r="D225">
        <v>0.84677270000000004</v>
      </c>
      <c r="E225" t="s">
        <v>1386</v>
      </c>
      <c r="F225">
        <v>24963.8</v>
      </c>
      <c r="G225">
        <v>30693</v>
      </c>
      <c r="H225">
        <v>5729.2000000000007</v>
      </c>
      <c r="J225">
        <v>32299.999999999996</v>
      </c>
    </row>
    <row r="226" spans="1:10" x14ac:dyDescent="0.3">
      <c r="A226" t="s">
        <v>203</v>
      </c>
      <c r="B226" t="s">
        <v>584</v>
      </c>
      <c r="C226">
        <v>2019</v>
      </c>
      <c r="D226">
        <v>0.89327630000000002</v>
      </c>
      <c r="E226" t="s">
        <v>1386</v>
      </c>
      <c r="F226">
        <v>24213.200000000001</v>
      </c>
      <c r="G226">
        <v>29886.7</v>
      </c>
      <c r="H226">
        <v>5673.5</v>
      </c>
      <c r="J226">
        <v>36100</v>
      </c>
    </row>
    <row r="227" spans="1:10" x14ac:dyDescent="0.3">
      <c r="A227" t="s">
        <v>203</v>
      </c>
      <c r="B227" t="s">
        <v>584</v>
      </c>
      <c r="C227">
        <v>2020</v>
      </c>
      <c r="D227">
        <v>0.87550640000000002</v>
      </c>
      <c r="E227" t="s">
        <v>1386</v>
      </c>
      <c r="F227">
        <v>24704</v>
      </c>
      <c r="G227">
        <v>30339.9</v>
      </c>
      <c r="H227">
        <v>5635.9000000000005</v>
      </c>
      <c r="J227">
        <v>41600</v>
      </c>
    </row>
    <row r="228" spans="1:10" x14ac:dyDescent="0.3">
      <c r="A228" t="s">
        <v>203</v>
      </c>
      <c r="B228" t="s">
        <v>584</v>
      </c>
      <c r="C228">
        <v>2021</v>
      </c>
      <c r="D228">
        <v>0.84549419999999997</v>
      </c>
      <c r="E228" t="s">
        <v>1386</v>
      </c>
      <c r="F228">
        <v>26120.799999999999</v>
      </c>
      <c r="G228">
        <v>36802.6</v>
      </c>
      <c r="H228">
        <v>10681.8</v>
      </c>
      <c r="J228">
        <v>44500</v>
      </c>
    </row>
    <row r="229" spans="1:10" x14ac:dyDescent="0.3">
      <c r="A229" t="s">
        <v>203</v>
      </c>
      <c r="B229" t="s">
        <v>584</v>
      </c>
      <c r="C229">
        <v>2022</v>
      </c>
      <c r="D229">
        <v>0.94962380000000002</v>
      </c>
      <c r="E229" t="s">
        <v>1386</v>
      </c>
      <c r="F229">
        <v>28881.8</v>
      </c>
      <c r="G229">
        <v>53110.9</v>
      </c>
      <c r="H229">
        <v>24229.1</v>
      </c>
      <c r="J229">
        <v>50300</v>
      </c>
    </row>
    <row r="230" spans="1:10" x14ac:dyDescent="0.3">
      <c r="A230" t="s">
        <v>203</v>
      </c>
      <c r="B230" t="s">
        <v>584</v>
      </c>
      <c r="C230">
        <v>2023</v>
      </c>
      <c r="D230">
        <v>0.92483959999999998</v>
      </c>
      <c r="E230" t="s">
        <v>1386</v>
      </c>
      <c r="F230">
        <v>15713.2</v>
      </c>
      <c r="G230">
        <v>41604.9</v>
      </c>
      <c r="H230">
        <v>25891.599999999999</v>
      </c>
      <c r="J230">
        <v>52000</v>
      </c>
    </row>
    <row r="231" spans="1:10" x14ac:dyDescent="0.3">
      <c r="A231" t="s">
        <v>203</v>
      </c>
      <c r="B231" t="s">
        <v>584</v>
      </c>
      <c r="C231">
        <v>2024</v>
      </c>
      <c r="D231">
        <v>0.92388950000000003</v>
      </c>
      <c r="E231" t="s">
        <v>1386</v>
      </c>
      <c r="F231">
        <v>14954.3</v>
      </c>
      <c r="G231">
        <v>37377.1</v>
      </c>
      <c r="H231">
        <v>22422.699999999997</v>
      </c>
      <c r="J231">
        <v>57300</v>
      </c>
    </row>
    <row r="232" spans="1:10" x14ac:dyDescent="0.3">
      <c r="A232" t="s">
        <v>212</v>
      </c>
      <c r="B232" t="s">
        <v>830</v>
      </c>
      <c r="C232">
        <v>2012</v>
      </c>
      <c r="D232">
        <v>510.55630000000002</v>
      </c>
      <c r="E232" t="s">
        <v>1393</v>
      </c>
      <c r="I232">
        <v>201000</v>
      </c>
    </row>
    <row r="233" spans="1:10" x14ac:dyDescent="0.3">
      <c r="A233" t="s">
        <v>212</v>
      </c>
      <c r="B233" t="s">
        <v>830</v>
      </c>
      <c r="C233">
        <v>2013</v>
      </c>
      <c r="D233">
        <v>493.89960000000002</v>
      </c>
      <c r="E233" t="s">
        <v>1393</v>
      </c>
      <c r="I233">
        <v>212000</v>
      </c>
    </row>
    <row r="234" spans="1:10" x14ac:dyDescent="0.3">
      <c r="A234" t="s">
        <v>212</v>
      </c>
      <c r="B234" t="s">
        <v>830</v>
      </c>
      <c r="C234">
        <v>2014</v>
      </c>
      <c r="D234">
        <v>493.75729999999999</v>
      </c>
      <c r="E234" t="s">
        <v>1393</v>
      </c>
      <c r="I234">
        <v>203000</v>
      </c>
    </row>
    <row r="235" spans="1:10" x14ac:dyDescent="0.3">
      <c r="A235" t="s">
        <v>212</v>
      </c>
      <c r="B235" t="s">
        <v>830</v>
      </c>
      <c r="C235">
        <v>2015</v>
      </c>
      <c r="D235">
        <v>591.21169999999995</v>
      </c>
      <c r="E235" t="s">
        <v>1393</v>
      </c>
      <c r="I235">
        <v>205000</v>
      </c>
    </row>
    <row r="236" spans="1:10" x14ac:dyDescent="0.3">
      <c r="A236" t="s">
        <v>212</v>
      </c>
      <c r="B236" t="s">
        <v>830</v>
      </c>
      <c r="C236">
        <v>2016</v>
      </c>
      <c r="D236">
        <v>592.60559999999998</v>
      </c>
      <c r="E236" t="s">
        <v>1393</v>
      </c>
      <c r="I236">
        <v>209000</v>
      </c>
    </row>
    <row r="237" spans="1:10" x14ac:dyDescent="0.3">
      <c r="A237" t="s">
        <v>212</v>
      </c>
      <c r="B237" t="s">
        <v>830</v>
      </c>
      <c r="C237">
        <v>2017</v>
      </c>
      <c r="D237">
        <v>580.6567</v>
      </c>
      <c r="E237" t="s">
        <v>1393</v>
      </c>
      <c r="I237">
        <v>160000</v>
      </c>
    </row>
    <row r="238" spans="1:10" x14ac:dyDescent="0.3">
      <c r="A238" t="s">
        <v>212</v>
      </c>
      <c r="B238" t="s">
        <v>830</v>
      </c>
      <c r="C238">
        <v>2018</v>
      </c>
      <c r="D238">
        <v>555.44650000000001</v>
      </c>
      <c r="E238" t="s">
        <v>1393</v>
      </c>
      <c r="I238">
        <v>172000</v>
      </c>
    </row>
    <row r="239" spans="1:10" x14ac:dyDescent="0.3">
      <c r="A239" t="s">
        <v>212</v>
      </c>
      <c r="B239" t="s">
        <v>830</v>
      </c>
      <c r="C239">
        <v>2019</v>
      </c>
      <c r="D239">
        <v>585.91099999999994</v>
      </c>
      <c r="E239" t="s">
        <v>1393</v>
      </c>
      <c r="I239">
        <v>173000</v>
      </c>
    </row>
    <row r="240" spans="1:10" x14ac:dyDescent="0.3">
      <c r="A240" t="s">
        <v>212</v>
      </c>
      <c r="B240" t="s">
        <v>830</v>
      </c>
      <c r="C240">
        <v>2020</v>
      </c>
      <c r="D240">
        <v>575.58600000000001</v>
      </c>
      <c r="E240" t="s">
        <v>1393</v>
      </c>
      <c r="I240">
        <v>203000</v>
      </c>
    </row>
    <row r="241" spans="1:10" x14ac:dyDescent="0.3">
      <c r="A241" t="s">
        <v>212</v>
      </c>
      <c r="B241" t="s">
        <v>830</v>
      </c>
      <c r="C241">
        <v>2021</v>
      </c>
      <c r="D241">
        <v>554.53070000000002</v>
      </c>
      <c r="E241" t="s">
        <v>1393</v>
      </c>
      <c r="I241">
        <v>307000</v>
      </c>
    </row>
    <row r="242" spans="1:10" x14ac:dyDescent="0.3">
      <c r="A242" t="s">
        <v>212</v>
      </c>
      <c r="B242" t="s">
        <v>830</v>
      </c>
      <c r="C242">
        <v>2022</v>
      </c>
      <c r="D242">
        <v>623.75969999999995</v>
      </c>
      <c r="E242" t="s">
        <v>1393</v>
      </c>
      <c r="I242">
        <v>344000</v>
      </c>
    </row>
    <row r="243" spans="1:10" x14ac:dyDescent="0.3">
      <c r="A243" t="s">
        <v>212</v>
      </c>
      <c r="B243" t="s">
        <v>830</v>
      </c>
      <c r="C243">
        <v>2023</v>
      </c>
      <c r="D243">
        <v>606.56979999999999</v>
      </c>
      <c r="E243" t="s">
        <v>1393</v>
      </c>
      <c r="I243">
        <v>343000</v>
      </c>
    </row>
    <row r="244" spans="1:10" x14ac:dyDescent="0.3">
      <c r="A244" t="s">
        <v>212</v>
      </c>
      <c r="B244" t="s">
        <v>830</v>
      </c>
      <c r="C244">
        <v>2024</v>
      </c>
      <c r="D244">
        <v>606.34529999999995</v>
      </c>
      <c r="E244" t="s">
        <v>1393</v>
      </c>
      <c r="I244">
        <v>354000</v>
      </c>
    </row>
    <row r="245" spans="1:10" x14ac:dyDescent="0.3">
      <c r="A245" t="s">
        <v>195</v>
      </c>
      <c r="B245" t="s">
        <v>585</v>
      </c>
      <c r="C245">
        <v>2019</v>
      </c>
      <c r="D245">
        <v>0.89327630000000002</v>
      </c>
      <c r="E245" t="s">
        <v>1386</v>
      </c>
      <c r="F245">
        <v>1088.2090000000001</v>
      </c>
      <c r="G245">
        <v>1129.6679999999999</v>
      </c>
      <c r="H245">
        <v>41.459000000000003</v>
      </c>
      <c r="J245">
        <v>1334</v>
      </c>
    </row>
    <row r="246" spans="1:10" x14ac:dyDescent="0.3">
      <c r="A246" t="s">
        <v>195</v>
      </c>
      <c r="B246" t="s">
        <v>585</v>
      </c>
      <c r="C246">
        <v>2020</v>
      </c>
      <c r="D246">
        <v>0.87550640000000002</v>
      </c>
      <c r="E246" t="s">
        <v>1386</v>
      </c>
      <c r="F246">
        <v>1417.4459999999999</v>
      </c>
      <c r="G246">
        <v>1499.3</v>
      </c>
      <c r="H246">
        <v>81.853999999999999</v>
      </c>
      <c r="J246">
        <v>1862</v>
      </c>
    </row>
    <row r="247" spans="1:10" x14ac:dyDescent="0.3">
      <c r="A247" t="s">
        <v>195</v>
      </c>
      <c r="B247" t="s">
        <v>585</v>
      </c>
      <c r="C247">
        <v>2021</v>
      </c>
      <c r="D247">
        <v>0.84549419999999997</v>
      </c>
      <c r="E247" t="s">
        <v>1386</v>
      </c>
      <c r="F247">
        <v>1755.0740000000001</v>
      </c>
      <c r="G247">
        <v>1889.933</v>
      </c>
      <c r="H247">
        <v>134.86000000000001</v>
      </c>
      <c r="J247">
        <v>2353</v>
      </c>
    </row>
    <row r="248" spans="1:10" x14ac:dyDescent="0.3">
      <c r="A248" t="s">
        <v>195</v>
      </c>
      <c r="B248" t="s">
        <v>585</v>
      </c>
      <c r="C248">
        <v>2022</v>
      </c>
      <c r="D248">
        <v>0.94962380000000002</v>
      </c>
      <c r="E248" t="s">
        <v>1386</v>
      </c>
      <c r="F248">
        <v>1929.07</v>
      </c>
      <c r="G248">
        <v>2055.39</v>
      </c>
      <c r="H248">
        <v>126.32</v>
      </c>
      <c r="J248">
        <v>2460</v>
      </c>
    </row>
    <row r="249" spans="1:10" x14ac:dyDescent="0.3">
      <c r="A249" t="s">
        <v>195</v>
      </c>
      <c r="B249" t="s">
        <v>585</v>
      </c>
      <c r="C249">
        <v>2023</v>
      </c>
      <c r="D249">
        <v>0.92483959999999998</v>
      </c>
      <c r="E249" t="s">
        <v>1386</v>
      </c>
      <c r="F249">
        <v>1788.3869999999999</v>
      </c>
      <c r="G249">
        <v>1893.0150000000001</v>
      </c>
      <c r="H249">
        <v>104.627</v>
      </c>
      <c r="J249">
        <v>2519</v>
      </c>
    </row>
    <row r="250" spans="1:10" x14ac:dyDescent="0.3">
      <c r="A250" t="s">
        <v>195</v>
      </c>
      <c r="B250" t="s">
        <v>585</v>
      </c>
      <c r="C250">
        <v>2024</v>
      </c>
      <c r="D250">
        <v>0.92388950000000003</v>
      </c>
      <c r="E250" t="s">
        <v>1386</v>
      </c>
      <c r="F250">
        <v>1953.31</v>
      </c>
      <c r="G250">
        <v>2076.5149999999999</v>
      </c>
      <c r="H250">
        <v>123.205</v>
      </c>
      <c r="J250">
        <v>2635</v>
      </c>
    </row>
    <row r="251" spans="1:10" x14ac:dyDescent="0.3">
      <c r="A251" t="s">
        <v>195</v>
      </c>
      <c r="B251" t="s">
        <v>585</v>
      </c>
      <c r="C251">
        <v>2009</v>
      </c>
      <c r="D251">
        <v>0.71695770000000003</v>
      </c>
      <c r="E251" t="s">
        <v>1386</v>
      </c>
      <c r="F251">
        <v>5739.4985699999997</v>
      </c>
      <c r="G251">
        <v>5740.097366</v>
      </c>
      <c r="H251">
        <v>0.59879599999999999</v>
      </c>
    </row>
    <row r="252" spans="1:10" x14ac:dyDescent="0.3">
      <c r="A252" t="s">
        <v>195</v>
      </c>
      <c r="B252" t="s">
        <v>585</v>
      </c>
      <c r="C252">
        <v>2010</v>
      </c>
      <c r="D252">
        <v>0.75430900000000001</v>
      </c>
      <c r="E252" t="s">
        <v>1386</v>
      </c>
      <c r="F252">
        <v>6136.8161090000003</v>
      </c>
      <c r="G252">
        <v>6140.629414</v>
      </c>
      <c r="H252">
        <v>3.8133050000000002</v>
      </c>
    </row>
    <row r="253" spans="1:10" x14ac:dyDescent="0.3">
      <c r="A253" t="s">
        <v>195</v>
      </c>
      <c r="B253" t="s">
        <v>585</v>
      </c>
      <c r="C253">
        <v>2011</v>
      </c>
      <c r="D253">
        <v>0.71841390000000005</v>
      </c>
      <c r="E253" t="s">
        <v>1386</v>
      </c>
      <c r="F253">
        <v>6311.8406560000003</v>
      </c>
      <c r="G253">
        <v>6349.581889</v>
      </c>
      <c r="H253">
        <v>37.741233000000001</v>
      </c>
    </row>
    <row r="254" spans="1:10" x14ac:dyDescent="0.3">
      <c r="A254" t="s">
        <v>195</v>
      </c>
      <c r="B254" t="s">
        <v>585</v>
      </c>
      <c r="C254">
        <v>2012</v>
      </c>
      <c r="D254">
        <v>0.77833810000000003</v>
      </c>
      <c r="E254" t="s">
        <v>1386</v>
      </c>
      <c r="F254">
        <v>5783.0710719999997</v>
      </c>
      <c r="G254">
        <v>6385.8899609999999</v>
      </c>
      <c r="H254">
        <v>602.81888900000001</v>
      </c>
    </row>
    <row r="255" spans="1:10" x14ac:dyDescent="0.3">
      <c r="A255" t="s">
        <v>195</v>
      </c>
      <c r="B255" t="s">
        <v>585</v>
      </c>
      <c r="C255">
        <v>2013</v>
      </c>
      <c r="D255">
        <v>0.75294510000000003</v>
      </c>
      <c r="E255" t="s">
        <v>1386</v>
      </c>
      <c r="F255">
        <v>4750.7812899999999</v>
      </c>
      <c r="G255">
        <v>5370.3555909999995</v>
      </c>
      <c r="H255">
        <v>619.57430099999999</v>
      </c>
    </row>
    <row r="256" spans="1:10" x14ac:dyDescent="0.3">
      <c r="A256" t="s">
        <v>195</v>
      </c>
      <c r="B256" t="s">
        <v>585</v>
      </c>
      <c r="C256">
        <v>2014</v>
      </c>
      <c r="D256">
        <v>0.75272819999999996</v>
      </c>
      <c r="E256" t="s">
        <v>1386</v>
      </c>
      <c r="F256">
        <v>5400.6712989999996</v>
      </c>
      <c r="G256">
        <v>6433.355939</v>
      </c>
      <c r="H256">
        <v>1032.6846399999999</v>
      </c>
    </row>
    <row r="257" spans="1:8" x14ac:dyDescent="0.3">
      <c r="A257" t="s">
        <v>195</v>
      </c>
      <c r="B257" t="s">
        <v>585</v>
      </c>
      <c r="C257">
        <v>2015</v>
      </c>
      <c r="D257">
        <v>0.9012964</v>
      </c>
      <c r="E257" t="s">
        <v>1386</v>
      </c>
      <c r="F257">
        <v>4090.2870469999998</v>
      </c>
      <c r="G257">
        <v>5043.5154409999996</v>
      </c>
      <c r="H257">
        <v>953.22839499999998</v>
      </c>
    </row>
    <row r="258" spans="1:8" x14ac:dyDescent="0.3">
      <c r="A258" t="s">
        <v>195</v>
      </c>
      <c r="B258" t="s">
        <v>585</v>
      </c>
      <c r="C258">
        <v>2016</v>
      </c>
      <c r="D258">
        <v>0.90342149999999999</v>
      </c>
      <c r="E258" t="s">
        <v>1386</v>
      </c>
      <c r="F258">
        <v>3835.5009319199999</v>
      </c>
      <c r="G258">
        <v>4186.2490019999996</v>
      </c>
      <c r="H258">
        <v>350.74807056000003</v>
      </c>
    </row>
    <row r="259" spans="1:8" x14ac:dyDescent="0.3">
      <c r="A259" t="s">
        <v>195</v>
      </c>
      <c r="B259" t="s">
        <v>585</v>
      </c>
      <c r="C259">
        <v>2017</v>
      </c>
      <c r="D259">
        <v>0.88520549999999998</v>
      </c>
      <c r="E259" t="s">
        <v>1386</v>
      </c>
      <c r="F259">
        <v>7626.2665649999999</v>
      </c>
      <c r="G259">
        <v>8919.7336130000003</v>
      </c>
      <c r="H259">
        <v>1293.467048</v>
      </c>
    </row>
    <row r="260" spans="1:8" x14ac:dyDescent="0.3">
      <c r="A260" t="s">
        <v>195</v>
      </c>
      <c r="B260" t="s">
        <v>585</v>
      </c>
      <c r="C260">
        <v>2018</v>
      </c>
      <c r="D260">
        <v>0.84677270000000004</v>
      </c>
      <c r="E260" t="s">
        <v>1386</v>
      </c>
      <c r="F260">
        <v>8009.8575769999998</v>
      </c>
      <c r="G260">
        <v>9092.9365249999992</v>
      </c>
      <c r="H260">
        <v>1083.0789480000001</v>
      </c>
    </row>
    <row r="261" spans="1:8" x14ac:dyDescent="0.3">
      <c r="A261" t="s">
        <v>195</v>
      </c>
      <c r="B261" t="s">
        <v>585</v>
      </c>
      <c r="C261">
        <v>2019</v>
      </c>
      <c r="D261">
        <v>0.89327630000000002</v>
      </c>
      <c r="E261" t="s">
        <v>1386</v>
      </c>
      <c r="F261">
        <v>7340.7505469999996</v>
      </c>
      <c r="G261">
        <v>8193.2042259999998</v>
      </c>
      <c r="H261">
        <v>852.45367899999997</v>
      </c>
    </row>
    <row r="262" spans="1:8" x14ac:dyDescent="0.3">
      <c r="A262" t="s">
        <v>195</v>
      </c>
      <c r="B262" t="s">
        <v>585</v>
      </c>
      <c r="C262">
        <v>2020</v>
      </c>
      <c r="D262">
        <v>0.87550640000000002</v>
      </c>
      <c r="E262" t="s">
        <v>1386</v>
      </c>
      <c r="F262">
        <v>6572.0538619999998</v>
      </c>
      <c r="G262">
        <v>6949.4026530000001</v>
      </c>
      <c r="H262">
        <v>377.34879100000001</v>
      </c>
    </row>
    <row r="263" spans="1:8" x14ac:dyDescent="0.3">
      <c r="A263" t="s">
        <v>195</v>
      </c>
      <c r="B263" t="s">
        <v>585</v>
      </c>
      <c r="C263">
        <v>2021</v>
      </c>
      <c r="D263">
        <v>0.84549419999999997</v>
      </c>
      <c r="E263" t="s">
        <v>1386</v>
      </c>
      <c r="F263">
        <v>8760.5867309999994</v>
      </c>
      <c r="G263">
        <v>9594.4722039999997</v>
      </c>
      <c r="H263">
        <v>833.88547400000004</v>
      </c>
    </row>
    <row r="264" spans="1:8" x14ac:dyDescent="0.3">
      <c r="A264" t="s">
        <v>195</v>
      </c>
      <c r="B264" t="s">
        <v>585</v>
      </c>
      <c r="C264">
        <v>2022</v>
      </c>
      <c r="D264">
        <v>0.94962380000000002</v>
      </c>
      <c r="E264" t="s">
        <v>1386</v>
      </c>
      <c r="F264">
        <v>7245.5810890000002</v>
      </c>
      <c r="G264">
        <v>7807.2596080000003</v>
      </c>
      <c r="H264">
        <v>561.67852000000005</v>
      </c>
    </row>
    <row r="265" spans="1:8" x14ac:dyDescent="0.3">
      <c r="A265" t="s">
        <v>195</v>
      </c>
      <c r="B265" t="s">
        <v>585</v>
      </c>
      <c r="C265">
        <v>2023</v>
      </c>
      <c r="D265">
        <v>0.92483959999999998</v>
      </c>
      <c r="E265" t="s">
        <v>1386</v>
      </c>
      <c r="F265">
        <v>7358.6421039999996</v>
      </c>
      <c r="G265">
        <v>7990.8213249999999</v>
      </c>
      <c r="H265">
        <v>632.17922099999998</v>
      </c>
    </row>
    <row r="266" spans="1:8" x14ac:dyDescent="0.3">
      <c r="A266" t="s">
        <v>195</v>
      </c>
      <c r="B266" t="s">
        <v>585</v>
      </c>
      <c r="C266">
        <v>2024</v>
      </c>
      <c r="D266">
        <v>0.92388950000000003</v>
      </c>
      <c r="E266" t="s">
        <v>1386</v>
      </c>
      <c r="F266">
        <v>6800.686831</v>
      </c>
      <c r="G266">
        <v>7293.3912490000002</v>
      </c>
      <c r="H266">
        <v>492.70441799999998</v>
      </c>
    </row>
    <row r="267" spans="1:8" x14ac:dyDescent="0.3">
      <c r="A267" t="s">
        <v>220</v>
      </c>
      <c r="B267" t="s">
        <v>586</v>
      </c>
      <c r="C267">
        <v>2011</v>
      </c>
      <c r="D267">
        <v>1.6864950000000001</v>
      </c>
      <c r="E267" t="s">
        <v>1394</v>
      </c>
      <c r="F267">
        <v>272.42399999999998</v>
      </c>
      <c r="G267">
        <v>292.27</v>
      </c>
      <c r="H267">
        <v>19.846</v>
      </c>
    </row>
    <row r="268" spans="1:8" x14ac:dyDescent="0.3">
      <c r="A268" t="s">
        <v>220</v>
      </c>
      <c r="B268" t="s">
        <v>586</v>
      </c>
      <c r="C268">
        <v>2012</v>
      </c>
      <c r="D268">
        <v>1.6512579999999999</v>
      </c>
      <c r="E268" t="s">
        <v>1394</v>
      </c>
      <c r="F268">
        <v>2348.9360000000001</v>
      </c>
      <c r="G268">
        <v>4910.3680000000004</v>
      </c>
      <c r="H268">
        <v>2561.4319999999998</v>
      </c>
    </row>
    <row r="269" spans="1:8" x14ac:dyDescent="0.3">
      <c r="A269" t="s">
        <v>220</v>
      </c>
      <c r="B269" t="s">
        <v>586</v>
      </c>
      <c r="C269">
        <v>2013</v>
      </c>
      <c r="D269">
        <v>1.6633500000000001</v>
      </c>
      <c r="E269" t="s">
        <v>1394</v>
      </c>
      <c r="F269">
        <v>2419.2840000000001</v>
      </c>
      <c r="G269">
        <v>5059.7879999999996</v>
      </c>
      <c r="H269">
        <v>2640.5039999999999</v>
      </c>
    </row>
    <row r="270" spans="1:8" x14ac:dyDescent="0.3">
      <c r="A270" t="s">
        <v>220</v>
      </c>
      <c r="B270" t="s">
        <v>586</v>
      </c>
      <c r="C270">
        <v>2014</v>
      </c>
      <c r="D270">
        <v>1.7656670000000001</v>
      </c>
      <c r="E270" t="s">
        <v>1394</v>
      </c>
      <c r="F270">
        <v>2641.9720000000002</v>
      </c>
      <c r="G270">
        <v>5451.6030000000001</v>
      </c>
      <c r="H270">
        <v>2809.6309999999999</v>
      </c>
    </row>
    <row r="271" spans="1:8" x14ac:dyDescent="0.3">
      <c r="A271" t="s">
        <v>220</v>
      </c>
      <c r="B271" t="s">
        <v>586</v>
      </c>
      <c r="C271">
        <v>2015</v>
      </c>
      <c r="D271">
        <v>2.269342</v>
      </c>
      <c r="E271" t="s">
        <v>1394</v>
      </c>
      <c r="F271">
        <v>2556.6190000000001</v>
      </c>
      <c r="G271">
        <v>6280.5159999999996</v>
      </c>
      <c r="H271">
        <v>3723.8969999999999</v>
      </c>
    </row>
    <row r="272" spans="1:8" x14ac:dyDescent="0.3">
      <c r="A272" t="s">
        <v>220</v>
      </c>
      <c r="B272" t="s">
        <v>586</v>
      </c>
      <c r="C272">
        <v>2016</v>
      </c>
      <c r="D272">
        <v>2.3667250000000002</v>
      </c>
      <c r="E272" t="s">
        <v>1394</v>
      </c>
      <c r="F272">
        <v>2731.31</v>
      </c>
      <c r="G272">
        <v>6866.5349999999999</v>
      </c>
      <c r="H272">
        <v>4135.2250000000004</v>
      </c>
    </row>
    <row r="273" spans="1:8" x14ac:dyDescent="0.3">
      <c r="A273" t="s">
        <v>220</v>
      </c>
      <c r="B273" t="s">
        <v>586</v>
      </c>
      <c r="C273">
        <v>2017</v>
      </c>
      <c r="D273">
        <v>2.5095420000000002</v>
      </c>
      <c r="E273" t="s">
        <v>1394</v>
      </c>
      <c r="F273">
        <v>2292.105</v>
      </c>
      <c r="G273">
        <v>6336.82</v>
      </c>
      <c r="H273">
        <v>4044.7150000000001</v>
      </c>
    </row>
    <row r="274" spans="1:8" x14ac:dyDescent="0.3">
      <c r="A274" t="s">
        <v>220</v>
      </c>
      <c r="B274" t="s">
        <v>586</v>
      </c>
      <c r="C274">
        <v>2018</v>
      </c>
      <c r="D274">
        <v>2.5341109999999998</v>
      </c>
      <c r="E274" t="s">
        <v>1394</v>
      </c>
      <c r="F274">
        <v>1770.8979999999999</v>
      </c>
      <c r="G274">
        <v>5814.5730000000003</v>
      </c>
      <c r="H274">
        <v>4043.6750000000002</v>
      </c>
    </row>
    <row r="275" spans="1:8" x14ac:dyDescent="0.3">
      <c r="A275" t="s">
        <v>220</v>
      </c>
      <c r="B275" t="s">
        <v>586</v>
      </c>
      <c r="C275">
        <v>2019</v>
      </c>
      <c r="D275">
        <v>2.8181449999999999</v>
      </c>
      <c r="E275" t="s">
        <v>1394</v>
      </c>
      <c r="F275">
        <v>1938.972</v>
      </c>
      <c r="G275">
        <v>6036.5879999999997</v>
      </c>
      <c r="H275">
        <v>4097.616</v>
      </c>
    </row>
    <row r="276" spans="1:8" x14ac:dyDescent="0.3">
      <c r="A276" t="s">
        <v>220</v>
      </c>
      <c r="B276" t="s">
        <v>586</v>
      </c>
      <c r="C276">
        <v>2020</v>
      </c>
      <c r="D276">
        <v>3.1090170000000001</v>
      </c>
      <c r="E276" t="s">
        <v>1394</v>
      </c>
      <c r="F276">
        <v>1426.4280000000001</v>
      </c>
      <c r="G276">
        <v>4600.4679999999998</v>
      </c>
      <c r="H276">
        <v>3174.04</v>
      </c>
    </row>
    <row r="277" spans="1:8" x14ac:dyDescent="0.3">
      <c r="A277" t="s">
        <v>220</v>
      </c>
      <c r="B277" t="s">
        <v>586</v>
      </c>
      <c r="C277">
        <v>2021</v>
      </c>
      <c r="D277">
        <v>3.2215579999999999</v>
      </c>
      <c r="E277" t="s">
        <v>1394</v>
      </c>
      <c r="F277">
        <v>1591.0640000000001</v>
      </c>
      <c r="G277">
        <v>4517.201</v>
      </c>
      <c r="H277">
        <v>2926.1370000000002</v>
      </c>
    </row>
    <row r="278" spans="1:8" x14ac:dyDescent="0.3">
      <c r="A278" t="s">
        <v>220</v>
      </c>
      <c r="B278" t="s">
        <v>586</v>
      </c>
      <c r="C278">
        <v>2022</v>
      </c>
      <c r="D278">
        <v>2.9161999999999999</v>
      </c>
      <c r="E278" t="s">
        <v>1394</v>
      </c>
      <c r="F278">
        <v>189.06700000000001</v>
      </c>
      <c r="G278">
        <v>335.98700000000002</v>
      </c>
      <c r="H278">
        <v>146.91999999999999</v>
      </c>
    </row>
    <row r="279" spans="1:8" x14ac:dyDescent="0.3">
      <c r="A279" t="s">
        <v>220</v>
      </c>
      <c r="B279" t="s">
        <v>586</v>
      </c>
      <c r="C279">
        <v>2023</v>
      </c>
      <c r="D279">
        <v>2.627958</v>
      </c>
      <c r="E279" t="s">
        <v>1394</v>
      </c>
      <c r="F279">
        <v>389.274</v>
      </c>
      <c r="G279">
        <v>543.03300000000002</v>
      </c>
      <c r="H279">
        <v>153.75899999999999</v>
      </c>
    </row>
    <row r="280" spans="1:8" x14ac:dyDescent="0.3">
      <c r="A280" t="s">
        <v>220</v>
      </c>
      <c r="B280" t="s">
        <v>586</v>
      </c>
      <c r="C280">
        <v>2024</v>
      </c>
      <c r="D280">
        <v>2.7206169999999998</v>
      </c>
      <c r="E280" t="s">
        <v>1394</v>
      </c>
      <c r="F280">
        <v>384.81</v>
      </c>
      <c r="G280">
        <v>499.10700000000003</v>
      </c>
      <c r="H280">
        <v>114.297</v>
      </c>
    </row>
    <row r="281" spans="1:8" x14ac:dyDescent="0.3">
      <c r="A281" t="s">
        <v>224</v>
      </c>
      <c r="B281" t="s">
        <v>587</v>
      </c>
      <c r="C281">
        <v>2017</v>
      </c>
      <c r="D281">
        <v>0.88520549999999998</v>
      </c>
      <c r="E281" t="s">
        <v>1386</v>
      </c>
      <c r="F281">
        <v>23827.885999999999</v>
      </c>
      <c r="G281">
        <v>23862.596000000001</v>
      </c>
      <c r="H281">
        <v>34.71</v>
      </c>
    </row>
    <row r="282" spans="1:8" x14ac:dyDescent="0.3">
      <c r="A282" t="s">
        <v>224</v>
      </c>
      <c r="B282" t="s">
        <v>587</v>
      </c>
      <c r="C282">
        <v>2018</v>
      </c>
      <c r="D282">
        <v>0.84677270000000004</v>
      </c>
      <c r="E282" t="s">
        <v>1386</v>
      </c>
      <c r="F282">
        <v>23575.744999999999</v>
      </c>
      <c r="G282">
        <v>23577.213</v>
      </c>
      <c r="H282">
        <v>1.4690000000000001</v>
      </c>
    </row>
    <row r="283" spans="1:8" x14ac:dyDescent="0.3">
      <c r="A283" t="s">
        <v>224</v>
      </c>
      <c r="B283" t="s">
        <v>587</v>
      </c>
      <c r="C283">
        <v>2019</v>
      </c>
      <c r="D283">
        <v>0.89327630000000002</v>
      </c>
      <c r="E283" t="s">
        <v>1386</v>
      </c>
      <c r="F283">
        <v>23223.175999999999</v>
      </c>
      <c r="G283">
        <v>23225.427</v>
      </c>
      <c r="H283">
        <v>2.2519999999999998</v>
      </c>
    </row>
    <row r="284" spans="1:8" x14ac:dyDescent="0.3">
      <c r="A284" t="s">
        <v>224</v>
      </c>
      <c r="B284" t="s">
        <v>587</v>
      </c>
      <c r="C284">
        <v>2020</v>
      </c>
      <c r="D284">
        <v>0.87550640000000002</v>
      </c>
      <c r="E284" t="s">
        <v>1386</v>
      </c>
      <c r="F284">
        <v>22831.277999999998</v>
      </c>
      <c r="G284">
        <v>22833.093000000001</v>
      </c>
      <c r="H284">
        <v>1.8149999999999999</v>
      </c>
    </row>
    <row r="285" spans="1:8" x14ac:dyDescent="0.3">
      <c r="A285" t="s">
        <v>224</v>
      </c>
      <c r="B285" t="s">
        <v>587</v>
      </c>
      <c r="C285">
        <v>2021</v>
      </c>
      <c r="D285">
        <v>0.84549419999999997</v>
      </c>
      <c r="E285" t="s">
        <v>1386</v>
      </c>
      <c r="F285">
        <v>22036.214</v>
      </c>
      <c r="G285">
        <v>22038.566999999999</v>
      </c>
      <c r="H285">
        <v>2.3530000000000002</v>
      </c>
    </row>
    <row r="286" spans="1:8" x14ac:dyDescent="0.3">
      <c r="A286" t="s">
        <v>224</v>
      </c>
      <c r="B286" t="s">
        <v>587</v>
      </c>
      <c r="C286">
        <v>2022</v>
      </c>
      <c r="D286">
        <v>0.94962380000000002</v>
      </c>
      <c r="E286" t="s">
        <v>1386</v>
      </c>
      <c r="F286">
        <v>21685.77</v>
      </c>
      <c r="G286">
        <v>21688.137999999999</v>
      </c>
      <c r="H286">
        <v>2.3679999999999999</v>
      </c>
    </row>
    <row r="287" spans="1:8" x14ac:dyDescent="0.3">
      <c r="A287" t="s">
        <v>224</v>
      </c>
      <c r="B287" t="s">
        <v>587</v>
      </c>
      <c r="C287">
        <v>2023</v>
      </c>
      <c r="D287">
        <v>0.92483959999999998</v>
      </c>
      <c r="E287" t="s">
        <v>1386</v>
      </c>
      <c r="F287">
        <v>21408.895</v>
      </c>
      <c r="G287">
        <v>21411.768</v>
      </c>
      <c r="H287">
        <v>2.8730000000000002</v>
      </c>
    </row>
    <row r="288" spans="1:8" x14ac:dyDescent="0.3">
      <c r="A288" t="s">
        <v>224</v>
      </c>
      <c r="B288" t="s">
        <v>587</v>
      </c>
      <c r="C288">
        <v>2024</v>
      </c>
      <c r="D288">
        <v>0.92388950000000003</v>
      </c>
      <c r="E288" t="s">
        <v>1386</v>
      </c>
      <c r="F288">
        <v>21013.844000000001</v>
      </c>
      <c r="G288">
        <v>21017.667000000001</v>
      </c>
      <c r="H288">
        <v>3.823</v>
      </c>
    </row>
    <row r="289" spans="1:7" x14ac:dyDescent="0.3">
      <c r="A289" t="s">
        <v>228</v>
      </c>
      <c r="B289" t="s">
        <v>864</v>
      </c>
      <c r="C289">
        <v>2013</v>
      </c>
      <c r="E289" t="s">
        <v>1385</v>
      </c>
      <c r="G289">
        <v>128.12593899999999</v>
      </c>
    </row>
    <row r="290" spans="1:7" x14ac:dyDescent="0.3">
      <c r="A290" t="s">
        <v>228</v>
      </c>
      <c r="B290" t="s">
        <v>864</v>
      </c>
      <c r="C290">
        <v>2014</v>
      </c>
      <c r="E290" t="s">
        <v>1385</v>
      </c>
      <c r="G290">
        <v>248.91521700000001</v>
      </c>
    </row>
    <row r="291" spans="1:7" x14ac:dyDescent="0.3">
      <c r="A291" t="s">
        <v>228</v>
      </c>
      <c r="B291" t="s">
        <v>864</v>
      </c>
      <c r="C291">
        <v>2015</v>
      </c>
      <c r="E291" t="s">
        <v>1385</v>
      </c>
      <c r="G291">
        <v>259.38346999999999</v>
      </c>
    </row>
    <row r="292" spans="1:7" x14ac:dyDescent="0.3">
      <c r="A292" t="s">
        <v>228</v>
      </c>
      <c r="B292" t="s">
        <v>864</v>
      </c>
      <c r="C292">
        <v>2016</v>
      </c>
      <c r="E292" t="s">
        <v>1385</v>
      </c>
      <c r="G292">
        <v>276.962289</v>
      </c>
    </row>
    <row r="293" spans="1:7" x14ac:dyDescent="0.3">
      <c r="A293" t="s">
        <v>228</v>
      </c>
      <c r="B293" t="s">
        <v>864</v>
      </c>
      <c r="C293">
        <v>2017</v>
      </c>
      <c r="E293" t="s">
        <v>1385</v>
      </c>
      <c r="G293">
        <v>344.79265900000001</v>
      </c>
    </row>
    <row r="294" spans="1:7" x14ac:dyDescent="0.3">
      <c r="A294" t="s">
        <v>228</v>
      </c>
      <c r="B294" t="s">
        <v>864</v>
      </c>
      <c r="C294">
        <v>2018</v>
      </c>
      <c r="E294" t="s">
        <v>1385</v>
      </c>
      <c r="G294">
        <v>485.17243300000001</v>
      </c>
    </row>
    <row r="295" spans="1:7" x14ac:dyDescent="0.3">
      <c r="A295" t="s">
        <v>228</v>
      </c>
      <c r="B295" t="s">
        <v>864</v>
      </c>
      <c r="C295">
        <v>2019</v>
      </c>
      <c r="E295" t="s">
        <v>1385</v>
      </c>
      <c r="G295">
        <v>579.61232900000005</v>
      </c>
    </row>
    <row r="296" spans="1:7" x14ac:dyDescent="0.3">
      <c r="A296" t="s">
        <v>228</v>
      </c>
      <c r="B296" t="s">
        <v>864</v>
      </c>
      <c r="C296">
        <v>2020</v>
      </c>
      <c r="E296" t="s">
        <v>1385</v>
      </c>
      <c r="G296">
        <v>644.78718700000002</v>
      </c>
    </row>
    <row r="297" spans="1:7" x14ac:dyDescent="0.3">
      <c r="A297" t="s">
        <v>228</v>
      </c>
      <c r="B297" t="s">
        <v>864</v>
      </c>
      <c r="C297">
        <v>2021</v>
      </c>
      <c r="E297" t="s">
        <v>1385</v>
      </c>
      <c r="G297">
        <v>726.53795100000002</v>
      </c>
    </row>
    <row r="298" spans="1:7" x14ac:dyDescent="0.3">
      <c r="A298" t="s">
        <v>228</v>
      </c>
      <c r="B298" t="s">
        <v>864</v>
      </c>
      <c r="C298">
        <v>2022</v>
      </c>
      <c r="E298" t="s">
        <v>1385</v>
      </c>
      <c r="G298">
        <v>918.22345199999995</v>
      </c>
    </row>
    <row r="299" spans="1:7" x14ac:dyDescent="0.3">
      <c r="A299" t="s">
        <v>228</v>
      </c>
      <c r="B299" t="s">
        <v>864</v>
      </c>
      <c r="C299">
        <v>2023</v>
      </c>
      <c r="E299" t="s">
        <v>1385</v>
      </c>
      <c r="G299">
        <v>1046.3764060000001</v>
      </c>
    </row>
    <row r="300" spans="1:7" x14ac:dyDescent="0.3">
      <c r="A300" t="s">
        <v>228</v>
      </c>
      <c r="B300" t="s">
        <v>864</v>
      </c>
      <c r="C300">
        <v>2024</v>
      </c>
      <c r="E300" t="s">
        <v>1385</v>
      </c>
      <c r="G300">
        <v>1258.8600220000001</v>
      </c>
    </row>
    <row r="301" spans="1:7" x14ac:dyDescent="0.3">
      <c r="A301" t="s">
        <v>228</v>
      </c>
      <c r="B301" t="s">
        <v>864</v>
      </c>
      <c r="C301">
        <v>2013</v>
      </c>
      <c r="E301" t="s">
        <v>1385</v>
      </c>
      <c r="G301">
        <v>319.03415000000001</v>
      </c>
    </row>
    <row r="302" spans="1:7" x14ac:dyDescent="0.3">
      <c r="A302" t="s">
        <v>228</v>
      </c>
      <c r="B302" t="s">
        <v>864</v>
      </c>
      <c r="C302">
        <v>2014</v>
      </c>
      <c r="E302" t="s">
        <v>1385</v>
      </c>
      <c r="G302">
        <v>286.64404100000002</v>
      </c>
    </row>
    <row r="303" spans="1:7" x14ac:dyDescent="0.3">
      <c r="A303" t="s">
        <v>228</v>
      </c>
      <c r="B303" t="s">
        <v>864</v>
      </c>
      <c r="C303">
        <v>2015</v>
      </c>
      <c r="E303" t="s">
        <v>1385</v>
      </c>
      <c r="G303">
        <v>177.39612399999999</v>
      </c>
    </row>
    <row r="304" spans="1:7" x14ac:dyDescent="0.3">
      <c r="A304" t="s">
        <v>228</v>
      </c>
      <c r="B304" t="s">
        <v>864</v>
      </c>
      <c r="C304">
        <v>2016</v>
      </c>
      <c r="E304" t="s">
        <v>1385</v>
      </c>
      <c r="G304">
        <v>207.748661</v>
      </c>
    </row>
    <row r="305" spans="1:8" x14ac:dyDescent="0.3">
      <c r="A305" t="s">
        <v>228</v>
      </c>
      <c r="B305" t="s">
        <v>864</v>
      </c>
      <c r="C305">
        <v>2017</v>
      </c>
      <c r="E305" t="s">
        <v>1385</v>
      </c>
      <c r="G305">
        <v>353.05203499999999</v>
      </c>
    </row>
    <row r="306" spans="1:8" x14ac:dyDescent="0.3">
      <c r="A306" t="s">
        <v>228</v>
      </c>
      <c r="B306" t="s">
        <v>864</v>
      </c>
      <c r="C306">
        <v>2018</v>
      </c>
      <c r="E306" t="s">
        <v>1385</v>
      </c>
      <c r="G306">
        <v>381.20322900000002</v>
      </c>
    </row>
    <row r="307" spans="1:8" x14ac:dyDescent="0.3">
      <c r="A307" t="s">
        <v>228</v>
      </c>
      <c r="B307" t="s">
        <v>864</v>
      </c>
      <c r="C307">
        <v>2019</v>
      </c>
      <c r="E307" t="s">
        <v>1385</v>
      </c>
      <c r="G307">
        <v>388.59194200000002</v>
      </c>
    </row>
    <row r="308" spans="1:8" x14ac:dyDescent="0.3">
      <c r="A308" t="s">
        <v>228</v>
      </c>
      <c r="B308" t="s">
        <v>864</v>
      </c>
      <c r="C308">
        <v>2020</v>
      </c>
      <c r="E308" t="s">
        <v>1385</v>
      </c>
      <c r="G308">
        <v>199.98912100000001</v>
      </c>
    </row>
    <row r="309" spans="1:8" x14ac:dyDescent="0.3">
      <c r="A309" t="s">
        <v>228</v>
      </c>
      <c r="B309" t="s">
        <v>864</v>
      </c>
      <c r="C309">
        <v>2021</v>
      </c>
      <c r="E309" t="s">
        <v>1385</v>
      </c>
      <c r="G309">
        <v>244.88835900000001</v>
      </c>
    </row>
    <row r="310" spans="1:8" x14ac:dyDescent="0.3">
      <c r="A310" t="s">
        <v>228</v>
      </c>
      <c r="B310" t="s">
        <v>864</v>
      </c>
      <c r="C310">
        <v>2022</v>
      </c>
      <c r="E310" t="s">
        <v>1385</v>
      </c>
      <c r="G310">
        <v>143.66156699999999</v>
      </c>
    </row>
    <row r="311" spans="1:8" x14ac:dyDescent="0.3">
      <c r="A311" t="s">
        <v>228</v>
      </c>
      <c r="B311" t="s">
        <v>864</v>
      </c>
      <c r="C311">
        <v>2023</v>
      </c>
      <c r="E311" t="s">
        <v>1385</v>
      </c>
      <c r="G311">
        <v>190.38144399999999</v>
      </c>
    </row>
    <row r="312" spans="1:8" x14ac:dyDescent="0.3">
      <c r="A312" t="s">
        <v>228</v>
      </c>
      <c r="B312" t="s">
        <v>864</v>
      </c>
      <c r="C312">
        <v>2024</v>
      </c>
      <c r="E312" t="s">
        <v>1385</v>
      </c>
      <c r="G312">
        <v>196.91518199999999</v>
      </c>
    </row>
    <row r="313" spans="1:8" x14ac:dyDescent="0.3">
      <c r="A313" t="s">
        <v>241</v>
      </c>
      <c r="B313" t="s">
        <v>588</v>
      </c>
      <c r="C313">
        <v>2016</v>
      </c>
      <c r="D313">
        <v>0.90342149999999999</v>
      </c>
      <c r="E313" t="s">
        <v>1386</v>
      </c>
      <c r="F313">
        <v>467.81227699999999</v>
      </c>
      <c r="G313">
        <v>949.26595099999997</v>
      </c>
      <c r="H313">
        <v>663.39484500000003</v>
      </c>
    </row>
    <row r="314" spans="1:8" x14ac:dyDescent="0.3">
      <c r="A314" t="s">
        <v>241</v>
      </c>
      <c r="B314" t="s">
        <v>588</v>
      </c>
      <c r="C314">
        <v>2017</v>
      </c>
      <c r="D314">
        <v>0.88520549999999998</v>
      </c>
      <c r="E314" t="s">
        <v>1386</v>
      </c>
      <c r="F314">
        <v>905.73303099999998</v>
      </c>
      <c r="G314">
        <v>1298.33456</v>
      </c>
      <c r="H314">
        <v>1037.687539</v>
      </c>
    </row>
    <row r="315" spans="1:8" x14ac:dyDescent="0.3">
      <c r="A315" t="s">
        <v>241</v>
      </c>
      <c r="B315" t="s">
        <v>588</v>
      </c>
      <c r="C315">
        <v>2018</v>
      </c>
      <c r="D315">
        <v>0.84677270000000004</v>
      </c>
      <c r="E315" t="s">
        <v>1386</v>
      </c>
      <c r="F315">
        <v>3540.728552</v>
      </c>
      <c r="G315">
        <v>5583.0865569999996</v>
      </c>
      <c r="H315">
        <v>4312.280229</v>
      </c>
    </row>
    <row r="316" spans="1:8" x14ac:dyDescent="0.3">
      <c r="A316" t="s">
        <v>241</v>
      </c>
      <c r="B316" t="s">
        <v>588</v>
      </c>
      <c r="C316">
        <v>2019</v>
      </c>
      <c r="D316">
        <v>0.89327630000000002</v>
      </c>
      <c r="E316" t="s">
        <v>1386</v>
      </c>
      <c r="F316">
        <v>3708.5149259999998</v>
      </c>
      <c r="G316">
        <v>5785.7096659999997</v>
      </c>
      <c r="H316">
        <v>4522.2862670000004</v>
      </c>
    </row>
    <row r="317" spans="1:8" x14ac:dyDescent="0.3">
      <c r="A317" t="s">
        <v>241</v>
      </c>
      <c r="B317" t="s">
        <v>588</v>
      </c>
      <c r="C317">
        <v>2020</v>
      </c>
      <c r="D317">
        <v>0.87550640000000002</v>
      </c>
      <c r="E317" t="s">
        <v>1386</v>
      </c>
      <c r="F317">
        <v>3886.5775760000001</v>
      </c>
      <c r="G317">
        <v>6069.1203429999996</v>
      </c>
      <c r="H317">
        <v>4913.9730950000003</v>
      </c>
    </row>
    <row r="318" spans="1:8" x14ac:dyDescent="0.3">
      <c r="A318" t="s">
        <v>241</v>
      </c>
      <c r="B318" t="s">
        <v>588</v>
      </c>
      <c r="C318">
        <v>2021</v>
      </c>
      <c r="D318">
        <v>0.84549419999999997</v>
      </c>
      <c r="E318" t="s">
        <v>1386</v>
      </c>
      <c r="F318">
        <v>4323.5831559999997</v>
      </c>
      <c r="G318">
        <v>7267.7562289999996</v>
      </c>
      <c r="H318">
        <v>5380.2970530000002</v>
      </c>
    </row>
    <row r="319" spans="1:8" x14ac:dyDescent="0.3">
      <c r="A319" t="s">
        <v>241</v>
      </c>
      <c r="B319" t="s">
        <v>588</v>
      </c>
      <c r="C319">
        <v>2022</v>
      </c>
      <c r="D319">
        <v>0.94962380000000002</v>
      </c>
      <c r="E319" t="s">
        <v>1386</v>
      </c>
      <c r="F319">
        <v>3915.2089569999998</v>
      </c>
      <c r="G319">
        <v>7131.8613500000001</v>
      </c>
      <c r="H319">
        <v>5176.4736350000003</v>
      </c>
    </row>
    <row r="320" spans="1:8" x14ac:dyDescent="0.3">
      <c r="A320" t="s">
        <v>241</v>
      </c>
      <c r="B320" t="s">
        <v>588</v>
      </c>
      <c r="C320">
        <v>2023</v>
      </c>
      <c r="D320">
        <v>0.92483959999999998</v>
      </c>
      <c r="E320" t="s">
        <v>1386</v>
      </c>
      <c r="F320">
        <v>3766.2029050000001</v>
      </c>
      <c r="G320">
        <v>6060.6513210000003</v>
      </c>
      <c r="H320">
        <v>4824.4819850000003</v>
      </c>
    </row>
    <row r="321" spans="1:8" x14ac:dyDescent="0.3">
      <c r="A321" t="s">
        <v>241</v>
      </c>
      <c r="B321" t="s">
        <v>588</v>
      </c>
      <c r="C321">
        <v>2024</v>
      </c>
      <c r="D321">
        <v>0.92388950000000003</v>
      </c>
      <c r="E321" t="s">
        <v>1386</v>
      </c>
      <c r="F321">
        <v>6113.6939570000004</v>
      </c>
      <c r="G321">
        <v>8032.4285959999997</v>
      </c>
      <c r="H321">
        <v>7463.9745990000001</v>
      </c>
    </row>
    <row r="322" spans="1:8" x14ac:dyDescent="0.3">
      <c r="A322" t="s">
        <v>246</v>
      </c>
      <c r="B322" t="s">
        <v>589</v>
      </c>
      <c r="C322">
        <v>2020</v>
      </c>
      <c r="D322">
        <v>208.5</v>
      </c>
      <c r="E322" t="s">
        <v>1395</v>
      </c>
      <c r="F322">
        <v>41348.595000000001</v>
      </c>
      <c r="G322">
        <v>41348.595000000001</v>
      </c>
    </row>
    <row r="323" spans="1:8" x14ac:dyDescent="0.3">
      <c r="A323" t="s">
        <v>246</v>
      </c>
      <c r="B323" t="s">
        <v>589</v>
      </c>
      <c r="C323">
        <v>2021</v>
      </c>
      <c r="D323">
        <v>208.5</v>
      </c>
      <c r="E323" t="s">
        <v>1395</v>
      </c>
      <c r="F323">
        <v>126694.31</v>
      </c>
      <c r="G323">
        <v>126694.31</v>
      </c>
    </row>
    <row r="324" spans="1:8" x14ac:dyDescent="0.3">
      <c r="A324" t="s">
        <v>246</v>
      </c>
      <c r="B324" t="s">
        <v>589</v>
      </c>
      <c r="C324">
        <v>2022</v>
      </c>
      <c r="D324">
        <v>208.5</v>
      </c>
      <c r="E324" t="s">
        <v>1395</v>
      </c>
      <c r="F324">
        <v>298041.09399999998</v>
      </c>
      <c r="G324">
        <v>298041.09399999998</v>
      </c>
    </row>
    <row r="325" spans="1:8" x14ac:dyDescent="0.3">
      <c r="A325" t="s">
        <v>246</v>
      </c>
      <c r="B325" t="s">
        <v>589</v>
      </c>
      <c r="C325">
        <v>2023</v>
      </c>
      <c r="D325">
        <v>208.5</v>
      </c>
      <c r="E325" t="s">
        <v>1395</v>
      </c>
      <c r="F325">
        <v>442516.13400000002</v>
      </c>
      <c r="G325">
        <v>442516.13400000002</v>
      </c>
    </row>
    <row r="326" spans="1:8" x14ac:dyDescent="0.3">
      <c r="A326" t="s">
        <v>246</v>
      </c>
      <c r="B326" t="s">
        <v>589</v>
      </c>
      <c r="C326">
        <v>2024</v>
      </c>
      <c r="D326">
        <v>208.5</v>
      </c>
      <c r="E326" t="s">
        <v>1395</v>
      </c>
      <c r="F326">
        <v>676725.56799999997</v>
      </c>
      <c r="G326">
        <v>676725.56799999997</v>
      </c>
    </row>
    <row r="327" spans="1:8" x14ac:dyDescent="0.3">
      <c r="A327" t="s">
        <v>274</v>
      </c>
      <c r="B327" t="s">
        <v>590</v>
      </c>
      <c r="C327">
        <v>2001</v>
      </c>
      <c r="D327">
        <v>1.116533</v>
      </c>
      <c r="E327" t="s">
        <v>1386</v>
      </c>
      <c r="F327">
        <v>7714.5914350000003</v>
      </c>
    </row>
    <row r="328" spans="1:8" x14ac:dyDescent="0.3">
      <c r="A328" t="s">
        <v>274</v>
      </c>
      <c r="B328" t="s">
        <v>590</v>
      </c>
      <c r="C328">
        <v>2002</v>
      </c>
      <c r="D328">
        <v>1.0575589999999999</v>
      </c>
      <c r="E328" t="s">
        <v>1386</v>
      </c>
      <c r="F328">
        <v>7425.667606</v>
      </c>
    </row>
    <row r="329" spans="1:8" x14ac:dyDescent="0.3">
      <c r="A329" t="s">
        <v>274</v>
      </c>
      <c r="B329" t="s">
        <v>590</v>
      </c>
      <c r="C329">
        <v>2003</v>
      </c>
      <c r="D329">
        <v>0.8840479</v>
      </c>
      <c r="E329" t="s">
        <v>1386</v>
      </c>
      <c r="F329">
        <v>9560.8485490000003</v>
      </c>
    </row>
    <row r="330" spans="1:8" x14ac:dyDescent="0.3">
      <c r="A330" t="s">
        <v>274</v>
      </c>
      <c r="B330" t="s">
        <v>590</v>
      </c>
      <c r="C330">
        <v>2004</v>
      </c>
      <c r="D330">
        <v>0.80392160000000001</v>
      </c>
      <c r="E330" t="s">
        <v>1386</v>
      </c>
      <c r="F330">
        <v>11688.997511</v>
      </c>
    </row>
    <row r="331" spans="1:8" x14ac:dyDescent="0.3">
      <c r="A331" t="s">
        <v>274</v>
      </c>
      <c r="B331" t="s">
        <v>590</v>
      </c>
      <c r="C331">
        <v>2005</v>
      </c>
      <c r="D331">
        <v>0.80380019999999996</v>
      </c>
      <c r="E331" t="s">
        <v>1386</v>
      </c>
      <c r="F331">
        <v>15418.630827000001</v>
      </c>
    </row>
    <row r="332" spans="1:8" x14ac:dyDescent="0.3">
      <c r="A332" t="s">
        <v>274</v>
      </c>
      <c r="B332" t="s">
        <v>590</v>
      </c>
      <c r="C332">
        <v>2006</v>
      </c>
      <c r="D332">
        <v>0.79643269999999999</v>
      </c>
      <c r="E332" t="s">
        <v>1386</v>
      </c>
      <c r="F332">
        <v>18899.802443</v>
      </c>
    </row>
    <row r="333" spans="1:8" x14ac:dyDescent="0.3">
      <c r="A333" t="s">
        <v>274</v>
      </c>
      <c r="B333" t="s">
        <v>590</v>
      </c>
      <c r="C333">
        <v>2007</v>
      </c>
      <c r="D333">
        <v>0.7296724</v>
      </c>
      <c r="E333" t="s">
        <v>1386</v>
      </c>
      <c r="F333">
        <v>21152.946562000001</v>
      </c>
    </row>
    <row r="334" spans="1:8" x14ac:dyDescent="0.3">
      <c r="A334" t="s">
        <v>274</v>
      </c>
      <c r="B334" t="s">
        <v>590</v>
      </c>
      <c r="C334">
        <v>2008</v>
      </c>
      <c r="D334">
        <v>0.67992269999999999</v>
      </c>
      <c r="E334" t="s">
        <v>1386</v>
      </c>
      <c r="F334">
        <v>16142.116969999999</v>
      </c>
    </row>
    <row r="335" spans="1:8" x14ac:dyDescent="0.3">
      <c r="A335" t="s">
        <v>274</v>
      </c>
      <c r="B335" t="s">
        <v>590</v>
      </c>
      <c r="C335">
        <v>2009</v>
      </c>
      <c r="D335">
        <v>0.71695770000000003</v>
      </c>
      <c r="E335" t="s">
        <v>1386</v>
      </c>
      <c r="F335">
        <v>22335.499754</v>
      </c>
    </row>
    <row r="336" spans="1:8" x14ac:dyDescent="0.3">
      <c r="A336" t="s">
        <v>274</v>
      </c>
      <c r="B336" t="s">
        <v>590</v>
      </c>
      <c r="C336">
        <v>2010</v>
      </c>
      <c r="D336">
        <v>0.75430900000000001</v>
      </c>
      <c r="E336" t="s">
        <v>1386</v>
      </c>
      <c r="F336">
        <v>22686.746999999999</v>
      </c>
    </row>
    <row r="337" spans="1:8" x14ac:dyDescent="0.3">
      <c r="A337" t="s">
        <v>274</v>
      </c>
      <c r="B337" t="s">
        <v>590</v>
      </c>
      <c r="C337">
        <v>2011</v>
      </c>
      <c r="D337">
        <v>0.71841390000000005</v>
      </c>
      <c r="E337" t="s">
        <v>1386</v>
      </c>
      <c r="F337">
        <v>13415</v>
      </c>
    </row>
    <row r="338" spans="1:8" x14ac:dyDescent="0.3">
      <c r="A338" t="s">
        <v>274</v>
      </c>
      <c r="B338" t="s">
        <v>590</v>
      </c>
      <c r="C338">
        <v>2012</v>
      </c>
      <c r="D338">
        <v>0.77833810000000003</v>
      </c>
      <c r="E338" t="s">
        <v>1386</v>
      </c>
      <c r="F338">
        <v>14684</v>
      </c>
    </row>
    <row r="339" spans="1:8" x14ac:dyDescent="0.3">
      <c r="A339" t="s">
        <v>274</v>
      </c>
      <c r="B339" t="s">
        <v>590</v>
      </c>
      <c r="C339">
        <v>2013</v>
      </c>
      <c r="D339">
        <v>0.75294510000000003</v>
      </c>
      <c r="E339" t="s">
        <v>1386</v>
      </c>
      <c r="F339">
        <v>19877</v>
      </c>
    </row>
    <row r="340" spans="1:8" x14ac:dyDescent="0.3">
      <c r="A340" t="s">
        <v>274</v>
      </c>
      <c r="B340" t="s">
        <v>590</v>
      </c>
      <c r="C340">
        <v>2014</v>
      </c>
      <c r="D340">
        <v>0.75272819999999996</v>
      </c>
      <c r="E340" t="s">
        <v>1386</v>
      </c>
      <c r="F340">
        <v>22169</v>
      </c>
      <c r="G340">
        <v>22229</v>
      </c>
      <c r="H340">
        <v>60</v>
      </c>
    </row>
    <row r="341" spans="1:8" x14ac:dyDescent="0.3">
      <c r="A341" t="s">
        <v>274</v>
      </c>
      <c r="B341" t="s">
        <v>590</v>
      </c>
      <c r="C341">
        <v>2015</v>
      </c>
      <c r="D341">
        <v>0.9012964</v>
      </c>
      <c r="E341" t="s">
        <v>1386</v>
      </c>
      <c r="F341">
        <v>21858</v>
      </c>
      <c r="G341">
        <v>21879</v>
      </c>
      <c r="H341">
        <v>21</v>
      </c>
    </row>
    <row r="342" spans="1:8" x14ac:dyDescent="0.3">
      <c r="A342" t="s">
        <v>274</v>
      </c>
      <c r="B342" t="s">
        <v>590</v>
      </c>
      <c r="C342">
        <v>2016</v>
      </c>
      <c r="D342">
        <v>0.90342149999999999</v>
      </c>
      <c r="E342" t="s">
        <v>1386</v>
      </c>
      <c r="F342">
        <v>20982</v>
      </c>
      <c r="G342">
        <v>21048</v>
      </c>
      <c r="H342">
        <v>66</v>
      </c>
    </row>
    <row r="343" spans="1:8" x14ac:dyDescent="0.3">
      <c r="A343" t="s">
        <v>274</v>
      </c>
      <c r="B343" t="s">
        <v>590</v>
      </c>
      <c r="C343">
        <v>2017</v>
      </c>
      <c r="D343">
        <v>0.88520549999999998</v>
      </c>
      <c r="E343" t="s">
        <v>1386</v>
      </c>
      <c r="F343">
        <v>20438</v>
      </c>
      <c r="G343">
        <v>20471</v>
      </c>
      <c r="H343">
        <v>33</v>
      </c>
    </row>
    <row r="344" spans="1:8" x14ac:dyDescent="0.3">
      <c r="A344" t="s">
        <v>274</v>
      </c>
      <c r="B344" t="s">
        <v>590</v>
      </c>
      <c r="C344">
        <v>2018</v>
      </c>
      <c r="D344">
        <v>0.84677270000000004</v>
      </c>
      <c r="E344" t="s">
        <v>1386</v>
      </c>
      <c r="F344">
        <v>16826</v>
      </c>
      <c r="G344">
        <v>16859</v>
      </c>
      <c r="H344">
        <v>33</v>
      </c>
    </row>
    <row r="345" spans="1:8" x14ac:dyDescent="0.3">
      <c r="A345" t="s">
        <v>274</v>
      </c>
      <c r="B345" t="s">
        <v>590</v>
      </c>
      <c r="C345">
        <v>2019</v>
      </c>
      <c r="D345">
        <v>0.89327630000000002</v>
      </c>
      <c r="E345" t="s">
        <v>1386</v>
      </c>
      <c r="F345">
        <v>15067</v>
      </c>
      <c r="G345">
        <v>15092</v>
      </c>
      <c r="H345">
        <v>25</v>
      </c>
    </row>
    <row r="346" spans="1:8" x14ac:dyDescent="0.3">
      <c r="A346" t="s">
        <v>274</v>
      </c>
      <c r="B346" t="s">
        <v>590</v>
      </c>
      <c r="C346">
        <v>2020</v>
      </c>
      <c r="D346">
        <v>0.87550640000000002</v>
      </c>
      <c r="E346" t="s">
        <v>1386</v>
      </c>
      <c r="F346">
        <v>12737</v>
      </c>
      <c r="G346">
        <v>12779</v>
      </c>
      <c r="H346">
        <v>42</v>
      </c>
    </row>
    <row r="347" spans="1:8" x14ac:dyDescent="0.3">
      <c r="A347" t="s">
        <v>274</v>
      </c>
      <c r="B347" t="s">
        <v>590</v>
      </c>
      <c r="C347">
        <v>2021</v>
      </c>
      <c r="D347">
        <v>0.84549419999999997</v>
      </c>
      <c r="E347" t="s">
        <v>1386</v>
      </c>
      <c r="F347">
        <v>14470</v>
      </c>
      <c r="G347">
        <v>14519</v>
      </c>
      <c r="H347">
        <v>49</v>
      </c>
    </row>
    <row r="348" spans="1:8" x14ac:dyDescent="0.3">
      <c r="A348" t="s">
        <v>274</v>
      </c>
      <c r="B348" t="s">
        <v>590</v>
      </c>
      <c r="C348">
        <v>2022</v>
      </c>
      <c r="D348">
        <v>0.94962380000000002</v>
      </c>
      <c r="E348" t="s">
        <v>1386</v>
      </c>
      <c r="F348">
        <v>15013</v>
      </c>
      <c r="G348">
        <v>15138</v>
      </c>
      <c r="H348">
        <v>125</v>
      </c>
    </row>
    <row r="349" spans="1:8" x14ac:dyDescent="0.3">
      <c r="A349" t="s">
        <v>274</v>
      </c>
      <c r="B349" t="s">
        <v>590</v>
      </c>
      <c r="C349">
        <v>2023</v>
      </c>
      <c r="D349">
        <v>0.92483959999999998</v>
      </c>
      <c r="E349" t="s">
        <v>1386</v>
      </c>
      <c r="F349">
        <v>14539</v>
      </c>
      <c r="G349">
        <v>14619</v>
      </c>
      <c r="H349">
        <v>80</v>
      </c>
    </row>
    <row r="350" spans="1:8" x14ac:dyDescent="0.3">
      <c r="A350" t="s">
        <v>274</v>
      </c>
      <c r="B350" t="s">
        <v>590</v>
      </c>
      <c r="C350">
        <v>2024</v>
      </c>
      <c r="D350">
        <v>0.92388950000000003</v>
      </c>
      <c r="E350" t="s">
        <v>1386</v>
      </c>
      <c r="F350">
        <v>16557</v>
      </c>
      <c r="G350">
        <v>16677</v>
      </c>
      <c r="H350">
        <v>120</v>
      </c>
    </row>
    <row r="351" spans="1:8" x14ac:dyDescent="0.3">
      <c r="A351" t="s">
        <v>282</v>
      </c>
      <c r="B351" t="s">
        <v>591</v>
      </c>
      <c r="C351">
        <v>2022</v>
      </c>
      <c r="E351" t="s">
        <v>1385</v>
      </c>
      <c r="F351">
        <v>605.78800000000001</v>
      </c>
      <c r="G351">
        <v>617.78200000000004</v>
      </c>
      <c r="H351">
        <v>11.994</v>
      </c>
    </row>
    <row r="352" spans="1:8" x14ac:dyDescent="0.3">
      <c r="A352" t="s">
        <v>282</v>
      </c>
      <c r="B352" t="s">
        <v>591</v>
      </c>
      <c r="C352">
        <v>2023</v>
      </c>
      <c r="E352" t="s">
        <v>1385</v>
      </c>
      <c r="F352">
        <v>1478.2270000000001</v>
      </c>
      <c r="G352">
        <v>1478.2429999999999</v>
      </c>
      <c r="H352">
        <v>1.6E-2</v>
      </c>
    </row>
    <row r="353" spans="1:8" x14ac:dyDescent="0.3">
      <c r="A353" t="s">
        <v>282</v>
      </c>
      <c r="B353" t="s">
        <v>591</v>
      </c>
      <c r="C353">
        <v>2024</v>
      </c>
      <c r="E353" t="s">
        <v>1385</v>
      </c>
      <c r="F353">
        <v>2027.884</v>
      </c>
      <c r="G353">
        <v>2079.6419999999998</v>
      </c>
      <c r="H353">
        <v>51.758000000000003</v>
      </c>
    </row>
    <row r="354" spans="1:8" x14ac:dyDescent="0.3">
      <c r="A354" t="s">
        <v>286</v>
      </c>
      <c r="B354" t="s">
        <v>592</v>
      </c>
      <c r="C354">
        <v>2011</v>
      </c>
      <c r="D354">
        <v>0.71841390000000005</v>
      </c>
      <c r="E354" t="s">
        <v>1386</v>
      </c>
      <c r="F354">
        <v>601.101</v>
      </c>
      <c r="G354">
        <v>602.92100000000005</v>
      </c>
      <c r="H354">
        <v>1.82</v>
      </c>
    </row>
    <row r="355" spans="1:8" x14ac:dyDescent="0.3">
      <c r="A355" t="s">
        <v>286</v>
      </c>
      <c r="B355" t="s">
        <v>592</v>
      </c>
      <c r="C355">
        <v>2012</v>
      </c>
      <c r="D355">
        <v>0.77833810000000003</v>
      </c>
      <c r="E355" t="s">
        <v>1386</v>
      </c>
      <c r="F355">
        <v>1015.534</v>
      </c>
      <c r="G355">
        <v>1025.2180000000001</v>
      </c>
      <c r="H355">
        <v>9.6839999999999993</v>
      </c>
    </row>
    <row r="356" spans="1:8" x14ac:dyDescent="0.3">
      <c r="A356" t="s">
        <v>286</v>
      </c>
      <c r="B356" t="s">
        <v>592</v>
      </c>
      <c r="C356">
        <v>2013</v>
      </c>
      <c r="D356">
        <v>0.75294510000000003</v>
      </c>
      <c r="E356" t="s">
        <v>1386</v>
      </c>
      <c r="F356">
        <v>4790.0680000000002</v>
      </c>
      <c r="G356">
        <v>4843.5990000000002</v>
      </c>
      <c r="H356">
        <v>53.530999999999999</v>
      </c>
    </row>
    <row r="357" spans="1:8" x14ac:dyDescent="0.3">
      <c r="A357" t="s">
        <v>286</v>
      </c>
      <c r="B357" t="s">
        <v>592</v>
      </c>
      <c r="C357">
        <v>2014</v>
      </c>
      <c r="D357">
        <v>0.75272819999999996</v>
      </c>
      <c r="E357" t="s">
        <v>1386</v>
      </c>
      <c r="F357">
        <v>4833.4939999999997</v>
      </c>
      <c r="G357">
        <v>5564.3140000000003</v>
      </c>
      <c r="H357">
        <v>730.82</v>
      </c>
    </row>
    <row r="358" spans="1:8" x14ac:dyDescent="0.3">
      <c r="A358" t="s">
        <v>286</v>
      </c>
      <c r="B358" t="s">
        <v>592</v>
      </c>
      <c r="C358">
        <v>2015</v>
      </c>
      <c r="D358">
        <v>0.9012964</v>
      </c>
      <c r="E358" t="s">
        <v>1386</v>
      </c>
      <c r="F358">
        <v>4572.1580000000004</v>
      </c>
      <c r="G358">
        <v>4630.1109999999999</v>
      </c>
      <c r="H358">
        <v>57.953000000000003</v>
      </c>
    </row>
    <row r="359" spans="1:8" x14ac:dyDescent="0.3">
      <c r="A359" t="s">
        <v>286</v>
      </c>
      <c r="B359" t="s">
        <v>592</v>
      </c>
      <c r="C359">
        <v>2016</v>
      </c>
      <c r="D359">
        <v>0.90342149999999999</v>
      </c>
      <c r="E359" t="s">
        <v>1386</v>
      </c>
      <c r="F359">
        <v>3318.1505269999998</v>
      </c>
      <c r="G359">
        <v>3345.236159</v>
      </c>
      <c r="H359">
        <v>27.085632</v>
      </c>
    </row>
    <row r="360" spans="1:8" x14ac:dyDescent="0.3">
      <c r="A360" t="s">
        <v>286</v>
      </c>
      <c r="B360" t="s">
        <v>592</v>
      </c>
      <c r="C360">
        <v>2017</v>
      </c>
      <c r="D360">
        <v>0.88520549999999998</v>
      </c>
      <c r="E360" t="s">
        <v>1386</v>
      </c>
      <c r="F360">
        <v>3373.7421420000001</v>
      </c>
      <c r="G360">
        <v>3387.1337490000001</v>
      </c>
      <c r="H360">
        <v>13.391607</v>
      </c>
    </row>
    <row r="361" spans="1:8" x14ac:dyDescent="0.3">
      <c r="A361" t="s">
        <v>286</v>
      </c>
      <c r="B361" t="s">
        <v>592</v>
      </c>
      <c r="C361">
        <v>2018</v>
      </c>
      <c r="D361">
        <v>0.84677270000000004</v>
      </c>
      <c r="E361" t="s">
        <v>1386</v>
      </c>
      <c r="F361">
        <v>3256.8660599999998</v>
      </c>
      <c r="G361">
        <v>3271.2376949999998</v>
      </c>
      <c r="H361">
        <v>14.371634999999999</v>
      </c>
    </row>
    <row r="362" spans="1:8" x14ac:dyDescent="0.3">
      <c r="A362" t="s">
        <v>286</v>
      </c>
      <c r="B362" t="s">
        <v>592</v>
      </c>
      <c r="C362">
        <v>2019</v>
      </c>
      <c r="D362">
        <v>0.89327630000000002</v>
      </c>
      <c r="E362" t="s">
        <v>1386</v>
      </c>
      <c r="F362">
        <v>2671.1693359999999</v>
      </c>
      <c r="G362">
        <v>2695.6919010000001</v>
      </c>
      <c r="H362">
        <v>24.522565</v>
      </c>
    </row>
    <row r="363" spans="1:8" x14ac:dyDescent="0.3">
      <c r="A363" t="s">
        <v>286</v>
      </c>
      <c r="B363" t="s">
        <v>592</v>
      </c>
      <c r="C363">
        <v>2020</v>
      </c>
      <c r="D363">
        <v>0.87550640000000002</v>
      </c>
      <c r="E363" t="s">
        <v>1386</v>
      </c>
      <c r="F363">
        <v>3832.1368149999998</v>
      </c>
      <c r="G363">
        <v>3865.0793490000001</v>
      </c>
      <c r="H363">
        <v>32.942534000000002</v>
      </c>
    </row>
    <row r="364" spans="1:8" x14ac:dyDescent="0.3">
      <c r="A364" t="s">
        <v>286</v>
      </c>
      <c r="B364" t="s">
        <v>592</v>
      </c>
      <c r="C364">
        <v>2021</v>
      </c>
      <c r="D364">
        <v>0.84549419999999997</v>
      </c>
      <c r="E364" t="s">
        <v>1386</v>
      </c>
      <c r="F364">
        <v>5920.5693490000003</v>
      </c>
      <c r="G364">
        <v>5941.8513489999996</v>
      </c>
      <c r="H364">
        <v>21.282</v>
      </c>
    </row>
    <row r="365" spans="1:8" x14ac:dyDescent="0.3">
      <c r="A365" t="s">
        <v>286</v>
      </c>
      <c r="B365" t="s">
        <v>592</v>
      </c>
      <c r="C365">
        <v>2022</v>
      </c>
      <c r="D365">
        <v>0.94962380000000002</v>
      </c>
      <c r="E365" t="s">
        <v>1386</v>
      </c>
      <c r="F365">
        <v>10129.928473</v>
      </c>
      <c r="G365">
        <v>10146.731204</v>
      </c>
      <c r="H365">
        <v>16.802731000000001</v>
      </c>
    </row>
    <row r="366" spans="1:8" x14ac:dyDescent="0.3">
      <c r="A366" t="s">
        <v>286</v>
      </c>
      <c r="B366" t="s">
        <v>592</v>
      </c>
      <c r="C366">
        <v>2023</v>
      </c>
      <c r="D366">
        <v>0.92483959999999998</v>
      </c>
      <c r="E366" t="s">
        <v>1386</v>
      </c>
      <c r="F366">
        <v>10201.223913</v>
      </c>
      <c r="G366">
        <v>10213.595950000001</v>
      </c>
      <c r="H366">
        <v>12.372037000000001</v>
      </c>
    </row>
    <row r="367" spans="1:8" x14ac:dyDescent="0.3">
      <c r="A367" t="s">
        <v>286</v>
      </c>
      <c r="B367" t="s">
        <v>592</v>
      </c>
      <c r="C367">
        <v>2024</v>
      </c>
      <c r="D367">
        <v>0.92388950000000003</v>
      </c>
      <c r="E367" t="s">
        <v>1386</v>
      </c>
      <c r="F367">
        <v>11196.947102</v>
      </c>
      <c r="G367">
        <v>11215.496776</v>
      </c>
      <c r="H367">
        <v>18.549674</v>
      </c>
    </row>
    <row r="368" spans="1:8" x14ac:dyDescent="0.3">
      <c r="A368" t="s">
        <v>289</v>
      </c>
      <c r="B368" t="s">
        <v>593</v>
      </c>
      <c r="C368">
        <v>2018</v>
      </c>
      <c r="D368">
        <v>110.42319999999999</v>
      </c>
      <c r="E368" t="s">
        <v>1396</v>
      </c>
      <c r="F368">
        <v>500789.39399999997</v>
      </c>
      <c r="G368">
        <v>817591.03700000001</v>
      </c>
      <c r="H368">
        <v>316801.64299999998</v>
      </c>
    </row>
    <row r="369" spans="1:9" x14ac:dyDescent="0.3">
      <c r="A369" t="s">
        <v>289</v>
      </c>
      <c r="B369" t="s">
        <v>593</v>
      </c>
      <c r="C369">
        <v>2019</v>
      </c>
      <c r="D369">
        <v>109.0097</v>
      </c>
      <c r="E369" t="s">
        <v>1396</v>
      </c>
      <c r="F369">
        <v>442645.48800000001</v>
      </c>
      <c r="G369">
        <v>804243.19</v>
      </c>
      <c r="H369">
        <v>361597.701</v>
      </c>
    </row>
    <row r="370" spans="1:9" x14ac:dyDescent="0.3">
      <c r="A370" t="s">
        <v>289</v>
      </c>
      <c r="B370" t="s">
        <v>593</v>
      </c>
      <c r="C370">
        <v>2020</v>
      </c>
      <c r="D370">
        <v>106.77460000000001</v>
      </c>
      <c r="E370" t="s">
        <v>1396</v>
      </c>
      <c r="F370">
        <v>520935.18199999997</v>
      </c>
      <c r="G370">
        <v>791407.23499999999</v>
      </c>
      <c r="H370">
        <v>270472.05200000003</v>
      </c>
    </row>
    <row r="371" spans="1:9" x14ac:dyDescent="0.3">
      <c r="A371" t="s">
        <v>289</v>
      </c>
      <c r="B371" t="s">
        <v>593</v>
      </c>
      <c r="C371">
        <v>2021</v>
      </c>
      <c r="D371">
        <v>109.7543</v>
      </c>
      <c r="E371" t="s">
        <v>1396</v>
      </c>
      <c r="F371">
        <v>516585.50599999999</v>
      </c>
      <c r="G371">
        <v>781100.31400000001</v>
      </c>
      <c r="H371">
        <v>264514.80699999997</v>
      </c>
    </row>
    <row r="372" spans="1:9" x14ac:dyDescent="0.3">
      <c r="A372" t="s">
        <v>289</v>
      </c>
      <c r="B372" t="s">
        <v>593</v>
      </c>
      <c r="C372">
        <v>2022</v>
      </c>
      <c r="D372">
        <v>131.49809999999999</v>
      </c>
      <c r="E372" t="s">
        <v>1396</v>
      </c>
      <c r="F372">
        <v>508623.39799999999</v>
      </c>
      <c r="G372">
        <v>761953.87699999998</v>
      </c>
      <c r="H372">
        <v>253330.478</v>
      </c>
    </row>
    <row r="373" spans="1:9" x14ac:dyDescent="0.3">
      <c r="A373" t="s">
        <v>289</v>
      </c>
      <c r="B373" t="s">
        <v>593</v>
      </c>
      <c r="C373">
        <v>2023</v>
      </c>
      <c r="D373">
        <v>140.49109999999999</v>
      </c>
      <c r="E373" t="s">
        <v>1396</v>
      </c>
      <c r="F373">
        <v>513722.75</v>
      </c>
      <c r="G373">
        <v>1845383.4180000001</v>
      </c>
      <c r="H373">
        <v>1331660.6669999999</v>
      </c>
    </row>
    <row r="374" spans="1:9" x14ac:dyDescent="0.3">
      <c r="A374" t="s">
        <v>289</v>
      </c>
      <c r="B374" t="s">
        <v>593</v>
      </c>
      <c r="C374">
        <v>2024</v>
      </c>
      <c r="D374">
        <v>151.3663</v>
      </c>
      <c r="E374" t="s">
        <v>1396</v>
      </c>
      <c r="F374">
        <v>557883.77599999995</v>
      </c>
      <c r="G374">
        <v>2294492.6269999999</v>
      </c>
      <c r="H374">
        <v>1736608.85</v>
      </c>
    </row>
    <row r="375" spans="1:9" x14ac:dyDescent="0.3">
      <c r="A375" t="s">
        <v>293</v>
      </c>
      <c r="B375" t="s">
        <v>594</v>
      </c>
      <c r="C375">
        <v>2004</v>
      </c>
      <c r="E375" t="s">
        <v>1385</v>
      </c>
      <c r="I375">
        <v>5100</v>
      </c>
    </row>
    <row r="376" spans="1:9" x14ac:dyDescent="0.3">
      <c r="A376" t="s">
        <v>293</v>
      </c>
      <c r="B376" t="s">
        <v>594</v>
      </c>
      <c r="C376">
        <v>2005</v>
      </c>
      <c r="E376" t="s">
        <v>1385</v>
      </c>
      <c r="I376">
        <v>8100</v>
      </c>
    </row>
    <row r="377" spans="1:9" x14ac:dyDescent="0.3">
      <c r="A377" t="s">
        <v>293</v>
      </c>
      <c r="B377" t="s">
        <v>594</v>
      </c>
      <c r="C377">
        <v>2006</v>
      </c>
      <c r="E377" t="s">
        <v>1385</v>
      </c>
      <c r="I377">
        <v>14100</v>
      </c>
    </row>
    <row r="378" spans="1:9" x14ac:dyDescent="0.3">
      <c r="A378" t="s">
        <v>293</v>
      </c>
      <c r="B378" t="s">
        <v>594</v>
      </c>
      <c r="C378">
        <v>2007</v>
      </c>
      <c r="E378" t="s">
        <v>1385</v>
      </c>
      <c r="I378">
        <v>21000</v>
      </c>
    </row>
    <row r="379" spans="1:9" x14ac:dyDescent="0.3">
      <c r="A379" t="s">
        <v>293</v>
      </c>
      <c r="B379" t="s">
        <v>594</v>
      </c>
      <c r="C379">
        <v>2008</v>
      </c>
      <c r="E379" t="s">
        <v>1385</v>
      </c>
      <c r="I379">
        <v>27400</v>
      </c>
    </row>
    <row r="380" spans="1:9" x14ac:dyDescent="0.3">
      <c r="A380" t="s">
        <v>293</v>
      </c>
      <c r="B380" t="s">
        <v>594</v>
      </c>
      <c r="C380">
        <v>2009</v>
      </c>
      <c r="E380" t="s">
        <v>1385</v>
      </c>
      <c r="I380">
        <v>26216.799999999999</v>
      </c>
    </row>
    <row r="381" spans="1:9" x14ac:dyDescent="0.3">
      <c r="A381" t="s">
        <v>293</v>
      </c>
      <c r="B381" t="s">
        <v>594</v>
      </c>
      <c r="C381">
        <v>2010</v>
      </c>
      <c r="E381" t="s">
        <v>1385</v>
      </c>
      <c r="I381">
        <v>33755.82</v>
      </c>
    </row>
    <row r="382" spans="1:9" x14ac:dyDescent="0.3">
      <c r="A382" t="s">
        <v>293</v>
      </c>
      <c r="B382" t="s">
        <v>594</v>
      </c>
      <c r="C382">
        <v>2011</v>
      </c>
      <c r="E382" t="s">
        <v>1385</v>
      </c>
      <c r="I382">
        <v>46584.5</v>
      </c>
    </row>
    <row r="383" spans="1:9" x14ac:dyDescent="0.3">
      <c r="A383" t="s">
        <v>293</v>
      </c>
      <c r="B383" t="s">
        <v>594</v>
      </c>
      <c r="C383">
        <v>2012</v>
      </c>
      <c r="E383" t="s">
        <v>1385</v>
      </c>
      <c r="I383">
        <v>58539.281175339995</v>
      </c>
    </row>
    <row r="384" spans="1:9" x14ac:dyDescent="0.3">
      <c r="A384" t="s">
        <v>293</v>
      </c>
      <c r="B384" t="s">
        <v>594</v>
      </c>
      <c r="C384">
        <v>2013</v>
      </c>
      <c r="E384" t="s">
        <v>1385</v>
      </c>
      <c r="I384">
        <v>71500</v>
      </c>
    </row>
    <row r="385" spans="1:9" x14ac:dyDescent="0.3">
      <c r="A385" t="s">
        <v>293</v>
      </c>
      <c r="B385" t="s">
        <v>594</v>
      </c>
      <c r="C385">
        <v>2014</v>
      </c>
      <c r="E385" t="s">
        <v>1385</v>
      </c>
      <c r="I385">
        <v>75200</v>
      </c>
    </row>
    <row r="386" spans="1:9" x14ac:dyDescent="0.3">
      <c r="A386" t="s">
        <v>293</v>
      </c>
      <c r="B386" t="s">
        <v>594</v>
      </c>
      <c r="C386">
        <v>2015</v>
      </c>
      <c r="E386" t="s">
        <v>1385</v>
      </c>
      <c r="I386">
        <v>65700</v>
      </c>
    </row>
    <row r="387" spans="1:9" x14ac:dyDescent="0.3">
      <c r="A387" t="s">
        <v>293</v>
      </c>
      <c r="B387" t="s">
        <v>594</v>
      </c>
      <c r="C387">
        <v>2016</v>
      </c>
      <c r="E387" t="s">
        <v>1385</v>
      </c>
      <c r="I387">
        <v>64200</v>
      </c>
    </row>
    <row r="388" spans="1:9" x14ac:dyDescent="0.3">
      <c r="A388" t="s">
        <v>293</v>
      </c>
      <c r="B388" t="s">
        <v>594</v>
      </c>
      <c r="C388">
        <v>2017</v>
      </c>
      <c r="E388" t="s">
        <v>1385</v>
      </c>
      <c r="I388">
        <v>61800</v>
      </c>
    </row>
    <row r="389" spans="1:9" x14ac:dyDescent="0.3">
      <c r="A389" t="s">
        <v>293</v>
      </c>
      <c r="B389" t="s">
        <v>594</v>
      </c>
      <c r="C389">
        <v>2018</v>
      </c>
      <c r="E389" t="s">
        <v>1385</v>
      </c>
      <c r="I389">
        <v>61600</v>
      </c>
    </row>
    <row r="390" spans="1:9" x14ac:dyDescent="0.3">
      <c r="A390" t="s">
        <v>293</v>
      </c>
      <c r="B390" t="s">
        <v>594</v>
      </c>
      <c r="C390">
        <v>2019</v>
      </c>
      <c r="E390" t="s">
        <v>1385</v>
      </c>
      <c r="I390">
        <v>65500</v>
      </c>
    </row>
    <row r="391" spans="1:9" x14ac:dyDescent="0.3">
      <c r="A391" t="s">
        <v>293</v>
      </c>
      <c r="B391" t="s">
        <v>594</v>
      </c>
      <c r="C391">
        <v>2020</v>
      </c>
      <c r="E391" t="s">
        <v>1385</v>
      </c>
      <c r="I391">
        <v>61400</v>
      </c>
    </row>
    <row r="392" spans="1:9" x14ac:dyDescent="0.3">
      <c r="A392" t="s">
        <v>293</v>
      </c>
      <c r="B392" t="s">
        <v>594</v>
      </c>
      <c r="C392">
        <v>2021</v>
      </c>
      <c r="E392" t="s">
        <v>1385</v>
      </c>
      <c r="I392">
        <v>59500</v>
      </c>
    </row>
    <row r="393" spans="1:9" x14ac:dyDescent="0.3">
      <c r="A393" t="s">
        <v>293</v>
      </c>
      <c r="B393" t="s">
        <v>594</v>
      </c>
      <c r="C393">
        <v>2022</v>
      </c>
      <c r="E393" t="s">
        <v>1385</v>
      </c>
      <c r="I393">
        <v>57900</v>
      </c>
    </row>
    <row r="394" spans="1:9" x14ac:dyDescent="0.3">
      <c r="A394" t="s">
        <v>293</v>
      </c>
      <c r="B394" t="s">
        <v>594</v>
      </c>
      <c r="C394">
        <v>2023</v>
      </c>
      <c r="E394" t="s">
        <v>1385</v>
      </c>
      <c r="I394">
        <v>65700</v>
      </c>
    </row>
    <row r="395" spans="1:9" x14ac:dyDescent="0.3">
      <c r="A395" t="s">
        <v>293</v>
      </c>
      <c r="B395" t="s">
        <v>594</v>
      </c>
      <c r="C395">
        <v>2024</v>
      </c>
      <c r="E395" t="s">
        <v>1385</v>
      </c>
      <c r="I395">
        <v>66200</v>
      </c>
    </row>
    <row r="396" spans="1:9" x14ac:dyDescent="0.3">
      <c r="A396" t="s">
        <v>293</v>
      </c>
      <c r="B396" t="s">
        <v>594</v>
      </c>
      <c r="C396">
        <v>2012</v>
      </c>
      <c r="D396">
        <v>149.11250000000001</v>
      </c>
      <c r="E396" t="s">
        <v>1397</v>
      </c>
      <c r="F396">
        <v>945.26700000000005</v>
      </c>
      <c r="G396">
        <v>947.45699999999999</v>
      </c>
      <c r="H396">
        <v>2.19</v>
      </c>
    </row>
    <row r="397" spans="1:9" x14ac:dyDescent="0.3">
      <c r="A397" t="s">
        <v>293</v>
      </c>
      <c r="B397" t="s">
        <v>594</v>
      </c>
      <c r="C397">
        <v>2013</v>
      </c>
      <c r="D397">
        <v>152.1292</v>
      </c>
      <c r="E397" t="s">
        <v>1397</v>
      </c>
      <c r="F397">
        <v>799.91200000000003</v>
      </c>
      <c r="G397">
        <v>871.14300000000003</v>
      </c>
      <c r="H397">
        <v>71.230999999999995</v>
      </c>
    </row>
    <row r="398" spans="1:9" x14ac:dyDescent="0.3">
      <c r="A398" t="s">
        <v>293</v>
      </c>
      <c r="B398" t="s">
        <v>594</v>
      </c>
      <c r="C398">
        <v>2014</v>
      </c>
      <c r="D398">
        <v>179.1917</v>
      </c>
      <c r="E398" t="s">
        <v>1397</v>
      </c>
      <c r="F398">
        <v>39862.506000000001</v>
      </c>
      <c r="G398">
        <v>40074.824999999997</v>
      </c>
      <c r="H398">
        <v>212.31899999999999</v>
      </c>
    </row>
    <row r="399" spans="1:9" x14ac:dyDescent="0.3">
      <c r="A399" t="s">
        <v>293</v>
      </c>
      <c r="B399" t="s">
        <v>594</v>
      </c>
      <c r="C399">
        <v>2015</v>
      </c>
      <c r="D399">
        <v>221.72829999999999</v>
      </c>
      <c r="E399" t="s">
        <v>1397</v>
      </c>
      <c r="F399">
        <v>41043.571000000004</v>
      </c>
      <c r="G399">
        <v>41355.241000000002</v>
      </c>
      <c r="H399">
        <v>311.67</v>
      </c>
    </row>
    <row r="400" spans="1:9" x14ac:dyDescent="0.3">
      <c r="A400" t="s">
        <v>293</v>
      </c>
      <c r="B400" t="s">
        <v>594</v>
      </c>
      <c r="C400">
        <v>2016</v>
      </c>
      <c r="D400">
        <v>342.16</v>
      </c>
      <c r="E400" t="s">
        <v>1397</v>
      </c>
      <c r="F400">
        <v>41449.466999999997</v>
      </c>
      <c r="G400">
        <v>41957.811999999998</v>
      </c>
      <c r="H400">
        <v>508.34500000000003</v>
      </c>
    </row>
    <row r="401" spans="1:8" x14ac:dyDescent="0.3">
      <c r="A401" t="s">
        <v>293</v>
      </c>
      <c r="B401" t="s">
        <v>594</v>
      </c>
      <c r="C401">
        <v>2017</v>
      </c>
      <c r="D401">
        <v>326.00099999999998</v>
      </c>
      <c r="E401" t="s">
        <v>1397</v>
      </c>
      <c r="F401">
        <v>41362.004999999997</v>
      </c>
      <c r="G401">
        <v>41741.142999999996</v>
      </c>
      <c r="H401">
        <v>379.13799999999998</v>
      </c>
    </row>
    <row r="402" spans="1:8" x14ac:dyDescent="0.3">
      <c r="A402" t="s">
        <v>293</v>
      </c>
      <c r="B402" t="s">
        <v>594</v>
      </c>
      <c r="C402">
        <v>2018</v>
      </c>
      <c r="D402">
        <v>344.70580000000001</v>
      </c>
      <c r="E402" t="s">
        <v>1397</v>
      </c>
      <c r="F402">
        <v>40848.813000000002</v>
      </c>
      <c r="G402">
        <v>41262.059000000001</v>
      </c>
      <c r="H402">
        <v>413.26400000000001</v>
      </c>
    </row>
    <row r="403" spans="1:8" x14ac:dyDescent="0.3">
      <c r="A403" t="s">
        <v>293</v>
      </c>
      <c r="B403" t="s">
        <v>594</v>
      </c>
      <c r="C403">
        <v>2019</v>
      </c>
      <c r="D403">
        <v>382.7473</v>
      </c>
      <c r="E403" t="s">
        <v>1397</v>
      </c>
      <c r="F403">
        <v>41079.544000000002</v>
      </c>
      <c r="G403">
        <v>41442.607000000004</v>
      </c>
      <c r="H403">
        <v>363.06299999999999</v>
      </c>
    </row>
    <row r="404" spans="1:8" x14ac:dyDescent="0.3">
      <c r="A404" t="s">
        <v>293</v>
      </c>
      <c r="B404" t="s">
        <v>594</v>
      </c>
      <c r="C404">
        <v>2020</v>
      </c>
      <c r="D404">
        <v>412.95330000000001</v>
      </c>
      <c r="E404" t="s">
        <v>1397</v>
      </c>
      <c r="F404">
        <v>41571.273000000001</v>
      </c>
      <c r="G404">
        <v>41940.777999999998</v>
      </c>
      <c r="H404">
        <v>369.505</v>
      </c>
    </row>
    <row r="405" spans="1:8" x14ac:dyDescent="0.3">
      <c r="A405" t="s">
        <v>293</v>
      </c>
      <c r="B405" t="s">
        <v>594</v>
      </c>
      <c r="C405">
        <v>2021</v>
      </c>
      <c r="D405">
        <v>425.90750000000003</v>
      </c>
      <c r="E405" t="s">
        <v>1397</v>
      </c>
      <c r="F405">
        <v>41868.618000000002</v>
      </c>
      <c r="G405">
        <v>42228.355000000003</v>
      </c>
      <c r="H405">
        <v>359.73700000000002</v>
      </c>
    </row>
    <row r="406" spans="1:8" x14ac:dyDescent="0.3">
      <c r="A406" t="s">
        <v>293</v>
      </c>
      <c r="B406" t="s">
        <v>594</v>
      </c>
      <c r="C406">
        <v>2022</v>
      </c>
      <c r="D406">
        <v>460.16500000000002</v>
      </c>
      <c r="E406" t="s">
        <v>1397</v>
      </c>
      <c r="F406">
        <v>42104.512000000002</v>
      </c>
      <c r="G406">
        <v>42502.589</v>
      </c>
      <c r="H406">
        <v>398.077</v>
      </c>
    </row>
    <row r="407" spans="1:8" x14ac:dyDescent="0.3">
      <c r="A407" t="s">
        <v>293</v>
      </c>
      <c r="B407" t="s">
        <v>594</v>
      </c>
      <c r="C407">
        <v>2023</v>
      </c>
      <c r="D407">
        <v>456.16500000000002</v>
      </c>
      <c r="E407" t="s">
        <v>1397</v>
      </c>
      <c r="F407">
        <v>41890.635000000002</v>
      </c>
      <c r="G407">
        <v>42345.082000000002</v>
      </c>
      <c r="H407">
        <v>454.447</v>
      </c>
    </row>
    <row r="408" spans="1:8" x14ac:dyDescent="0.3">
      <c r="A408" t="s">
        <v>293</v>
      </c>
      <c r="B408" t="s">
        <v>594</v>
      </c>
      <c r="C408">
        <v>2024</v>
      </c>
      <c r="D408">
        <v>468.96249999999998</v>
      </c>
      <c r="E408" t="s">
        <v>1397</v>
      </c>
      <c r="F408">
        <v>41784.044000000002</v>
      </c>
      <c r="G408">
        <v>42314.718999999997</v>
      </c>
      <c r="H408">
        <v>530.67499999999995</v>
      </c>
    </row>
    <row r="409" spans="1:8" x14ac:dyDescent="0.3">
      <c r="A409" t="s">
        <v>293</v>
      </c>
      <c r="B409" t="s">
        <v>594</v>
      </c>
      <c r="C409">
        <v>2008</v>
      </c>
      <c r="D409">
        <v>120.2992</v>
      </c>
      <c r="E409" t="s">
        <v>1397</v>
      </c>
      <c r="F409">
        <v>4495704</v>
      </c>
      <c r="G409">
        <v>7388425</v>
      </c>
      <c r="H409">
        <v>2892721</v>
      </c>
    </row>
    <row r="410" spans="1:8" x14ac:dyDescent="0.3">
      <c r="A410" t="s">
        <v>293</v>
      </c>
      <c r="B410" t="s">
        <v>594</v>
      </c>
      <c r="C410">
        <v>2009</v>
      </c>
      <c r="D410">
        <v>147.4967</v>
      </c>
      <c r="E410" t="s">
        <v>1397</v>
      </c>
      <c r="F410">
        <v>4745007</v>
      </c>
      <c r="G410">
        <v>11074049</v>
      </c>
      <c r="H410">
        <v>6329042</v>
      </c>
    </row>
    <row r="411" spans="1:8" x14ac:dyDescent="0.3">
      <c r="A411" t="s">
        <v>293</v>
      </c>
      <c r="B411" t="s">
        <v>594</v>
      </c>
      <c r="C411">
        <v>2010</v>
      </c>
      <c r="D411">
        <v>147.35499999999999</v>
      </c>
      <c r="E411" t="s">
        <v>1397</v>
      </c>
      <c r="F411">
        <v>5422414</v>
      </c>
      <c r="G411">
        <v>12815308</v>
      </c>
      <c r="H411">
        <v>7392894</v>
      </c>
    </row>
    <row r="412" spans="1:8" x14ac:dyDescent="0.3">
      <c r="A412" t="s">
        <v>293</v>
      </c>
      <c r="B412" t="s">
        <v>594</v>
      </c>
      <c r="C412">
        <v>2011</v>
      </c>
      <c r="D412">
        <v>146.6208</v>
      </c>
      <c r="E412" t="s">
        <v>1397</v>
      </c>
      <c r="F412">
        <v>5729603</v>
      </c>
      <c r="G412">
        <v>13413405</v>
      </c>
      <c r="H412">
        <v>7683802</v>
      </c>
    </row>
    <row r="413" spans="1:8" x14ac:dyDescent="0.3">
      <c r="A413" t="s">
        <v>293</v>
      </c>
      <c r="B413" t="s">
        <v>594</v>
      </c>
      <c r="C413">
        <v>2012</v>
      </c>
      <c r="D413">
        <v>149.11250000000001</v>
      </c>
      <c r="E413" t="s">
        <v>1397</v>
      </c>
      <c r="F413">
        <v>7451459</v>
      </c>
      <c r="G413">
        <v>15274204</v>
      </c>
      <c r="H413">
        <v>7858745</v>
      </c>
    </row>
    <row r="414" spans="1:8" x14ac:dyDescent="0.3">
      <c r="A414" t="s">
        <v>293</v>
      </c>
      <c r="B414" t="s">
        <v>594</v>
      </c>
      <c r="C414">
        <v>2013</v>
      </c>
      <c r="D414">
        <v>152.1292</v>
      </c>
      <c r="E414" t="s">
        <v>1397</v>
      </c>
      <c r="F414">
        <v>7506592</v>
      </c>
      <c r="G414">
        <v>15294489</v>
      </c>
      <c r="H414">
        <v>7787897</v>
      </c>
    </row>
    <row r="415" spans="1:8" x14ac:dyDescent="0.3">
      <c r="A415" t="s">
        <v>293</v>
      </c>
      <c r="B415" t="s">
        <v>594</v>
      </c>
      <c r="C415">
        <v>2014</v>
      </c>
      <c r="D415">
        <v>179.1917</v>
      </c>
      <c r="E415" t="s">
        <v>1397</v>
      </c>
      <c r="F415">
        <v>8132078</v>
      </c>
      <c r="G415">
        <v>16637674</v>
      </c>
      <c r="H415">
        <v>8505596</v>
      </c>
    </row>
    <row r="416" spans="1:8" x14ac:dyDescent="0.3">
      <c r="A416" t="s">
        <v>293</v>
      </c>
      <c r="B416" t="s">
        <v>594</v>
      </c>
      <c r="C416">
        <v>2015</v>
      </c>
      <c r="D416">
        <v>221.72829999999999</v>
      </c>
      <c r="E416" t="s">
        <v>1397</v>
      </c>
      <c r="F416">
        <v>10401372</v>
      </c>
      <c r="G416">
        <v>20889684</v>
      </c>
      <c r="H416">
        <v>10488312</v>
      </c>
    </row>
    <row r="417" spans="1:9" x14ac:dyDescent="0.3">
      <c r="A417" t="s">
        <v>293</v>
      </c>
      <c r="B417" t="s">
        <v>594</v>
      </c>
      <c r="C417">
        <v>2016</v>
      </c>
      <c r="D417">
        <v>342.16</v>
      </c>
      <c r="E417" t="s">
        <v>1397</v>
      </c>
      <c r="F417">
        <v>10991674</v>
      </c>
      <c r="G417">
        <v>22460860</v>
      </c>
      <c r="H417">
        <v>11469186</v>
      </c>
    </row>
    <row r="418" spans="1:9" x14ac:dyDescent="0.3">
      <c r="A418" t="s">
        <v>293</v>
      </c>
      <c r="B418" t="s">
        <v>594</v>
      </c>
      <c r="C418">
        <v>2017</v>
      </c>
      <c r="D418">
        <v>326.00099999999998</v>
      </c>
      <c r="E418" t="s">
        <v>1397</v>
      </c>
      <c r="F418">
        <v>11824370</v>
      </c>
      <c r="G418">
        <v>24327108</v>
      </c>
      <c r="H418">
        <v>12502738</v>
      </c>
    </row>
    <row r="419" spans="1:9" x14ac:dyDescent="0.3">
      <c r="A419" t="s">
        <v>293</v>
      </c>
      <c r="B419" t="s">
        <v>594</v>
      </c>
      <c r="C419">
        <v>2018</v>
      </c>
      <c r="D419">
        <v>344.70580000000001</v>
      </c>
      <c r="E419" t="s">
        <v>1397</v>
      </c>
      <c r="F419">
        <v>12953275</v>
      </c>
      <c r="G419">
        <v>25744925</v>
      </c>
      <c r="H419">
        <v>12791650</v>
      </c>
    </row>
    <row r="420" spans="1:9" x14ac:dyDescent="0.3">
      <c r="A420" t="s">
        <v>293</v>
      </c>
      <c r="B420" t="s">
        <v>594</v>
      </c>
      <c r="C420">
        <v>2019</v>
      </c>
      <c r="D420">
        <v>382.7473</v>
      </c>
      <c r="E420" t="s">
        <v>1397</v>
      </c>
      <c r="F420">
        <v>14342953</v>
      </c>
      <c r="G420">
        <v>26417010</v>
      </c>
      <c r="H420">
        <v>12074057</v>
      </c>
    </row>
    <row r="421" spans="1:9" x14ac:dyDescent="0.3">
      <c r="A421" t="s">
        <v>293</v>
      </c>
      <c r="B421" t="s">
        <v>594</v>
      </c>
      <c r="C421">
        <v>2020</v>
      </c>
      <c r="D421">
        <v>412.95330000000001</v>
      </c>
      <c r="E421" t="s">
        <v>1397</v>
      </c>
      <c r="F421">
        <v>15151616</v>
      </c>
      <c r="G421">
        <v>27482846</v>
      </c>
      <c r="H421">
        <v>12331231</v>
      </c>
    </row>
    <row r="422" spans="1:9" x14ac:dyDescent="0.3">
      <c r="A422" t="s">
        <v>293</v>
      </c>
      <c r="B422" t="s">
        <v>594</v>
      </c>
      <c r="C422">
        <v>2021</v>
      </c>
      <c r="D422">
        <v>425.90750000000003</v>
      </c>
      <c r="E422" t="s">
        <v>1397</v>
      </c>
      <c r="F422">
        <v>17173092</v>
      </c>
      <c r="G422">
        <v>30309758</v>
      </c>
      <c r="H422">
        <v>13136666</v>
      </c>
    </row>
    <row r="423" spans="1:9" x14ac:dyDescent="0.3">
      <c r="A423" t="s">
        <v>293</v>
      </c>
      <c r="B423" t="s">
        <v>594</v>
      </c>
      <c r="C423">
        <v>2022</v>
      </c>
      <c r="D423">
        <v>460.16500000000002</v>
      </c>
      <c r="E423" t="s">
        <v>1397</v>
      </c>
      <c r="F423">
        <v>19793422</v>
      </c>
      <c r="G423">
        <v>33631379</v>
      </c>
      <c r="H423">
        <v>13837957</v>
      </c>
    </row>
    <row r="424" spans="1:9" x14ac:dyDescent="0.3">
      <c r="A424" t="s">
        <v>293</v>
      </c>
      <c r="B424" t="s">
        <v>594</v>
      </c>
      <c r="C424">
        <v>2023</v>
      </c>
      <c r="D424">
        <v>456.16500000000002</v>
      </c>
      <c r="E424" t="s">
        <v>1397</v>
      </c>
      <c r="F424">
        <v>21739532</v>
      </c>
      <c r="G424">
        <v>36924734</v>
      </c>
      <c r="H424">
        <v>15185202</v>
      </c>
    </row>
    <row r="425" spans="1:9" x14ac:dyDescent="0.3">
      <c r="A425" t="s">
        <v>293</v>
      </c>
      <c r="B425" t="s">
        <v>594</v>
      </c>
      <c r="C425">
        <v>2024</v>
      </c>
      <c r="D425">
        <v>468.96249999999998</v>
      </c>
      <c r="E425" t="s">
        <v>1397</v>
      </c>
      <c r="F425">
        <v>25593484</v>
      </c>
      <c r="G425">
        <v>41099656</v>
      </c>
      <c r="H425">
        <v>15506172</v>
      </c>
    </row>
    <row r="426" spans="1:9" x14ac:dyDescent="0.3">
      <c r="A426" t="s">
        <v>305</v>
      </c>
      <c r="B426" t="s">
        <v>1004</v>
      </c>
      <c r="C426">
        <v>1978</v>
      </c>
      <c r="D426">
        <v>0.87365930000000003</v>
      </c>
      <c r="E426" t="s">
        <v>1398</v>
      </c>
      <c r="I426">
        <v>62.218000000000004</v>
      </c>
    </row>
    <row r="427" spans="1:9" x14ac:dyDescent="0.3">
      <c r="A427" t="s">
        <v>305</v>
      </c>
      <c r="B427" t="s">
        <v>1004</v>
      </c>
      <c r="C427">
        <v>1979</v>
      </c>
      <c r="D427">
        <v>0.89464089999999996</v>
      </c>
      <c r="E427" t="s">
        <v>1398</v>
      </c>
      <c r="I427">
        <v>68.152000000000001</v>
      </c>
    </row>
    <row r="428" spans="1:9" x14ac:dyDescent="0.3">
      <c r="A428" t="s">
        <v>305</v>
      </c>
      <c r="B428" t="s">
        <v>1004</v>
      </c>
      <c r="C428">
        <v>1980</v>
      </c>
      <c r="D428">
        <v>0.87824429999999998</v>
      </c>
      <c r="E428" t="s">
        <v>1398</v>
      </c>
      <c r="I428">
        <v>71.073999999999998</v>
      </c>
    </row>
    <row r="429" spans="1:9" x14ac:dyDescent="0.3">
      <c r="A429" t="s">
        <v>305</v>
      </c>
      <c r="B429" t="s">
        <v>1004</v>
      </c>
      <c r="C429">
        <v>1981</v>
      </c>
      <c r="D429">
        <v>0.87021459999999995</v>
      </c>
      <c r="E429" t="s">
        <v>1398</v>
      </c>
      <c r="I429">
        <v>66.018000000000001</v>
      </c>
    </row>
    <row r="430" spans="1:9" x14ac:dyDescent="0.3">
      <c r="A430" t="s">
        <v>305</v>
      </c>
      <c r="B430" t="s">
        <v>1004</v>
      </c>
      <c r="C430">
        <v>1982</v>
      </c>
      <c r="D430">
        <v>0.98586289999999999</v>
      </c>
      <c r="E430" t="s">
        <v>1398</v>
      </c>
      <c r="I430">
        <v>81.584999999999994</v>
      </c>
    </row>
    <row r="431" spans="1:9" x14ac:dyDescent="0.3">
      <c r="A431" t="s">
        <v>305</v>
      </c>
      <c r="B431" t="s">
        <v>1004</v>
      </c>
      <c r="C431">
        <v>1983</v>
      </c>
      <c r="D431">
        <v>1.110015</v>
      </c>
      <c r="E431" t="s">
        <v>1398</v>
      </c>
      <c r="I431">
        <v>87.653999999999996</v>
      </c>
    </row>
    <row r="432" spans="1:9" x14ac:dyDescent="0.3">
      <c r="A432" t="s">
        <v>305</v>
      </c>
      <c r="B432" t="s">
        <v>1004</v>
      </c>
      <c r="C432">
        <v>1984</v>
      </c>
      <c r="D432">
        <v>1.1395189999999999</v>
      </c>
      <c r="E432" t="s">
        <v>1398</v>
      </c>
      <c r="I432">
        <v>97.148623000000001</v>
      </c>
    </row>
    <row r="433" spans="1:9" x14ac:dyDescent="0.3">
      <c r="A433" t="s">
        <v>305</v>
      </c>
      <c r="B433" t="s">
        <v>1004</v>
      </c>
      <c r="C433">
        <v>1985</v>
      </c>
      <c r="D433">
        <v>1.4318949999999999</v>
      </c>
      <c r="E433" t="s">
        <v>1398</v>
      </c>
      <c r="I433">
        <v>138.614452</v>
      </c>
    </row>
    <row r="434" spans="1:9" x14ac:dyDescent="0.3">
      <c r="A434" t="s">
        <v>305</v>
      </c>
      <c r="B434" t="s">
        <v>1004</v>
      </c>
      <c r="C434">
        <v>1986</v>
      </c>
      <c r="D434">
        <v>1.4959739999999999</v>
      </c>
      <c r="E434" t="s">
        <v>1398</v>
      </c>
      <c r="I434">
        <v>167.56737799999999</v>
      </c>
    </row>
    <row r="435" spans="1:9" x14ac:dyDescent="0.3">
      <c r="A435" t="s">
        <v>305</v>
      </c>
      <c r="B435" t="s">
        <v>1004</v>
      </c>
      <c r="C435">
        <v>1987</v>
      </c>
      <c r="D435">
        <v>1.42818</v>
      </c>
      <c r="E435" t="s">
        <v>1398</v>
      </c>
      <c r="I435">
        <v>207.499878</v>
      </c>
    </row>
    <row r="436" spans="1:9" x14ac:dyDescent="0.3">
      <c r="A436" t="s">
        <v>305</v>
      </c>
      <c r="B436" t="s">
        <v>1004</v>
      </c>
      <c r="C436">
        <v>1988</v>
      </c>
      <c r="D436">
        <v>1.279908</v>
      </c>
      <c r="E436" t="s">
        <v>1398</v>
      </c>
      <c r="I436">
        <v>176.07688300000001</v>
      </c>
    </row>
    <row r="437" spans="1:9" x14ac:dyDescent="0.3">
      <c r="A437" t="s">
        <v>305</v>
      </c>
      <c r="B437" t="s">
        <v>1004</v>
      </c>
      <c r="C437">
        <v>1989</v>
      </c>
      <c r="D437">
        <v>1.264597</v>
      </c>
      <c r="E437" t="s">
        <v>1398</v>
      </c>
      <c r="I437">
        <v>200.40373199999999</v>
      </c>
    </row>
    <row r="438" spans="1:9" x14ac:dyDescent="0.3">
      <c r="A438" t="s">
        <v>305</v>
      </c>
      <c r="B438" t="s">
        <v>1004</v>
      </c>
      <c r="C438">
        <v>1990</v>
      </c>
      <c r="D438">
        <v>1.2810569999999999</v>
      </c>
      <c r="E438" t="s">
        <v>1398</v>
      </c>
      <c r="I438">
        <v>220.40373199999999</v>
      </c>
    </row>
    <row r="439" spans="1:9" x14ac:dyDescent="0.3">
      <c r="A439" t="s">
        <v>305</v>
      </c>
      <c r="B439" t="s">
        <v>1004</v>
      </c>
      <c r="C439">
        <v>1991</v>
      </c>
      <c r="D439">
        <v>1.2837559999999999</v>
      </c>
      <c r="E439" t="s">
        <v>1398</v>
      </c>
      <c r="I439">
        <v>263.24654700000002</v>
      </c>
    </row>
    <row r="440" spans="1:9" x14ac:dyDescent="0.3">
      <c r="A440" t="s">
        <v>305</v>
      </c>
      <c r="B440" t="s">
        <v>1004</v>
      </c>
      <c r="C440">
        <v>1992</v>
      </c>
      <c r="D440">
        <v>1.361648</v>
      </c>
      <c r="E440" t="s">
        <v>1398</v>
      </c>
      <c r="I440">
        <v>295.840642</v>
      </c>
    </row>
    <row r="441" spans="1:9" x14ac:dyDescent="0.3">
      <c r="A441" t="s">
        <v>305</v>
      </c>
      <c r="B441" t="s">
        <v>1004</v>
      </c>
      <c r="C441">
        <v>1993</v>
      </c>
      <c r="D441">
        <v>1.4705600000000001</v>
      </c>
      <c r="E441" t="s">
        <v>1398</v>
      </c>
      <c r="I441">
        <v>353.376735</v>
      </c>
    </row>
    <row r="442" spans="1:9" x14ac:dyDescent="0.3">
      <c r="A442" t="s">
        <v>305</v>
      </c>
      <c r="B442" t="s">
        <v>1004</v>
      </c>
      <c r="C442">
        <v>1994</v>
      </c>
      <c r="D442">
        <v>1.3677509999999999</v>
      </c>
      <c r="E442" t="s">
        <v>1398</v>
      </c>
      <c r="I442">
        <v>318.34261700000002</v>
      </c>
    </row>
    <row r="443" spans="1:9" x14ac:dyDescent="0.3">
      <c r="A443" t="s">
        <v>305</v>
      </c>
      <c r="B443" t="s">
        <v>1004</v>
      </c>
      <c r="C443">
        <v>1995</v>
      </c>
      <c r="D443">
        <v>1.3490329999999999</v>
      </c>
      <c r="E443" t="s">
        <v>1398</v>
      </c>
      <c r="I443">
        <v>367.852284</v>
      </c>
    </row>
    <row r="444" spans="1:9" x14ac:dyDescent="0.3">
      <c r="A444" t="s">
        <v>305</v>
      </c>
      <c r="B444" t="s">
        <v>1004</v>
      </c>
      <c r="C444">
        <v>1996</v>
      </c>
      <c r="D444">
        <v>1.277863</v>
      </c>
      <c r="E444" t="s">
        <v>1398</v>
      </c>
      <c r="I444">
        <v>371.76828399999999</v>
      </c>
    </row>
    <row r="445" spans="1:9" x14ac:dyDescent="0.3">
      <c r="A445" t="s">
        <v>305</v>
      </c>
      <c r="B445" t="s">
        <v>1004</v>
      </c>
      <c r="C445">
        <v>1997</v>
      </c>
      <c r="D445">
        <v>1.34738</v>
      </c>
      <c r="E445" t="s">
        <v>1398</v>
      </c>
      <c r="I445">
        <v>458.87418100000002</v>
      </c>
    </row>
    <row r="446" spans="1:9" x14ac:dyDescent="0.3">
      <c r="A446" t="s">
        <v>305</v>
      </c>
      <c r="B446" t="s">
        <v>1004</v>
      </c>
      <c r="C446">
        <v>1998</v>
      </c>
      <c r="D446">
        <v>1.591828</v>
      </c>
      <c r="E446" t="s">
        <v>1398</v>
      </c>
      <c r="I446">
        <v>570.09447499999999</v>
      </c>
    </row>
    <row r="447" spans="1:9" x14ac:dyDescent="0.3">
      <c r="A447" t="s">
        <v>305</v>
      </c>
      <c r="B447" t="s">
        <v>1004</v>
      </c>
      <c r="C447">
        <v>1999</v>
      </c>
      <c r="D447">
        <v>1.5499499999999999</v>
      </c>
      <c r="E447" t="s">
        <v>1398</v>
      </c>
      <c r="I447">
        <v>601.53001500000005</v>
      </c>
    </row>
    <row r="448" spans="1:9" x14ac:dyDescent="0.3">
      <c r="A448" t="s">
        <v>305</v>
      </c>
      <c r="B448" t="s">
        <v>1004</v>
      </c>
      <c r="C448">
        <v>2000</v>
      </c>
      <c r="D448">
        <v>1.7248270000000001</v>
      </c>
      <c r="E448" t="s">
        <v>1398</v>
      </c>
      <c r="I448">
        <v>658.00299299999995</v>
      </c>
    </row>
    <row r="449" spans="1:9" x14ac:dyDescent="0.3">
      <c r="A449" t="s">
        <v>305</v>
      </c>
      <c r="B449" t="s">
        <v>1004</v>
      </c>
      <c r="C449">
        <v>2001</v>
      </c>
      <c r="D449">
        <v>1.9334420000000001</v>
      </c>
      <c r="E449" t="s">
        <v>1398</v>
      </c>
      <c r="I449">
        <v>635.887114</v>
      </c>
    </row>
    <row r="450" spans="1:9" x14ac:dyDescent="0.3">
      <c r="A450" t="s">
        <v>305</v>
      </c>
      <c r="B450" t="s">
        <v>1004</v>
      </c>
      <c r="C450">
        <v>2002</v>
      </c>
      <c r="D450">
        <v>1.840562</v>
      </c>
      <c r="E450" t="s">
        <v>1398</v>
      </c>
      <c r="I450">
        <v>575.98696900000004</v>
      </c>
    </row>
    <row r="451" spans="1:9" x14ac:dyDescent="0.3">
      <c r="A451" t="s">
        <v>305</v>
      </c>
      <c r="B451" t="s">
        <v>1004</v>
      </c>
      <c r="C451">
        <v>2003</v>
      </c>
      <c r="D451">
        <v>1.541914</v>
      </c>
      <c r="E451" t="s">
        <v>1398</v>
      </c>
      <c r="I451">
        <v>562.57716700000003</v>
      </c>
    </row>
    <row r="452" spans="1:9" x14ac:dyDescent="0.3">
      <c r="A452" t="s">
        <v>305</v>
      </c>
      <c r="B452" t="s">
        <v>1004</v>
      </c>
      <c r="C452">
        <v>2004</v>
      </c>
      <c r="D452">
        <v>1.359753</v>
      </c>
      <c r="E452" t="s">
        <v>1398</v>
      </c>
      <c r="I452">
        <v>589.07421899999997</v>
      </c>
    </row>
    <row r="453" spans="1:9" x14ac:dyDescent="0.3">
      <c r="A453" t="s">
        <v>305</v>
      </c>
      <c r="B453" t="s">
        <v>1004</v>
      </c>
      <c r="C453">
        <v>2005</v>
      </c>
      <c r="D453">
        <v>1.3094730000000001</v>
      </c>
      <c r="E453" t="s">
        <v>1398</v>
      </c>
      <c r="I453">
        <v>646.81693299999995</v>
      </c>
    </row>
    <row r="454" spans="1:9" x14ac:dyDescent="0.3">
      <c r="A454" t="s">
        <v>305</v>
      </c>
      <c r="B454" t="s">
        <v>1004</v>
      </c>
      <c r="C454">
        <v>2006</v>
      </c>
      <c r="D454">
        <v>1.3279730000000001</v>
      </c>
      <c r="E454" t="s">
        <v>1398</v>
      </c>
      <c r="I454">
        <v>659.58488199999999</v>
      </c>
    </row>
    <row r="455" spans="1:9" x14ac:dyDescent="0.3">
      <c r="A455" t="s">
        <v>305</v>
      </c>
      <c r="B455" t="s">
        <v>1004</v>
      </c>
      <c r="C455">
        <v>2007</v>
      </c>
      <c r="D455">
        <v>1.1950730000000001</v>
      </c>
      <c r="E455" t="s">
        <v>1398</v>
      </c>
      <c r="I455">
        <v>637.33560299999999</v>
      </c>
    </row>
    <row r="456" spans="1:9" x14ac:dyDescent="0.3">
      <c r="A456" t="s">
        <v>305</v>
      </c>
      <c r="B456" t="s">
        <v>1004</v>
      </c>
      <c r="C456">
        <v>2008</v>
      </c>
      <c r="D456">
        <v>1.192178</v>
      </c>
      <c r="E456" t="s">
        <v>1398</v>
      </c>
      <c r="I456">
        <v>561.60110099999997</v>
      </c>
    </row>
    <row r="457" spans="1:9" x14ac:dyDescent="0.3">
      <c r="A457" t="s">
        <v>305</v>
      </c>
      <c r="B457" t="s">
        <v>1004</v>
      </c>
      <c r="C457">
        <v>2009</v>
      </c>
      <c r="D457">
        <v>1.282189</v>
      </c>
      <c r="E457" t="s">
        <v>1398</v>
      </c>
      <c r="I457">
        <v>570.91348700000003</v>
      </c>
    </row>
    <row r="458" spans="1:9" x14ac:dyDescent="0.3">
      <c r="A458" t="s">
        <v>305</v>
      </c>
      <c r="B458" t="s">
        <v>1004</v>
      </c>
      <c r="C458">
        <v>2010</v>
      </c>
      <c r="D458">
        <v>1.09016</v>
      </c>
      <c r="E458" t="s">
        <v>1398</v>
      </c>
      <c r="I458">
        <v>580.91652999999997</v>
      </c>
    </row>
    <row r="459" spans="1:9" x14ac:dyDescent="0.3">
      <c r="A459" t="s">
        <v>305</v>
      </c>
      <c r="B459" t="s">
        <v>1004</v>
      </c>
      <c r="C459">
        <v>2011</v>
      </c>
      <c r="D459">
        <v>0.96946319999999997</v>
      </c>
      <c r="E459" t="s">
        <v>1398</v>
      </c>
      <c r="I459">
        <v>578.93910500000004</v>
      </c>
    </row>
    <row r="460" spans="1:9" x14ac:dyDescent="0.3">
      <c r="A460" t="s">
        <v>305</v>
      </c>
      <c r="B460" t="s">
        <v>1004</v>
      </c>
      <c r="C460">
        <v>2012</v>
      </c>
      <c r="D460">
        <v>0.96580109999999997</v>
      </c>
      <c r="E460" t="s">
        <v>1398</v>
      </c>
      <c r="I460">
        <v>613.87538400000005</v>
      </c>
    </row>
    <row r="461" spans="1:9" x14ac:dyDescent="0.3">
      <c r="A461" t="s">
        <v>305</v>
      </c>
      <c r="B461" t="s">
        <v>1004</v>
      </c>
      <c r="C461">
        <v>2013</v>
      </c>
      <c r="D461">
        <v>1.0358430000000001</v>
      </c>
      <c r="E461" t="s">
        <v>1398</v>
      </c>
      <c r="I461">
        <v>660.91609300000005</v>
      </c>
    </row>
    <row r="462" spans="1:9" x14ac:dyDescent="0.3">
      <c r="A462" t="s">
        <v>305</v>
      </c>
      <c r="B462" t="s">
        <v>1004</v>
      </c>
      <c r="C462">
        <v>2014</v>
      </c>
      <c r="D462">
        <v>1.1093630000000001</v>
      </c>
      <c r="E462" t="s">
        <v>1398</v>
      </c>
      <c r="I462">
        <v>678.97107300000005</v>
      </c>
    </row>
    <row r="463" spans="1:9" x14ac:dyDescent="0.3">
      <c r="A463" t="s">
        <v>305</v>
      </c>
      <c r="B463" t="s">
        <v>1004</v>
      </c>
      <c r="C463">
        <v>2015</v>
      </c>
      <c r="D463">
        <v>1.3310900000000001</v>
      </c>
      <c r="E463" t="s">
        <v>1398</v>
      </c>
      <c r="I463">
        <v>756.25920199999996</v>
      </c>
    </row>
    <row r="464" spans="1:9" x14ac:dyDescent="0.3">
      <c r="A464" t="s">
        <v>305</v>
      </c>
      <c r="B464" t="s">
        <v>1004</v>
      </c>
      <c r="C464">
        <v>2016</v>
      </c>
      <c r="D464">
        <v>1.3452139999999999</v>
      </c>
      <c r="E464" t="s">
        <v>1398</v>
      </c>
      <c r="I464">
        <v>868.09569875</v>
      </c>
    </row>
    <row r="465" spans="1:10" x14ac:dyDescent="0.3">
      <c r="A465" t="s">
        <v>305</v>
      </c>
      <c r="B465" t="s">
        <v>1004</v>
      </c>
      <c r="C465">
        <v>2017</v>
      </c>
      <c r="D465">
        <v>1.3047580000000001</v>
      </c>
      <c r="E465" t="s">
        <v>1398</v>
      </c>
      <c r="I465">
        <v>942.65785808999999</v>
      </c>
    </row>
    <row r="466" spans="1:10" x14ac:dyDescent="0.3">
      <c r="A466" t="s">
        <v>305</v>
      </c>
      <c r="B466" t="s">
        <v>1004</v>
      </c>
      <c r="C466">
        <v>2018</v>
      </c>
      <c r="D466">
        <v>1.3384119999999999</v>
      </c>
      <c r="E466" t="s">
        <v>1398</v>
      </c>
      <c r="I466">
        <v>973.20727654999996</v>
      </c>
    </row>
    <row r="467" spans="1:10" x14ac:dyDescent="0.3">
      <c r="A467" t="s">
        <v>305</v>
      </c>
      <c r="B467" t="s">
        <v>1004</v>
      </c>
      <c r="C467">
        <v>2019</v>
      </c>
      <c r="D467">
        <v>1.438507</v>
      </c>
      <c r="E467" t="s">
        <v>1398</v>
      </c>
      <c r="I467">
        <v>1153.38861544</v>
      </c>
    </row>
    <row r="468" spans="1:10" x14ac:dyDescent="0.3">
      <c r="A468" t="s">
        <v>305</v>
      </c>
      <c r="B468" t="s">
        <v>1004</v>
      </c>
      <c r="C468">
        <v>2020</v>
      </c>
      <c r="D468">
        <v>1.453085</v>
      </c>
      <c r="E468" t="s">
        <v>1398</v>
      </c>
      <c r="I468">
        <v>1172.4366768299999</v>
      </c>
    </row>
    <row r="469" spans="1:10" x14ac:dyDescent="0.3">
      <c r="A469" t="s">
        <v>305</v>
      </c>
      <c r="B469" t="s">
        <v>1004</v>
      </c>
      <c r="C469">
        <v>2021</v>
      </c>
      <c r="D469">
        <v>1.331224</v>
      </c>
      <c r="E469" t="s">
        <v>1398</v>
      </c>
      <c r="I469">
        <v>1352.6766133800002</v>
      </c>
    </row>
    <row r="470" spans="1:10" x14ac:dyDescent="0.3">
      <c r="A470" t="s">
        <v>305</v>
      </c>
      <c r="B470" t="s">
        <v>1004</v>
      </c>
      <c r="C470">
        <v>2022</v>
      </c>
      <c r="D470">
        <v>1.4416640000000001</v>
      </c>
      <c r="E470" t="s">
        <v>1398</v>
      </c>
      <c r="I470">
        <v>1193.6431755199999</v>
      </c>
    </row>
    <row r="471" spans="1:10" x14ac:dyDescent="0.3">
      <c r="A471" t="s">
        <v>305</v>
      </c>
      <c r="B471" t="s">
        <v>1004</v>
      </c>
      <c r="C471">
        <v>2023</v>
      </c>
      <c r="D471">
        <v>1.5051909999999999</v>
      </c>
      <c r="E471" t="s">
        <v>1398</v>
      </c>
      <c r="I471">
        <v>1388.90836367</v>
      </c>
    </row>
    <row r="472" spans="1:10" x14ac:dyDescent="0.3">
      <c r="A472" t="s">
        <v>305</v>
      </c>
      <c r="B472" t="s">
        <v>1004</v>
      </c>
      <c r="C472">
        <v>2024</v>
      </c>
      <c r="D472">
        <v>1.515358</v>
      </c>
      <c r="E472" t="s">
        <v>1398</v>
      </c>
      <c r="I472">
        <v>1600.1949940899999</v>
      </c>
    </row>
    <row r="473" spans="1:10" x14ac:dyDescent="0.3">
      <c r="A473" t="s">
        <v>479</v>
      </c>
      <c r="B473" t="s">
        <v>595</v>
      </c>
      <c r="C473">
        <v>2006</v>
      </c>
      <c r="E473" t="s">
        <v>1385</v>
      </c>
      <c r="J473">
        <v>1100</v>
      </c>
    </row>
    <row r="474" spans="1:10" x14ac:dyDescent="0.3">
      <c r="A474" t="s">
        <v>479</v>
      </c>
      <c r="B474" t="s">
        <v>595</v>
      </c>
      <c r="C474">
        <v>2007</v>
      </c>
      <c r="E474" t="s">
        <v>1385</v>
      </c>
      <c r="J474">
        <v>15500</v>
      </c>
    </row>
    <row r="475" spans="1:10" x14ac:dyDescent="0.3">
      <c r="A475" t="s">
        <v>479</v>
      </c>
      <c r="B475" t="s">
        <v>595</v>
      </c>
      <c r="C475">
        <v>2008</v>
      </c>
      <c r="E475" t="s">
        <v>1385</v>
      </c>
      <c r="J475">
        <v>21600</v>
      </c>
    </row>
    <row r="476" spans="1:10" x14ac:dyDescent="0.3">
      <c r="A476" t="s">
        <v>479</v>
      </c>
      <c r="B476" t="s">
        <v>595</v>
      </c>
      <c r="C476">
        <v>2009</v>
      </c>
      <c r="E476" t="s">
        <v>1385</v>
      </c>
      <c r="J476">
        <v>29600</v>
      </c>
    </row>
    <row r="477" spans="1:10" x14ac:dyDescent="0.3">
      <c r="A477" t="s">
        <v>479</v>
      </c>
      <c r="B477" t="s">
        <v>595</v>
      </c>
      <c r="C477">
        <v>2010</v>
      </c>
      <c r="E477" t="s">
        <v>1385</v>
      </c>
      <c r="J477">
        <v>36173</v>
      </c>
    </row>
    <row r="478" spans="1:10" x14ac:dyDescent="0.3">
      <c r="A478" t="s">
        <v>479</v>
      </c>
      <c r="B478" t="s">
        <v>595</v>
      </c>
      <c r="C478">
        <v>2011</v>
      </c>
      <c r="E478" t="s">
        <v>1385</v>
      </c>
      <c r="J478">
        <v>42900</v>
      </c>
    </row>
    <row r="479" spans="1:10" x14ac:dyDescent="0.3">
      <c r="A479" t="s">
        <v>479</v>
      </c>
      <c r="B479" t="s">
        <v>595</v>
      </c>
      <c r="C479">
        <v>2012</v>
      </c>
      <c r="E479" t="s">
        <v>1385</v>
      </c>
      <c r="J479">
        <v>56600</v>
      </c>
    </row>
    <row r="480" spans="1:10" x14ac:dyDescent="0.3">
      <c r="A480" t="s">
        <v>479</v>
      </c>
      <c r="B480" t="s">
        <v>595</v>
      </c>
      <c r="C480">
        <v>2013</v>
      </c>
      <c r="E480" t="s">
        <v>1385</v>
      </c>
      <c r="J480">
        <v>72000</v>
      </c>
    </row>
    <row r="481" spans="1:10" x14ac:dyDescent="0.3">
      <c r="A481" t="s">
        <v>479</v>
      </c>
      <c r="B481" t="s">
        <v>595</v>
      </c>
      <c r="C481">
        <v>2014</v>
      </c>
      <c r="E481" t="s">
        <v>1385</v>
      </c>
      <c r="J481">
        <v>84700</v>
      </c>
    </row>
    <row r="482" spans="1:10" x14ac:dyDescent="0.3">
      <c r="A482" t="s">
        <v>479</v>
      </c>
      <c r="B482" t="s">
        <v>595</v>
      </c>
      <c r="C482">
        <v>2015</v>
      </c>
      <c r="E482" t="s">
        <v>1385</v>
      </c>
      <c r="J482">
        <v>91800</v>
      </c>
    </row>
    <row r="483" spans="1:10" x14ac:dyDescent="0.3">
      <c r="A483" t="s">
        <v>479</v>
      </c>
      <c r="B483" t="s">
        <v>595</v>
      </c>
      <c r="C483">
        <v>2016</v>
      </c>
      <c r="E483" t="s">
        <v>1385</v>
      </c>
      <c r="J483">
        <v>110800</v>
      </c>
    </row>
    <row r="484" spans="1:10" x14ac:dyDescent="0.3">
      <c r="A484" t="s">
        <v>479</v>
      </c>
      <c r="B484" t="s">
        <v>595</v>
      </c>
      <c r="C484">
        <v>2017</v>
      </c>
      <c r="E484" t="s">
        <v>1385</v>
      </c>
      <c r="J484">
        <v>134100</v>
      </c>
    </row>
    <row r="485" spans="1:10" x14ac:dyDescent="0.3">
      <c r="A485" t="s">
        <v>479</v>
      </c>
      <c r="B485" t="s">
        <v>595</v>
      </c>
      <c r="C485">
        <v>2018</v>
      </c>
      <c r="E485" t="s">
        <v>1385</v>
      </c>
      <c r="J485">
        <v>131600</v>
      </c>
    </row>
    <row r="486" spans="1:10" x14ac:dyDescent="0.3">
      <c r="A486" t="s">
        <v>479</v>
      </c>
      <c r="B486" t="s">
        <v>595</v>
      </c>
      <c r="C486">
        <v>2019</v>
      </c>
      <c r="E486" t="s">
        <v>1385</v>
      </c>
      <c r="J486">
        <v>157300</v>
      </c>
    </row>
    <row r="487" spans="1:10" x14ac:dyDescent="0.3">
      <c r="A487" t="s">
        <v>479</v>
      </c>
      <c r="B487" t="s">
        <v>595</v>
      </c>
      <c r="C487">
        <v>2020</v>
      </c>
      <c r="E487" t="s">
        <v>1385</v>
      </c>
      <c r="J487">
        <v>183100</v>
      </c>
    </row>
    <row r="488" spans="1:10" x14ac:dyDescent="0.3">
      <c r="A488" t="s">
        <v>479</v>
      </c>
      <c r="B488" t="s">
        <v>595</v>
      </c>
      <c r="C488">
        <v>2021</v>
      </c>
      <c r="E488" t="s">
        <v>1385</v>
      </c>
      <c r="J488">
        <v>205000</v>
      </c>
    </row>
    <row r="489" spans="1:10" x14ac:dyDescent="0.3">
      <c r="A489" t="s">
        <v>479</v>
      </c>
      <c r="B489" t="s">
        <v>595</v>
      </c>
      <c r="C489">
        <v>2022</v>
      </c>
      <c r="E489" t="s">
        <v>1385</v>
      </c>
      <c r="J489">
        <v>169300</v>
      </c>
    </row>
    <row r="490" spans="1:10" x14ac:dyDescent="0.3">
      <c r="A490" t="s">
        <v>479</v>
      </c>
      <c r="B490" t="s">
        <v>595</v>
      </c>
      <c r="C490">
        <v>2023</v>
      </c>
      <c r="E490" t="s">
        <v>1385</v>
      </c>
      <c r="J490">
        <v>189400</v>
      </c>
    </row>
    <row r="491" spans="1:10" x14ac:dyDescent="0.3">
      <c r="A491" t="s">
        <v>479</v>
      </c>
      <c r="B491" t="s">
        <v>595</v>
      </c>
      <c r="C491">
        <v>2024</v>
      </c>
      <c r="E491" t="s">
        <v>1385</v>
      </c>
      <c r="J491">
        <v>206500</v>
      </c>
    </row>
    <row r="492" spans="1:10" x14ac:dyDescent="0.3">
      <c r="A492" t="s">
        <v>326</v>
      </c>
      <c r="B492" t="s">
        <v>596</v>
      </c>
      <c r="C492">
        <v>2015</v>
      </c>
      <c r="D492">
        <v>0.9012964</v>
      </c>
      <c r="E492" t="s">
        <v>1386</v>
      </c>
      <c r="F492">
        <v>50</v>
      </c>
      <c r="G492">
        <v>50</v>
      </c>
      <c r="H492">
        <v>0</v>
      </c>
    </row>
    <row r="493" spans="1:10" x14ac:dyDescent="0.3">
      <c r="A493" t="s">
        <v>326</v>
      </c>
      <c r="B493" t="s">
        <v>596</v>
      </c>
      <c r="C493">
        <v>2016</v>
      </c>
      <c r="D493">
        <v>0.90342149999999999</v>
      </c>
      <c r="E493" t="s">
        <v>1386</v>
      </c>
      <c r="F493">
        <v>135.06545396000001</v>
      </c>
      <c r="G493">
        <v>135.07823296000001</v>
      </c>
      <c r="H493">
        <v>1.2779E-2</v>
      </c>
    </row>
    <row r="494" spans="1:10" x14ac:dyDescent="0.3">
      <c r="A494" t="s">
        <v>326</v>
      </c>
      <c r="B494" t="s">
        <v>596</v>
      </c>
      <c r="C494">
        <v>2017</v>
      </c>
      <c r="D494">
        <v>0.88520549999999998</v>
      </c>
      <c r="E494" t="s">
        <v>1386</v>
      </c>
      <c r="F494">
        <v>192.01238475</v>
      </c>
      <c r="G494">
        <v>192.03264285</v>
      </c>
      <c r="H494">
        <v>2.0258099999999998E-2</v>
      </c>
    </row>
    <row r="495" spans="1:10" x14ac:dyDescent="0.3">
      <c r="A495" t="s">
        <v>326</v>
      </c>
      <c r="B495" t="s">
        <v>596</v>
      </c>
      <c r="C495">
        <v>2018</v>
      </c>
      <c r="D495">
        <v>0.84677270000000004</v>
      </c>
      <c r="E495" t="s">
        <v>1386</v>
      </c>
      <c r="F495">
        <v>234.89870331999998</v>
      </c>
      <c r="G495">
        <v>234.91731390000001</v>
      </c>
      <c r="H495">
        <v>1.8610580000000002E-2</v>
      </c>
    </row>
    <row r="496" spans="1:10" x14ac:dyDescent="0.3">
      <c r="A496" t="s">
        <v>326</v>
      </c>
      <c r="B496" t="s">
        <v>596</v>
      </c>
      <c r="C496">
        <v>2019</v>
      </c>
      <c r="D496">
        <v>0.89327630000000002</v>
      </c>
      <c r="E496" t="s">
        <v>1386</v>
      </c>
      <c r="F496">
        <v>326.70059364999997</v>
      </c>
      <c r="G496">
        <v>326.72855222000004</v>
      </c>
      <c r="H496">
        <v>2.7958569999999999E-2</v>
      </c>
    </row>
    <row r="497" spans="1:8" x14ac:dyDescent="0.3">
      <c r="A497" t="s">
        <v>326</v>
      </c>
      <c r="B497" t="s">
        <v>596</v>
      </c>
      <c r="C497">
        <v>2020</v>
      </c>
      <c r="D497">
        <v>0.87550640000000002</v>
      </c>
      <c r="E497" t="s">
        <v>1386</v>
      </c>
      <c r="F497">
        <v>398.00906535000001</v>
      </c>
      <c r="G497">
        <v>398.05661146</v>
      </c>
      <c r="H497">
        <v>4.7546110000000003E-2</v>
      </c>
    </row>
    <row r="498" spans="1:8" x14ac:dyDescent="0.3">
      <c r="A498" t="s">
        <v>326</v>
      </c>
      <c r="B498" t="s">
        <v>596</v>
      </c>
      <c r="C498">
        <v>2021</v>
      </c>
      <c r="D498">
        <v>0.84549419999999997</v>
      </c>
      <c r="E498" t="s">
        <v>1386</v>
      </c>
      <c r="F498">
        <v>503.26360225999997</v>
      </c>
      <c r="G498">
        <v>503.30657688000002</v>
      </c>
      <c r="H498">
        <v>4.2974620000000005E-2</v>
      </c>
    </row>
    <row r="499" spans="1:8" x14ac:dyDescent="0.3">
      <c r="A499" t="s">
        <v>326</v>
      </c>
      <c r="B499" t="s">
        <v>596</v>
      </c>
      <c r="C499">
        <v>2022</v>
      </c>
      <c r="D499">
        <v>0.94962380000000002</v>
      </c>
      <c r="E499" t="s">
        <v>1386</v>
      </c>
      <c r="F499">
        <v>476.85034611000003</v>
      </c>
      <c r="G499">
        <v>476.89370898000004</v>
      </c>
      <c r="H499">
        <v>4.3362870000000005E-2</v>
      </c>
    </row>
    <row r="500" spans="1:8" x14ac:dyDescent="0.3">
      <c r="A500" t="s">
        <v>326</v>
      </c>
      <c r="B500" t="s">
        <v>596</v>
      </c>
      <c r="C500">
        <v>2023</v>
      </c>
      <c r="D500">
        <v>0.92483959999999998</v>
      </c>
      <c r="E500" t="s">
        <v>1386</v>
      </c>
      <c r="F500">
        <v>598.59563246000005</v>
      </c>
      <c r="G500">
        <v>598.64622829999996</v>
      </c>
      <c r="H500">
        <v>5.0595889999999998E-2</v>
      </c>
    </row>
    <row r="501" spans="1:8" x14ac:dyDescent="0.3">
      <c r="A501" t="s">
        <v>326</v>
      </c>
      <c r="B501" t="s">
        <v>596</v>
      </c>
      <c r="C501">
        <v>2024</v>
      </c>
      <c r="D501">
        <v>0.92388950000000003</v>
      </c>
      <c r="E501" t="s">
        <v>1386</v>
      </c>
      <c r="F501">
        <v>701.83121815999993</v>
      </c>
      <c r="G501">
        <v>701.88981921000004</v>
      </c>
      <c r="H501">
        <v>5.8601050000000002E-2</v>
      </c>
    </row>
    <row r="502" spans="1:8" x14ac:dyDescent="0.3">
      <c r="A502" t="s">
        <v>330</v>
      </c>
      <c r="B502" t="s">
        <v>597</v>
      </c>
      <c r="C502">
        <v>2004</v>
      </c>
      <c r="D502">
        <v>3.8</v>
      </c>
      <c r="E502" t="s">
        <v>1399</v>
      </c>
      <c r="F502">
        <v>13202</v>
      </c>
      <c r="G502">
        <v>30134</v>
      </c>
      <c r="H502">
        <v>16932</v>
      </c>
    </row>
    <row r="503" spans="1:8" x14ac:dyDescent="0.3">
      <c r="A503" t="s">
        <v>330</v>
      </c>
      <c r="B503" t="s">
        <v>597</v>
      </c>
      <c r="C503">
        <v>2005</v>
      </c>
      <c r="D503">
        <v>3.7870919999999999</v>
      </c>
      <c r="E503" t="s">
        <v>1399</v>
      </c>
      <c r="F503">
        <v>12244</v>
      </c>
      <c r="G503">
        <v>35959</v>
      </c>
      <c r="H503">
        <v>23715</v>
      </c>
    </row>
    <row r="504" spans="1:8" x14ac:dyDescent="0.3">
      <c r="A504" t="s">
        <v>330</v>
      </c>
      <c r="B504" t="s">
        <v>597</v>
      </c>
      <c r="C504">
        <v>2006</v>
      </c>
      <c r="D504">
        <v>3.668177</v>
      </c>
      <c r="E504" t="s">
        <v>1399</v>
      </c>
      <c r="F504">
        <v>13041</v>
      </c>
      <c r="G504">
        <v>40422</v>
      </c>
      <c r="H504">
        <v>27381</v>
      </c>
    </row>
    <row r="505" spans="1:8" x14ac:dyDescent="0.3">
      <c r="A505" t="s">
        <v>330</v>
      </c>
      <c r="B505" t="s">
        <v>597</v>
      </c>
      <c r="C505">
        <v>2007</v>
      </c>
      <c r="D505">
        <v>3.4375689999999999</v>
      </c>
      <c r="E505" t="s">
        <v>1399</v>
      </c>
      <c r="F505">
        <v>17866</v>
      </c>
      <c r="G505">
        <v>41983</v>
      </c>
      <c r="H505">
        <v>24116</v>
      </c>
    </row>
    <row r="506" spans="1:8" x14ac:dyDescent="0.3">
      <c r="A506" t="s">
        <v>330</v>
      </c>
      <c r="B506" t="s">
        <v>597</v>
      </c>
      <c r="C506">
        <v>2008</v>
      </c>
      <c r="D506">
        <v>3.335833</v>
      </c>
      <c r="E506" t="s">
        <v>1399</v>
      </c>
      <c r="F506">
        <v>17139</v>
      </c>
      <c r="G506">
        <v>53431</v>
      </c>
      <c r="H506">
        <v>36292</v>
      </c>
    </row>
    <row r="507" spans="1:8" x14ac:dyDescent="0.3">
      <c r="A507" t="s">
        <v>330</v>
      </c>
      <c r="B507" t="s">
        <v>597</v>
      </c>
      <c r="C507">
        <v>2009</v>
      </c>
      <c r="D507">
        <v>3.5245030000000002</v>
      </c>
      <c r="E507" t="s">
        <v>1399</v>
      </c>
      <c r="F507">
        <v>17638</v>
      </c>
      <c r="G507">
        <v>55539</v>
      </c>
      <c r="H507">
        <v>37901</v>
      </c>
    </row>
    <row r="508" spans="1:8" x14ac:dyDescent="0.3">
      <c r="A508" t="s">
        <v>330</v>
      </c>
      <c r="B508" t="s">
        <v>597</v>
      </c>
      <c r="C508">
        <v>2010</v>
      </c>
      <c r="D508">
        <v>3.2210869999999998</v>
      </c>
      <c r="E508" t="s">
        <v>1399</v>
      </c>
      <c r="F508">
        <v>21409</v>
      </c>
      <c r="G508">
        <v>59431</v>
      </c>
      <c r="H508">
        <v>38022</v>
      </c>
    </row>
    <row r="509" spans="1:8" x14ac:dyDescent="0.3">
      <c r="A509" t="s">
        <v>330</v>
      </c>
      <c r="B509" t="s">
        <v>597</v>
      </c>
      <c r="C509">
        <v>2011</v>
      </c>
      <c r="D509">
        <v>3.060003</v>
      </c>
      <c r="E509" t="s">
        <v>1399</v>
      </c>
      <c r="F509">
        <v>25625</v>
      </c>
      <c r="G509">
        <v>65172</v>
      </c>
      <c r="H509">
        <v>39547</v>
      </c>
    </row>
    <row r="510" spans="1:8" x14ac:dyDescent="0.3">
      <c r="A510" t="s">
        <v>330</v>
      </c>
      <c r="B510" t="s">
        <v>597</v>
      </c>
      <c r="C510">
        <v>2012</v>
      </c>
      <c r="D510">
        <v>3.0888010000000001</v>
      </c>
      <c r="E510" t="s">
        <v>1399</v>
      </c>
      <c r="F510">
        <v>26980</v>
      </c>
      <c r="G510">
        <v>64355</v>
      </c>
      <c r="H510">
        <v>37375</v>
      </c>
    </row>
    <row r="511" spans="1:8" x14ac:dyDescent="0.3">
      <c r="A511" t="s">
        <v>330</v>
      </c>
      <c r="B511" t="s">
        <v>597</v>
      </c>
      <c r="C511">
        <v>2013</v>
      </c>
      <c r="D511">
        <v>3.1509079999999998</v>
      </c>
      <c r="E511" t="s">
        <v>1399</v>
      </c>
      <c r="F511">
        <v>29387</v>
      </c>
      <c r="G511">
        <v>65948</v>
      </c>
      <c r="H511">
        <v>36561</v>
      </c>
    </row>
    <row r="512" spans="1:8" x14ac:dyDescent="0.3">
      <c r="A512" t="s">
        <v>330</v>
      </c>
      <c r="B512" t="s">
        <v>597</v>
      </c>
      <c r="C512">
        <v>2014</v>
      </c>
      <c r="D512">
        <v>3.2728600000000001</v>
      </c>
      <c r="E512" t="s">
        <v>1399</v>
      </c>
      <c r="F512">
        <v>35339</v>
      </c>
      <c r="G512">
        <v>77901</v>
      </c>
      <c r="H512">
        <v>42562</v>
      </c>
    </row>
    <row r="513" spans="1:8" x14ac:dyDescent="0.3">
      <c r="A513" t="s">
        <v>330</v>
      </c>
      <c r="B513" t="s">
        <v>597</v>
      </c>
      <c r="C513">
        <v>2015</v>
      </c>
      <c r="D513">
        <v>3.9055</v>
      </c>
      <c r="E513" t="s">
        <v>1399</v>
      </c>
      <c r="F513">
        <v>36353</v>
      </c>
      <c r="G513">
        <v>84342</v>
      </c>
      <c r="H513">
        <v>47989</v>
      </c>
    </row>
    <row r="514" spans="1:8" x14ac:dyDescent="0.3">
      <c r="A514" t="s">
        <v>330</v>
      </c>
      <c r="B514" t="s">
        <v>597</v>
      </c>
      <c r="C514">
        <v>2016</v>
      </c>
      <c r="D514">
        <v>4.148301</v>
      </c>
      <c r="E514" t="s">
        <v>1399</v>
      </c>
      <c r="F514">
        <v>37831</v>
      </c>
      <c r="G514">
        <v>88449</v>
      </c>
      <c r="H514">
        <v>50618</v>
      </c>
    </row>
    <row r="515" spans="1:8" x14ac:dyDescent="0.3">
      <c r="A515" t="s">
        <v>330</v>
      </c>
      <c r="B515" t="s">
        <v>597</v>
      </c>
      <c r="C515">
        <v>2017</v>
      </c>
      <c r="D515">
        <v>4.3004410000000002</v>
      </c>
      <c r="E515" t="s">
        <v>1399</v>
      </c>
      <c r="F515">
        <v>41367</v>
      </c>
      <c r="G515">
        <v>92567</v>
      </c>
      <c r="H515">
        <v>51200</v>
      </c>
    </row>
    <row r="516" spans="1:8" x14ac:dyDescent="0.3">
      <c r="A516" t="s">
        <v>330</v>
      </c>
      <c r="B516" t="s">
        <v>597</v>
      </c>
      <c r="C516">
        <v>2018</v>
      </c>
      <c r="D516">
        <v>4.0351299999999997</v>
      </c>
      <c r="E516" t="s">
        <v>1399</v>
      </c>
      <c r="F516">
        <v>30917</v>
      </c>
      <c r="G516">
        <v>86819</v>
      </c>
      <c r="H516">
        <v>55902</v>
      </c>
    </row>
    <row r="517" spans="1:8" x14ac:dyDescent="0.3">
      <c r="A517" t="s">
        <v>330</v>
      </c>
      <c r="B517" t="s">
        <v>597</v>
      </c>
      <c r="C517">
        <v>2019</v>
      </c>
      <c r="D517">
        <v>4.1424700000000003</v>
      </c>
      <c r="E517" t="s">
        <v>1399</v>
      </c>
      <c r="F517">
        <v>36482</v>
      </c>
      <c r="G517">
        <v>83066</v>
      </c>
      <c r="H517">
        <v>46584</v>
      </c>
    </row>
    <row r="518" spans="1:8" x14ac:dyDescent="0.3">
      <c r="A518" t="s">
        <v>330</v>
      </c>
      <c r="B518" t="s">
        <v>597</v>
      </c>
      <c r="C518">
        <v>2020</v>
      </c>
      <c r="D518">
        <v>4.2034820000000002</v>
      </c>
      <c r="E518" t="s">
        <v>1399</v>
      </c>
      <c r="F518">
        <v>36414</v>
      </c>
      <c r="G518">
        <v>81888</v>
      </c>
      <c r="H518">
        <v>45474</v>
      </c>
    </row>
    <row r="519" spans="1:8" x14ac:dyDescent="0.3">
      <c r="A519" t="s">
        <v>330</v>
      </c>
      <c r="B519" t="s">
        <v>597</v>
      </c>
      <c r="C519">
        <v>2021</v>
      </c>
      <c r="D519">
        <v>4.1432979999999997</v>
      </c>
      <c r="E519" t="s">
        <v>1399</v>
      </c>
      <c r="F519">
        <v>35318</v>
      </c>
      <c r="G519">
        <v>84822</v>
      </c>
      <c r="H519">
        <v>49504</v>
      </c>
    </row>
    <row r="520" spans="1:8" x14ac:dyDescent="0.3">
      <c r="A520" t="s">
        <v>330</v>
      </c>
      <c r="B520" t="s">
        <v>597</v>
      </c>
      <c r="C520">
        <v>2022</v>
      </c>
      <c r="D520">
        <v>4.4010759999999998</v>
      </c>
      <c r="E520" t="s">
        <v>1399</v>
      </c>
      <c r="F520">
        <v>36718</v>
      </c>
      <c r="G520">
        <v>86819</v>
      </c>
      <c r="H520">
        <v>50101</v>
      </c>
    </row>
    <row r="521" spans="1:8" x14ac:dyDescent="0.3">
      <c r="A521" t="s">
        <v>330</v>
      </c>
      <c r="B521" t="s">
        <v>597</v>
      </c>
      <c r="C521">
        <v>2023</v>
      </c>
      <c r="D521">
        <v>4.5606239999999998</v>
      </c>
      <c r="E521" t="s">
        <v>1399</v>
      </c>
      <c r="F521">
        <v>42737</v>
      </c>
      <c r="G521">
        <v>93924</v>
      </c>
      <c r="H521">
        <v>51187</v>
      </c>
    </row>
    <row r="522" spans="1:8" x14ac:dyDescent="0.3">
      <c r="A522" t="s">
        <v>330</v>
      </c>
      <c r="B522" t="s">
        <v>597</v>
      </c>
      <c r="C522">
        <v>2024</v>
      </c>
      <c r="D522">
        <v>4.5764279999999999</v>
      </c>
      <c r="E522" t="s">
        <v>1399</v>
      </c>
      <c r="F522">
        <v>45688</v>
      </c>
      <c r="G522">
        <v>94317</v>
      </c>
      <c r="H522">
        <v>48629</v>
      </c>
    </row>
    <row r="523" spans="1:8" x14ac:dyDescent="0.3">
      <c r="A523" t="s">
        <v>335</v>
      </c>
      <c r="B523" t="s">
        <v>598</v>
      </c>
      <c r="C523">
        <v>2018</v>
      </c>
      <c r="D523">
        <v>0.84677270000000004</v>
      </c>
      <c r="E523" t="s">
        <v>1386</v>
      </c>
      <c r="F523">
        <v>27.203002000000001</v>
      </c>
      <c r="G523">
        <v>42.933335</v>
      </c>
      <c r="H523">
        <v>15.730333</v>
      </c>
    </row>
    <row r="524" spans="1:8" x14ac:dyDescent="0.3">
      <c r="A524" t="s">
        <v>335</v>
      </c>
      <c r="B524" t="s">
        <v>598</v>
      </c>
      <c r="C524">
        <v>2019</v>
      </c>
      <c r="D524">
        <v>0.89327630000000002</v>
      </c>
      <c r="E524" t="s">
        <v>1386</v>
      </c>
      <c r="F524">
        <v>30.969025999999999</v>
      </c>
      <c r="G524">
        <v>44.871648999999998</v>
      </c>
      <c r="H524">
        <v>13.902623</v>
      </c>
    </row>
    <row r="525" spans="1:8" x14ac:dyDescent="0.3">
      <c r="A525" t="s">
        <v>335</v>
      </c>
      <c r="B525" t="s">
        <v>598</v>
      </c>
      <c r="C525">
        <v>2020</v>
      </c>
      <c r="D525">
        <v>0.87550640000000002</v>
      </c>
      <c r="E525" t="s">
        <v>1386</v>
      </c>
      <c r="F525">
        <v>34.612406</v>
      </c>
      <c r="G525">
        <v>48.057859000000001</v>
      </c>
      <c r="H525">
        <v>13.445453000000001</v>
      </c>
    </row>
    <row r="526" spans="1:8" x14ac:dyDescent="0.3">
      <c r="A526" t="s">
        <v>335</v>
      </c>
      <c r="B526" t="s">
        <v>598</v>
      </c>
      <c r="C526">
        <v>2021</v>
      </c>
      <c r="D526">
        <v>0.84549419999999997</v>
      </c>
      <c r="E526" t="s">
        <v>1386</v>
      </c>
      <c r="F526">
        <v>64.470684000000006</v>
      </c>
      <c r="G526">
        <v>77.246109000000004</v>
      </c>
      <c r="H526">
        <v>12.775425</v>
      </c>
    </row>
    <row r="527" spans="1:8" x14ac:dyDescent="0.3">
      <c r="A527" t="s">
        <v>335</v>
      </c>
      <c r="B527" t="s">
        <v>598</v>
      </c>
      <c r="C527">
        <v>2022</v>
      </c>
      <c r="D527">
        <v>0.94962380000000002</v>
      </c>
      <c r="E527" t="s">
        <v>1386</v>
      </c>
      <c r="F527">
        <v>70.986080000000001</v>
      </c>
      <c r="G527">
        <v>83.259960000000007</v>
      </c>
      <c r="H527">
        <v>12.27388</v>
      </c>
    </row>
    <row r="528" spans="1:8" x14ac:dyDescent="0.3">
      <c r="A528" t="s">
        <v>335</v>
      </c>
      <c r="B528" t="s">
        <v>598</v>
      </c>
      <c r="C528">
        <v>2023</v>
      </c>
      <c r="D528">
        <v>0.92483959999999998</v>
      </c>
      <c r="E528" t="s">
        <v>1386</v>
      </c>
      <c r="F528">
        <v>73.320475999999999</v>
      </c>
      <c r="G528">
        <v>85.123634999999993</v>
      </c>
      <c r="H528">
        <v>11.803159000000001</v>
      </c>
    </row>
    <row r="529" spans="1:8" x14ac:dyDescent="0.3">
      <c r="A529" t="s">
        <v>335</v>
      </c>
      <c r="B529" t="s">
        <v>598</v>
      </c>
      <c r="C529">
        <v>2016</v>
      </c>
      <c r="D529">
        <v>0.90342149999999999</v>
      </c>
      <c r="E529" t="s">
        <v>1386</v>
      </c>
      <c r="F529">
        <v>163.552199</v>
      </c>
      <c r="G529">
        <v>163.58873700000001</v>
      </c>
      <c r="H529">
        <v>3.6538000000000001E-2</v>
      </c>
    </row>
    <row r="530" spans="1:8" x14ac:dyDescent="0.3">
      <c r="A530" t="s">
        <v>335</v>
      </c>
      <c r="B530" t="s">
        <v>598</v>
      </c>
      <c r="C530">
        <v>2017</v>
      </c>
      <c r="D530">
        <v>0.88520549999999998</v>
      </c>
      <c r="E530" t="s">
        <v>1386</v>
      </c>
      <c r="F530">
        <v>365.20822700000002</v>
      </c>
      <c r="G530">
        <v>365.22952299999997</v>
      </c>
      <c r="H530">
        <v>2.1295999999999999E-2</v>
      </c>
    </row>
    <row r="531" spans="1:8" x14ac:dyDescent="0.3">
      <c r="A531" t="s">
        <v>335</v>
      </c>
      <c r="B531" t="s">
        <v>598</v>
      </c>
      <c r="C531">
        <v>2018</v>
      </c>
      <c r="D531">
        <v>0.84677270000000004</v>
      </c>
      <c r="E531" t="s">
        <v>1386</v>
      </c>
      <c r="F531">
        <v>461.69899299999997</v>
      </c>
      <c r="G531">
        <v>461.87119200000001</v>
      </c>
      <c r="H531">
        <v>0.17219899999999999</v>
      </c>
    </row>
    <row r="532" spans="1:8" x14ac:dyDescent="0.3">
      <c r="A532" t="s">
        <v>335</v>
      </c>
      <c r="B532" t="s">
        <v>598</v>
      </c>
      <c r="C532">
        <v>2019</v>
      </c>
      <c r="D532">
        <v>0.89327630000000002</v>
      </c>
      <c r="E532" t="s">
        <v>1386</v>
      </c>
      <c r="F532">
        <v>570.186735</v>
      </c>
      <c r="G532">
        <v>570.58141799999999</v>
      </c>
      <c r="H532">
        <v>0.39468300000000001</v>
      </c>
    </row>
    <row r="533" spans="1:8" x14ac:dyDescent="0.3">
      <c r="A533" t="s">
        <v>335</v>
      </c>
      <c r="B533" t="s">
        <v>598</v>
      </c>
      <c r="C533">
        <v>2020</v>
      </c>
      <c r="D533">
        <v>0.87550640000000002</v>
      </c>
      <c r="E533" t="s">
        <v>1386</v>
      </c>
      <c r="F533">
        <v>597.67600100000004</v>
      </c>
      <c r="G533">
        <v>598.10613899999998</v>
      </c>
      <c r="H533">
        <v>0.43013800000000002</v>
      </c>
    </row>
    <row r="534" spans="1:8" x14ac:dyDescent="0.3">
      <c r="A534" t="s">
        <v>335</v>
      </c>
      <c r="B534" t="s">
        <v>598</v>
      </c>
      <c r="C534">
        <v>2021</v>
      </c>
      <c r="D534">
        <v>0.84549419999999997</v>
      </c>
      <c r="E534" t="s">
        <v>1386</v>
      </c>
      <c r="F534">
        <v>609.89471600000002</v>
      </c>
      <c r="G534">
        <v>610.14591099999996</v>
      </c>
      <c r="H534">
        <v>0.251195</v>
      </c>
    </row>
    <row r="535" spans="1:8" x14ac:dyDescent="0.3">
      <c r="A535" t="s">
        <v>335</v>
      </c>
      <c r="B535" t="s">
        <v>598</v>
      </c>
      <c r="C535">
        <v>2022</v>
      </c>
      <c r="D535">
        <v>0.94962380000000002</v>
      </c>
      <c r="E535" t="s">
        <v>1386</v>
      </c>
      <c r="F535">
        <v>606.93585099999996</v>
      </c>
      <c r="G535">
        <v>607.54744300000004</v>
      </c>
      <c r="H535">
        <v>0.61159200000000002</v>
      </c>
    </row>
    <row r="536" spans="1:8" x14ac:dyDescent="0.3">
      <c r="A536" t="s">
        <v>335</v>
      </c>
      <c r="B536" t="s">
        <v>598</v>
      </c>
      <c r="C536">
        <v>2023</v>
      </c>
      <c r="D536">
        <v>0.92483959999999998</v>
      </c>
      <c r="E536" t="s">
        <v>1386</v>
      </c>
      <c r="F536">
        <v>654.979964</v>
      </c>
      <c r="G536">
        <v>655.79162799999995</v>
      </c>
      <c r="H536">
        <v>0.81166400000000005</v>
      </c>
    </row>
    <row r="537" spans="1:8" x14ac:dyDescent="0.3">
      <c r="A537" t="s">
        <v>343</v>
      </c>
      <c r="B537" t="s">
        <v>599</v>
      </c>
      <c r="C537">
        <v>2004</v>
      </c>
      <c r="E537" t="s">
        <v>1385</v>
      </c>
      <c r="F537">
        <v>32.157846999999997</v>
      </c>
      <c r="G537">
        <v>32.157846999999997</v>
      </c>
      <c r="H537">
        <v>0</v>
      </c>
    </row>
    <row r="538" spans="1:8" x14ac:dyDescent="0.3">
      <c r="A538" t="s">
        <v>343</v>
      </c>
      <c r="B538" t="s">
        <v>599</v>
      </c>
      <c r="C538">
        <v>2005</v>
      </c>
      <c r="E538" t="s">
        <v>1385</v>
      </c>
      <c r="F538">
        <v>45.152406999999997</v>
      </c>
      <c r="G538">
        <v>45.217908000000001</v>
      </c>
      <c r="H538">
        <v>6.5501000000000004E-2</v>
      </c>
    </row>
    <row r="539" spans="1:8" x14ac:dyDescent="0.3">
      <c r="A539" t="s">
        <v>343</v>
      </c>
      <c r="B539" t="s">
        <v>599</v>
      </c>
      <c r="C539">
        <v>2006</v>
      </c>
      <c r="E539" t="s">
        <v>1385</v>
      </c>
      <c r="F539">
        <v>63.100518000000001</v>
      </c>
      <c r="G539">
        <v>63.137157999999999</v>
      </c>
      <c r="H539">
        <v>3.6639999999999999E-2</v>
      </c>
    </row>
    <row r="540" spans="1:8" x14ac:dyDescent="0.3">
      <c r="A540" t="s">
        <v>343</v>
      </c>
      <c r="B540" t="s">
        <v>599</v>
      </c>
      <c r="C540">
        <v>2007</v>
      </c>
      <c r="E540" t="s">
        <v>1385</v>
      </c>
      <c r="F540">
        <v>83.813820000000007</v>
      </c>
      <c r="G540">
        <v>85.689235999999994</v>
      </c>
      <c r="H540">
        <v>1.875416</v>
      </c>
    </row>
    <row r="541" spans="1:8" x14ac:dyDescent="0.3">
      <c r="A541" t="s">
        <v>343</v>
      </c>
      <c r="B541" t="s">
        <v>599</v>
      </c>
      <c r="C541">
        <v>2008</v>
      </c>
      <c r="E541" t="s">
        <v>1385</v>
      </c>
      <c r="F541">
        <v>76.327993000000006</v>
      </c>
      <c r="G541">
        <v>78.523217000000002</v>
      </c>
      <c r="H541">
        <v>2.1952240000000001</v>
      </c>
    </row>
    <row r="542" spans="1:8" x14ac:dyDescent="0.3">
      <c r="A542" t="s">
        <v>343</v>
      </c>
      <c r="B542" t="s">
        <v>599</v>
      </c>
      <c r="C542">
        <v>2009</v>
      </c>
      <c r="E542" t="s">
        <v>1385</v>
      </c>
      <c r="F542">
        <v>90.451764999999995</v>
      </c>
      <c r="G542">
        <v>90.861507000000003</v>
      </c>
      <c r="H542">
        <v>0.409742</v>
      </c>
    </row>
    <row r="543" spans="1:8" x14ac:dyDescent="0.3">
      <c r="A543" t="s">
        <v>343</v>
      </c>
      <c r="B543" t="s">
        <v>599</v>
      </c>
      <c r="C543">
        <v>2010</v>
      </c>
      <c r="E543" t="s">
        <v>1385</v>
      </c>
      <c r="F543">
        <v>112.794544</v>
      </c>
      <c r="G543">
        <v>112.82037699999999</v>
      </c>
      <c r="H543">
        <v>2.5832999999999998E-2</v>
      </c>
    </row>
    <row r="544" spans="1:8" x14ac:dyDescent="0.3">
      <c r="A544" t="s">
        <v>343</v>
      </c>
      <c r="B544" t="s">
        <v>599</v>
      </c>
      <c r="C544">
        <v>2011</v>
      </c>
      <c r="E544" t="s">
        <v>1385</v>
      </c>
      <c r="F544">
        <v>125.17712</v>
      </c>
      <c r="G544">
        <v>125.258589</v>
      </c>
      <c r="H544">
        <v>8.1469E-2</v>
      </c>
    </row>
    <row r="545" spans="1:8" x14ac:dyDescent="0.3">
      <c r="A545" t="s">
        <v>343</v>
      </c>
      <c r="B545" t="s">
        <v>599</v>
      </c>
      <c r="C545">
        <v>2012</v>
      </c>
      <c r="E545" t="s">
        <v>1385</v>
      </c>
      <c r="F545">
        <v>165.56838400000001</v>
      </c>
      <c r="G545">
        <v>165.66840999999999</v>
      </c>
      <c r="H545">
        <v>0.100026</v>
      </c>
    </row>
    <row r="546" spans="1:8" x14ac:dyDescent="0.3">
      <c r="A546" t="s">
        <v>343</v>
      </c>
      <c r="B546" t="s">
        <v>599</v>
      </c>
      <c r="C546">
        <v>2013</v>
      </c>
      <c r="E546" t="s">
        <v>1385</v>
      </c>
      <c r="F546">
        <v>206.15645599999999</v>
      </c>
      <c r="G546">
        <v>206.245732</v>
      </c>
      <c r="H546">
        <v>8.9275999999999994E-2</v>
      </c>
    </row>
    <row r="547" spans="1:8" x14ac:dyDescent="0.3">
      <c r="A547" t="s">
        <v>343</v>
      </c>
      <c r="B547" t="s">
        <v>599</v>
      </c>
      <c r="C547">
        <v>2014</v>
      </c>
      <c r="E547" t="s">
        <v>1385</v>
      </c>
      <c r="F547">
        <v>240.12118699999999</v>
      </c>
      <c r="G547">
        <v>240.22187199999999</v>
      </c>
      <c r="H547">
        <v>0.100685</v>
      </c>
    </row>
    <row r="548" spans="1:8" x14ac:dyDescent="0.3">
      <c r="A548" t="s">
        <v>343</v>
      </c>
      <c r="B548" t="s">
        <v>599</v>
      </c>
      <c r="C548">
        <v>2015</v>
      </c>
      <c r="E548" t="s">
        <v>1385</v>
      </c>
      <c r="F548">
        <v>247.14205799999999</v>
      </c>
      <c r="G548">
        <v>247.244991</v>
      </c>
      <c r="H548">
        <v>0.102933</v>
      </c>
    </row>
    <row r="549" spans="1:8" x14ac:dyDescent="0.3">
      <c r="A549" t="s">
        <v>343</v>
      </c>
      <c r="B549" t="s">
        <v>599</v>
      </c>
      <c r="C549">
        <v>2016</v>
      </c>
      <c r="E549" t="s">
        <v>1385</v>
      </c>
      <c r="F549">
        <v>294.54553299999998</v>
      </c>
      <c r="G549">
        <v>294.65483699999999</v>
      </c>
      <c r="H549">
        <v>0.109304</v>
      </c>
    </row>
    <row r="550" spans="1:8" x14ac:dyDescent="0.3">
      <c r="A550" t="s">
        <v>343</v>
      </c>
      <c r="B550" t="s">
        <v>599</v>
      </c>
      <c r="C550">
        <v>2017</v>
      </c>
      <c r="E550" t="s">
        <v>1385</v>
      </c>
      <c r="F550">
        <v>356.93341500000002</v>
      </c>
      <c r="G550">
        <v>357.14906999999999</v>
      </c>
      <c r="H550">
        <v>0.21565500000000001</v>
      </c>
    </row>
    <row r="551" spans="1:8" x14ac:dyDescent="0.3">
      <c r="A551" t="s">
        <v>343</v>
      </c>
      <c r="B551" t="s">
        <v>599</v>
      </c>
      <c r="C551">
        <v>2018</v>
      </c>
      <c r="E551" t="s">
        <v>1385</v>
      </c>
      <c r="F551">
        <v>402.43642199999999</v>
      </c>
      <c r="G551">
        <v>402.47434900000002</v>
      </c>
      <c r="H551">
        <v>3.7927000000000002E-2</v>
      </c>
    </row>
    <row r="552" spans="1:8" x14ac:dyDescent="0.3">
      <c r="A552" t="s">
        <v>343</v>
      </c>
      <c r="B552" t="s">
        <v>599</v>
      </c>
      <c r="C552">
        <v>2019</v>
      </c>
      <c r="E552" t="s">
        <v>1385</v>
      </c>
      <c r="F552">
        <v>434.66682600000001</v>
      </c>
      <c r="G552">
        <v>434.69821899999999</v>
      </c>
      <c r="H552">
        <v>3.1392999999999997E-2</v>
      </c>
    </row>
    <row r="553" spans="1:8" x14ac:dyDescent="0.3">
      <c r="A553" t="s">
        <v>343</v>
      </c>
      <c r="B553" t="s">
        <v>599</v>
      </c>
      <c r="C553">
        <v>2020</v>
      </c>
      <c r="E553" t="s">
        <v>1385</v>
      </c>
      <c r="F553">
        <v>514.42927799999995</v>
      </c>
      <c r="G553">
        <v>514.46437500000002</v>
      </c>
      <c r="H553">
        <v>3.5097000000000003E-2</v>
      </c>
    </row>
    <row r="554" spans="1:8" x14ac:dyDescent="0.3">
      <c r="A554" t="s">
        <v>343</v>
      </c>
      <c r="B554" t="s">
        <v>599</v>
      </c>
      <c r="C554">
        <v>2021</v>
      </c>
      <c r="E554" t="s">
        <v>1385</v>
      </c>
      <c r="F554">
        <v>668.93466799999999</v>
      </c>
      <c r="G554">
        <v>668.97731899999997</v>
      </c>
      <c r="H554">
        <v>4.2651000000000001E-2</v>
      </c>
    </row>
    <row r="555" spans="1:8" x14ac:dyDescent="0.3">
      <c r="A555" t="s">
        <v>343</v>
      </c>
      <c r="B555" t="s">
        <v>599</v>
      </c>
      <c r="C555">
        <v>2022</v>
      </c>
      <c r="E555" t="s">
        <v>1385</v>
      </c>
      <c r="F555">
        <v>567.55752299999995</v>
      </c>
      <c r="G555">
        <v>567.60568000000001</v>
      </c>
      <c r="H555">
        <v>4.8156999999999998E-2</v>
      </c>
    </row>
    <row r="556" spans="1:8" x14ac:dyDescent="0.3">
      <c r="A556" t="s">
        <v>343</v>
      </c>
      <c r="B556" t="s">
        <v>599</v>
      </c>
      <c r="C556">
        <v>2023</v>
      </c>
      <c r="E556" t="s">
        <v>1385</v>
      </c>
      <c r="F556">
        <v>683.873694</v>
      </c>
      <c r="G556">
        <v>683.91734299999996</v>
      </c>
      <c r="H556">
        <v>4.3649E-2</v>
      </c>
    </row>
    <row r="557" spans="1:8" x14ac:dyDescent="0.3">
      <c r="A557" t="s">
        <v>343</v>
      </c>
      <c r="B557" t="s">
        <v>599</v>
      </c>
      <c r="C557">
        <v>2024</v>
      </c>
      <c r="E557" t="s">
        <v>1385</v>
      </c>
      <c r="F557">
        <v>1042.0536440000001</v>
      </c>
      <c r="G557">
        <v>1042.1265309999999</v>
      </c>
      <c r="H557">
        <v>7.2886999999999993E-2</v>
      </c>
    </row>
    <row r="558" spans="1:8" x14ac:dyDescent="0.3">
      <c r="A558" t="s">
        <v>359</v>
      </c>
      <c r="B558" t="s">
        <v>600</v>
      </c>
      <c r="C558">
        <v>2014</v>
      </c>
      <c r="D558">
        <v>13.292450000000001</v>
      </c>
      <c r="E558" t="s">
        <v>1400</v>
      </c>
      <c r="F558">
        <v>49.337729000000003</v>
      </c>
      <c r="G558">
        <v>53.361972999999999</v>
      </c>
      <c r="H558">
        <v>4.0242440000000004</v>
      </c>
    </row>
    <row r="559" spans="1:8" x14ac:dyDescent="0.3">
      <c r="A559" t="s">
        <v>359</v>
      </c>
      <c r="B559" t="s">
        <v>600</v>
      </c>
      <c r="C559">
        <v>2015</v>
      </c>
      <c r="D559">
        <v>15.848269999999999</v>
      </c>
      <c r="E559" t="s">
        <v>1400</v>
      </c>
      <c r="F559">
        <v>12.611535</v>
      </c>
      <c r="G559">
        <v>18.061599999999999</v>
      </c>
      <c r="H559">
        <v>5.4500650000000004</v>
      </c>
    </row>
    <row r="560" spans="1:8" x14ac:dyDescent="0.3">
      <c r="A560" t="s">
        <v>359</v>
      </c>
      <c r="B560" t="s">
        <v>600</v>
      </c>
      <c r="C560">
        <v>2016</v>
      </c>
      <c r="D560">
        <v>18.664059999999999</v>
      </c>
      <c r="E560" t="s">
        <v>1400</v>
      </c>
      <c r="F560">
        <v>58.969887999999997</v>
      </c>
      <c r="G560">
        <v>62.409525000000002</v>
      </c>
      <c r="H560">
        <v>3.4396369999999998</v>
      </c>
    </row>
    <row r="561" spans="1:8" x14ac:dyDescent="0.3">
      <c r="A561" t="s">
        <v>359</v>
      </c>
      <c r="B561" t="s">
        <v>600</v>
      </c>
      <c r="C561">
        <v>2017</v>
      </c>
      <c r="D561">
        <v>18.92652</v>
      </c>
      <c r="E561" t="s">
        <v>1400</v>
      </c>
      <c r="F561">
        <v>18103.877839000001</v>
      </c>
      <c r="G561">
        <v>27415.085617000001</v>
      </c>
      <c r="H561">
        <v>9311.207778</v>
      </c>
    </row>
    <row r="562" spans="1:8" x14ac:dyDescent="0.3">
      <c r="A562" t="s">
        <v>359</v>
      </c>
      <c r="B562" t="s">
        <v>600</v>
      </c>
      <c r="C562">
        <v>2018</v>
      </c>
      <c r="D562">
        <v>19.244340000000001</v>
      </c>
      <c r="E562" t="s">
        <v>1400</v>
      </c>
      <c r="F562">
        <v>19933.597712999999</v>
      </c>
      <c r="G562">
        <v>20542.272586999999</v>
      </c>
      <c r="H562">
        <v>608.67487400000005</v>
      </c>
    </row>
    <row r="563" spans="1:8" x14ac:dyDescent="0.3">
      <c r="A563" t="s">
        <v>359</v>
      </c>
      <c r="B563" t="s">
        <v>600</v>
      </c>
      <c r="C563">
        <v>2019</v>
      </c>
      <c r="D563">
        <v>19.263629999999999</v>
      </c>
      <c r="E563" t="s">
        <v>1400</v>
      </c>
      <c r="F563">
        <v>19928.787413999999</v>
      </c>
      <c r="G563">
        <v>20936.009984</v>
      </c>
      <c r="H563">
        <v>1007.22257</v>
      </c>
    </row>
    <row r="564" spans="1:8" x14ac:dyDescent="0.3">
      <c r="A564" t="s">
        <v>359</v>
      </c>
      <c r="B564" t="s">
        <v>600</v>
      </c>
      <c r="C564">
        <v>2020</v>
      </c>
      <c r="D564">
        <v>21.485610000000001</v>
      </c>
      <c r="E564" t="s">
        <v>1400</v>
      </c>
      <c r="F564">
        <v>21762.581375999998</v>
      </c>
      <c r="G564">
        <v>23367.218768999999</v>
      </c>
      <c r="H564">
        <v>1604.637393</v>
      </c>
    </row>
    <row r="565" spans="1:8" x14ac:dyDescent="0.3">
      <c r="A565" t="s">
        <v>359</v>
      </c>
      <c r="B565" t="s">
        <v>600</v>
      </c>
      <c r="C565">
        <v>2021</v>
      </c>
      <c r="D565">
        <v>20.272410000000001</v>
      </c>
      <c r="E565" t="s">
        <v>1400</v>
      </c>
      <c r="F565">
        <v>22272.201100999999</v>
      </c>
      <c r="G565">
        <v>24150.789051</v>
      </c>
      <c r="H565">
        <v>1878.5879500000001</v>
      </c>
    </row>
    <row r="566" spans="1:8" x14ac:dyDescent="0.3">
      <c r="A566" t="s">
        <v>359</v>
      </c>
      <c r="B566" t="s">
        <v>600</v>
      </c>
      <c r="C566">
        <v>2022</v>
      </c>
      <c r="D566">
        <v>20.12735</v>
      </c>
      <c r="E566" t="s">
        <v>1400</v>
      </c>
      <c r="F566">
        <v>20334.991654000001</v>
      </c>
      <c r="G566">
        <v>23406.926297999998</v>
      </c>
      <c r="H566">
        <v>3071.9346439999999</v>
      </c>
    </row>
    <row r="567" spans="1:8" x14ac:dyDescent="0.3">
      <c r="A567" t="s">
        <v>359</v>
      </c>
      <c r="B567" t="s">
        <v>600</v>
      </c>
      <c r="C567">
        <v>2023</v>
      </c>
      <c r="D567">
        <v>17.75872</v>
      </c>
      <c r="E567" t="s">
        <v>1400</v>
      </c>
      <c r="F567">
        <v>18472.818131</v>
      </c>
      <c r="G567">
        <v>21082.703028</v>
      </c>
      <c r="H567">
        <v>2609.8848969999999</v>
      </c>
    </row>
    <row r="568" spans="1:8" x14ac:dyDescent="0.3">
      <c r="A568" t="s">
        <v>359</v>
      </c>
      <c r="B568" t="s">
        <v>600</v>
      </c>
      <c r="C568">
        <v>2024</v>
      </c>
      <c r="D568">
        <v>18.304860000000001</v>
      </c>
      <c r="E568" t="s">
        <v>1400</v>
      </c>
      <c r="F568">
        <v>23528.901903000002</v>
      </c>
      <c r="G568">
        <v>25661.308031</v>
      </c>
      <c r="H568">
        <v>2132.4061280000001</v>
      </c>
    </row>
    <row r="569" spans="1:8" x14ac:dyDescent="0.3">
      <c r="A569" t="s">
        <v>359</v>
      </c>
      <c r="B569" t="s">
        <v>600</v>
      </c>
      <c r="C569">
        <v>2014</v>
      </c>
      <c r="D569">
        <v>13.292450000000001</v>
      </c>
      <c r="E569" t="s">
        <v>1400</v>
      </c>
      <c r="F569">
        <v>49.337729000000003</v>
      </c>
      <c r="G569">
        <v>53.361972999999999</v>
      </c>
      <c r="H569">
        <v>4.0242440000000004</v>
      </c>
    </row>
    <row r="570" spans="1:8" x14ac:dyDescent="0.3">
      <c r="A570" t="s">
        <v>359</v>
      </c>
      <c r="B570" t="s">
        <v>600</v>
      </c>
      <c r="C570">
        <v>2015</v>
      </c>
      <c r="D570">
        <v>15.848269999999999</v>
      </c>
      <c r="E570" t="s">
        <v>1400</v>
      </c>
      <c r="F570">
        <v>12.611535</v>
      </c>
      <c r="G570">
        <v>18.061599999999999</v>
      </c>
      <c r="H570">
        <v>5.4500650000000004</v>
      </c>
    </row>
    <row r="571" spans="1:8" x14ac:dyDescent="0.3">
      <c r="A571" t="s">
        <v>359</v>
      </c>
      <c r="B571" t="s">
        <v>600</v>
      </c>
      <c r="C571">
        <v>2016</v>
      </c>
      <c r="D571">
        <v>18.664059999999999</v>
      </c>
      <c r="E571" t="s">
        <v>1400</v>
      </c>
      <c r="F571">
        <v>58.969887999999997</v>
      </c>
      <c r="G571">
        <v>62.409525000000002</v>
      </c>
      <c r="H571">
        <v>3.4396369999999998</v>
      </c>
    </row>
    <row r="572" spans="1:8" x14ac:dyDescent="0.3">
      <c r="A572" t="s">
        <v>359</v>
      </c>
      <c r="B572" t="s">
        <v>600</v>
      </c>
      <c r="C572">
        <v>2017</v>
      </c>
      <c r="D572">
        <v>18.92652</v>
      </c>
      <c r="E572" t="s">
        <v>1400</v>
      </c>
      <c r="F572">
        <v>18103.877839000001</v>
      </c>
      <c r="G572">
        <v>27415.085617000001</v>
      </c>
      <c r="H572">
        <v>9311.207778</v>
      </c>
    </row>
    <row r="573" spans="1:8" x14ac:dyDescent="0.3">
      <c r="A573" t="s">
        <v>359</v>
      </c>
      <c r="B573" t="s">
        <v>600</v>
      </c>
      <c r="C573">
        <v>2018</v>
      </c>
      <c r="D573">
        <v>19.244340000000001</v>
      </c>
      <c r="E573" t="s">
        <v>1400</v>
      </c>
      <c r="F573">
        <v>19933.597712999999</v>
      </c>
      <c r="G573">
        <v>20542.272586999999</v>
      </c>
      <c r="H573">
        <v>608.67487400000005</v>
      </c>
    </row>
    <row r="574" spans="1:8" x14ac:dyDescent="0.3">
      <c r="A574" t="s">
        <v>359</v>
      </c>
      <c r="B574" t="s">
        <v>600</v>
      </c>
      <c r="C574">
        <v>2019</v>
      </c>
      <c r="D574">
        <v>19.263629999999999</v>
      </c>
      <c r="E574" t="s">
        <v>1400</v>
      </c>
      <c r="F574">
        <v>19928.787413999999</v>
      </c>
      <c r="G574">
        <v>20936.009984</v>
      </c>
      <c r="H574">
        <v>1007.22257</v>
      </c>
    </row>
    <row r="575" spans="1:8" x14ac:dyDescent="0.3">
      <c r="A575" t="s">
        <v>359</v>
      </c>
      <c r="B575" t="s">
        <v>600</v>
      </c>
      <c r="C575">
        <v>2020</v>
      </c>
      <c r="D575">
        <v>21.485610000000001</v>
      </c>
      <c r="E575" t="s">
        <v>1400</v>
      </c>
      <c r="F575">
        <v>21762.581375999998</v>
      </c>
      <c r="G575">
        <v>23367.218768999999</v>
      </c>
      <c r="H575">
        <v>1604.637393</v>
      </c>
    </row>
    <row r="576" spans="1:8" x14ac:dyDescent="0.3">
      <c r="A576" t="s">
        <v>359</v>
      </c>
      <c r="B576" t="s">
        <v>600</v>
      </c>
      <c r="C576">
        <v>2021</v>
      </c>
      <c r="D576">
        <v>20.272410000000001</v>
      </c>
      <c r="E576" t="s">
        <v>1400</v>
      </c>
      <c r="F576">
        <v>22272.201100999999</v>
      </c>
      <c r="G576">
        <v>24150.789051</v>
      </c>
      <c r="H576">
        <v>1878.5879500000001</v>
      </c>
    </row>
    <row r="577" spans="1:8" x14ac:dyDescent="0.3">
      <c r="A577" t="s">
        <v>359</v>
      </c>
      <c r="B577" t="s">
        <v>600</v>
      </c>
      <c r="C577">
        <v>2022</v>
      </c>
      <c r="D577">
        <v>20.12735</v>
      </c>
      <c r="E577" t="s">
        <v>1400</v>
      </c>
      <c r="F577">
        <v>20334.991654000001</v>
      </c>
      <c r="G577">
        <v>23406.926297999998</v>
      </c>
      <c r="H577">
        <v>3071.9346439999999</v>
      </c>
    </row>
    <row r="578" spans="1:8" x14ac:dyDescent="0.3">
      <c r="A578" t="s">
        <v>359</v>
      </c>
      <c r="B578" t="s">
        <v>600</v>
      </c>
      <c r="C578">
        <v>2023</v>
      </c>
      <c r="D578">
        <v>17.75872</v>
      </c>
      <c r="E578" t="s">
        <v>1400</v>
      </c>
      <c r="F578">
        <v>18472.818131</v>
      </c>
      <c r="G578">
        <v>21082.703028</v>
      </c>
      <c r="H578">
        <v>2609.8848969999999</v>
      </c>
    </row>
    <row r="579" spans="1:8" x14ac:dyDescent="0.3">
      <c r="A579" t="s">
        <v>359</v>
      </c>
      <c r="B579" t="s">
        <v>600</v>
      </c>
      <c r="C579">
        <v>2024</v>
      </c>
      <c r="D579">
        <v>18.304860000000001</v>
      </c>
      <c r="E579" t="s">
        <v>1400</v>
      </c>
      <c r="F579">
        <v>23528.901903000002</v>
      </c>
      <c r="G579">
        <v>25661.308031</v>
      </c>
      <c r="H579">
        <v>2132.4061280000001</v>
      </c>
    </row>
    <row r="580" spans="1:8" x14ac:dyDescent="0.3">
      <c r="A580" t="s">
        <v>366</v>
      </c>
      <c r="B580" t="s">
        <v>601</v>
      </c>
      <c r="C580">
        <v>2005</v>
      </c>
      <c r="E580" t="s">
        <v>1385</v>
      </c>
      <c r="F580">
        <v>64.226793000000001</v>
      </c>
      <c r="G580">
        <v>64.240149000000002</v>
      </c>
      <c r="H580">
        <v>1.3356E-2</v>
      </c>
    </row>
    <row r="581" spans="1:8" x14ac:dyDescent="0.3">
      <c r="A581" t="s">
        <v>366</v>
      </c>
      <c r="B581" t="s">
        <v>601</v>
      </c>
      <c r="C581">
        <v>2006</v>
      </c>
      <c r="E581" t="s">
        <v>1385</v>
      </c>
      <c r="F581">
        <v>86.464318000000006</v>
      </c>
      <c r="G581">
        <v>86.525036999999998</v>
      </c>
      <c r="H581">
        <v>6.0719000000000002E-2</v>
      </c>
    </row>
    <row r="582" spans="1:8" x14ac:dyDescent="0.3">
      <c r="A582" t="s">
        <v>366</v>
      </c>
      <c r="B582" t="s">
        <v>601</v>
      </c>
      <c r="C582">
        <v>2007</v>
      </c>
      <c r="E582" t="s">
        <v>1385</v>
      </c>
      <c r="F582">
        <v>122.839583</v>
      </c>
      <c r="G582">
        <v>122.96373699999999</v>
      </c>
      <c r="H582">
        <v>0.124154</v>
      </c>
    </row>
    <row r="583" spans="1:8" x14ac:dyDescent="0.3">
      <c r="A583" t="s">
        <v>366</v>
      </c>
      <c r="B583" t="s">
        <v>601</v>
      </c>
      <c r="C583">
        <v>2008</v>
      </c>
      <c r="E583" t="s">
        <v>1385</v>
      </c>
      <c r="F583">
        <v>117.515688</v>
      </c>
      <c r="G583">
        <v>117.83122400000001</v>
      </c>
      <c r="H583">
        <v>0.31553599999999998</v>
      </c>
    </row>
    <row r="584" spans="1:8" x14ac:dyDescent="0.3">
      <c r="A584" t="s">
        <v>366</v>
      </c>
      <c r="B584" t="s">
        <v>601</v>
      </c>
      <c r="C584">
        <v>2009</v>
      </c>
      <c r="E584" t="s">
        <v>1385</v>
      </c>
      <c r="F584">
        <v>138.075219</v>
      </c>
      <c r="G584">
        <v>138.25018399999999</v>
      </c>
      <c r="H584">
        <v>0.17496500000000001</v>
      </c>
    </row>
    <row r="585" spans="1:8" x14ac:dyDescent="0.3">
      <c r="A585" t="s">
        <v>366</v>
      </c>
      <c r="B585" t="s">
        <v>601</v>
      </c>
      <c r="C585">
        <v>2010</v>
      </c>
      <c r="E585" t="s">
        <v>1385</v>
      </c>
      <c r="F585">
        <v>177.198362</v>
      </c>
      <c r="G585">
        <v>177.37284399999999</v>
      </c>
      <c r="H585">
        <v>0.174482</v>
      </c>
    </row>
    <row r="586" spans="1:8" x14ac:dyDescent="0.3">
      <c r="A586" t="s">
        <v>366</v>
      </c>
      <c r="B586" t="s">
        <v>601</v>
      </c>
      <c r="C586">
        <v>2011</v>
      </c>
      <c r="E586" t="s">
        <v>1385</v>
      </c>
      <c r="F586">
        <v>198.46003300000001</v>
      </c>
      <c r="G586">
        <v>198.83101600000001</v>
      </c>
      <c r="H586">
        <v>0.37098300000000001</v>
      </c>
    </row>
    <row r="587" spans="1:8" x14ac:dyDescent="0.3">
      <c r="A587" t="s">
        <v>366</v>
      </c>
      <c r="B587" t="s">
        <v>601</v>
      </c>
      <c r="C587">
        <v>2012</v>
      </c>
      <c r="E587" t="s">
        <v>1385</v>
      </c>
      <c r="F587">
        <v>257.34610800000002</v>
      </c>
      <c r="G587">
        <v>257.71051999999997</v>
      </c>
      <c r="H587">
        <v>0.36441200000000001</v>
      </c>
    </row>
    <row r="588" spans="1:8" x14ac:dyDescent="0.3">
      <c r="A588" t="s">
        <v>366</v>
      </c>
      <c r="B588" t="s">
        <v>601</v>
      </c>
      <c r="C588">
        <v>2013</v>
      </c>
      <c r="E588" t="s">
        <v>1385</v>
      </c>
      <c r="F588">
        <v>323.08313600000002</v>
      </c>
      <c r="G588">
        <v>323.24217399999998</v>
      </c>
      <c r="H588">
        <v>0.15903800000000001</v>
      </c>
    </row>
    <row r="589" spans="1:8" x14ac:dyDescent="0.3">
      <c r="A589" t="s">
        <v>366</v>
      </c>
      <c r="B589" t="s">
        <v>601</v>
      </c>
      <c r="C589">
        <v>2014</v>
      </c>
      <c r="E589" t="s">
        <v>1385</v>
      </c>
      <c r="F589">
        <v>380.90101099999998</v>
      </c>
      <c r="G589">
        <v>381.02023100000002</v>
      </c>
      <c r="H589">
        <v>0.11922000000000001</v>
      </c>
    </row>
    <row r="590" spans="1:8" x14ac:dyDescent="0.3">
      <c r="A590" t="s">
        <v>366</v>
      </c>
      <c r="B590" t="s">
        <v>601</v>
      </c>
      <c r="C590">
        <v>2015</v>
      </c>
      <c r="E590" t="s">
        <v>1385</v>
      </c>
      <c r="F590">
        <v>397.31358799999998</v>
      </c>
      <c r="G590">
        <v>397.44846100000001</v>
      </c>
      <c r="H590">
        <v>0.13487299999999999</v>
      </c>
    </row>
    <row r="591" spans="1:8" x14ac:dyDescent="0.3">
      <c r="A591" t="s">
        <v>366</v>
      </c>
      <c r="B591" t="s">
        <v>601</v>
      </c>
      <c r="C591">
        <v>2016</v>
      </c>
      <c r="E591" t="s">
        <v>1385</v>
      </c>
      <c r="F591">
        <v>466.93873000000002</v>
      </c>
      <c r="G591">
        <v>467.06490600000001</v>
      </c>
      <c r="H591">
        <v>0.12617600000000001</v>
      </c>
    </row>
    <row r="592" spans="1:8" x14ac:dyDescent="0.3">
      <c r="A592" t="s">
        <v>366</v>
      </c>
      <c r="B592" t="s">
        <v>601</v>
      </c>
      <c r="C592">
        <v>2017</v>
      </c>
      <c r="E592" t="s">
        <v>1385</v>
      </c>
      <c r="F592">
        <v>564.97073799999998</v>
      </c>
      <c r="G592">
        <v>565.21413700000005</v>
      </c>
      <c r="H592">
        <v>0.243399</v>
      </c>
    </row>
    <row r="593" spans="1:8" x14ac:dyDescent="0.3">
      <c r="A593" t="s">
        <v>366</v>
      </c>
      <c r="B593" t="s">
        <v>601</v>
      </c>
      <c r="C593">
        <v>2018</v>
      </c>
      <c r="E593" t="s">
        <v>1385</v>
      </c>
      <c r="F593">
        <v>636.08645200000001</v>
      </c>
      <c r="G593">
        <v>636.22907199999997</v>
      </c>
      <c r="H593">
        <v>0.14262</v>
      </c>
    </row>
    <row r="594" spans="1:8" x14ac:dyDescent="0.3">
      <c r="A594" t="s">
        <v>366</v>
      </c>
      <c r="B594" t="s">
        <v>601</v>
      </c>
      <c r="C594">
        <v>2019</v>
      </c>
      <c r="E594" t="s">
        <v>1385</v>
      </c>
      <c r="F594">
        <v>689.47196599999995</v>
      </c>
      <c r="G594">
        <v>689.80367799999999</v>
      </c>
      <c r="H594">
        <v>0.33171200000000001</v>
      </c>
    </row>
    <row r="595" spans="1:8" x14ac:dyDescent="0.3">
      <c r="A595" t="s">
        <v>366</v>
      </c>
      <c r="B595" t="s">
        <v>601</v>
      </c>
      <c r="C595">
        <v>2020</v>
      </c>
      <c r="E595" t="s">
        <v>1385</v>
      </c>
      <c r="F595">
        <v>783.88030900000001</v>
      </c>
      <c r="G595">
        <v>784.22915699999999</v>
      </c>
      <c r="H595">
        <v>0.34884799999999999</v>
      </c>
    </row>
    <row r="596" spans="1:8" x14ac:dyDescent="0.3">
      <c r="A596" t="s">
        <v>366</v>
      </c>
      <c r="B596" t="s">
        <v>601</v>
      </c>
      <c r="C596">
        <v>2021</v>
      </c>
      <c r="E596" t="s">
        <v>1385</v>
      </c>
      <c r="F596">
        <v>999.7636</v>
      </c>
      <c r="G596">
        <v>1000.224197</v>
      </c>
      <c r="H596">
        <v>0.46059699999999998</v>
      </c>
    </row>
    <row r="597" spans="1:8" x14ac:dyDescent="0.3">
      <c r="A597" t="s">
        <v>366</v>
      </c>
      <c r="B597" t="s">
        <v>601</v>
      </c>
      <c r="C597">
        <v>2022</v>
      </c>
      <c r="E597" t="s">
        <v>1385</v>
      </c>
      <c r="F597">
        <v>910.70833500000003</v>
      </c>
      <c r="G597">
        <v>911.50333599999999</v>
      </c>
      <c r="H597">
        <v>0.79500099999999996</v>
      </c>
    </row>
    <row r="598" spans="1:8" x14ac:dyDescent="0.3">
      <c r="A598" t="s">
        <v>366</v>
      </c>
      <c r="B598" t="s">
        <v>601</v>
      </c>
      <c r="C598">
        <v>2023</v>
      </c>
      <c r="E598" t="s">
        <v>1385</v>
      </c>
      <c r="F598">
        <v>1036.682188</v>
      </c>
      <c r="G598">
        <v>1037.176089</v>
      </c>
      <c r="H598">
        <v>0.49390099999999998</v>
      </c>
    </row>
    <row r="599" spans="1:8" x14ac:dyDescent="0.3">
      <c r="A599" t="s">
        <v>366</v>
      </c>
      <c r="B599" t="s">
        <v>601</v>
      </c>
      <c r="C599">
        <v>2024</v>
      </c>
      <c r="E599" t="s">
        <v>1385</v>
      </c>
      <c r="F599">
        <v>1484.2448360000001</v>
      </c>
      <c r="G599">
        <v>1485.0587399999999</v>
      </c>
      <c r="H599">
        <v>0.81390399999999996</v>
      </c>
    </row>
    <row r="600" spans="1:8" x14ac:dyDescent="0.3">
      <c r="A600" t="s">
        <v>369</v>
      </c>
      <c r="B600" t="s">
        <v>602</v>
      </c>
      <c r="C600">
        <v>2010</v>
      </c>
      <c r="D600">
        <v>0.75430900000000001</v>
      </c>
      <c r="E600" t="s">
        <v>1386</v>
      </c>
      <c r="G600">
        <v>4199</v>
      </c>
    </row>
    <row r="601" spans="1:8" x14ac:dyDescent="0.3">
      <c r="A601" t="s">
        <v>369</v>
      </c>
      <c r="B601" t="s">
        <v>602</v>
      </c>
      <c r="C601">
        <v>2011</v>
      </c>
      <c r="D601">
        <v>0.71841390000000005</v>
      </c>
      <c r="E601" t="s">
        <v>1386</v>
      </c>
      <c r="G601">
        <v>4192</v>
      </c>
    </row>
    <row r="602" spans="1:8" x14ac:dyDescent="0.3">
      <c r="A602" t="s">
        <v>369</v>
      </c>
      <c r="B602" t="s">
        <v>602</v>
      </c>
      <c r="C602">
        <v>2012</v>
      </c>
      <c r="D602">
        <v>0.77833810000000003</v>
      </c>
      <c r="E602" t="s">
        <v>1386</v>
      </c>
      <c r="G602">
        <v>4241</v>
      </c>
    </row>
    <row r="603" spans="1:8" x14ac:dyDescent="0.3">
      <c r="A603" t="s">
        <v>369</v>
      </c>
      <c r="B603" t="s">
        <v>602</v>
      </c>
      <c r="C603">
        <v>2013</v>
      </c>
      <c r="D603">
        <v>0.75294510000000003</v>
      </c>
      <c r="E603" t="s">
        <v>1386</v>
      </c>
      <c r="G603">
        <v>4372</v>
      </c>
    </row>
    <row r="604" spans="1:8" x14ac:dyDescent="0.3">
      <c r="A604" t="s">
        <v>369</v>
      </c>
      <c r="B604" t="s">
        <v>602</v>
      </c>
      <c r="C604">
        <v>2014</v>
      </c>
      <c r="D604">
        <v>0.75272819999999996</v>
      </c>
      <c r="E604" t="s">
        <v>1386</v>
      </c>
      <c r="G604">
        <v>4576</v>
      </c>
    </row>
    <row r="605" spans="1:8" x14ac:dyDescent="0.3">
      <c r="A605" t="s">
        <v>369</v>
      </c>
      <c r="B605" t="s">
        <v>602</v>
      </c>
      <c r="C605">
        <v>2015</v>
      </c>
      <c r="D605">
        <v>0.9012964</v>
      </c>
      <c r="E605" t="s">
        <v>1386</v>
      </c>
      <c r="G605">
        <v>4676</v>
      </c>
    </row>
    <row r="606" spans="1:8" x14ac:dyDescent="0.3">
      <c r="A606" t="s">
        <v>369</v>
      </c>
      <c r="B606" t="s">
        <v>602</v>
      </c>
      <c r="C606">
        <v>2016</v>
      </c>
      <c r="D606">
        <v>0.90342149999999999</v>
      </c>
      <c r="E606" t="s">
        <v>1386</v>
      </c>
      <c r="G606">
        <v>4801</v>
      </c>
    </row>
    <row r="607" spans="1:8" x14ac:dyDescent="0.3">
      <c r="A607" t="s">
        <v>369</v>
      </c>
      <c r="B607" t="s">
        <v>602</v>
      </c>
      <c r="C607">
        <v>2017</v>
      </c>
      <c r="D607">
        <v>0.88520549999999998</v>
      </c>
      <c r="E607" t="s">
        <v>1386</v>
      </c>
      <c r="G607">
        <v>5166</v>
      </c>
    </row>
    <row r="608" spans="1:8" x14ac:dyDescent="0.3">
      <c r="A608" t="s">
        <v>369</v>
      </c>
      <c r="B608" t="s">
        <v>602</v>
      </c>
      <c r="C608">
        <v>2018</v>
      </c>
      <c r="D608">
        <v>0.84677270000000004</v>
      </c>
      <c r="E608" t="s">
        <v>1386</v>
      </c>
      <c r="G608">
        <v>6071</v>
      </c>
    </row>
    <row r="609" spans="1:9" x14ac:dyDescent="0.3">
      <c r="A609" t="s">
        <v>369</v>
      </c>
      <c r="B609" t="s">
        <v>602</v>
      </c>
      <c r="C609">
        <v>2019</v>
      </c>
      <c r="D609">
        <v>0.89327630000000002</v>
      </c>
      <c r="E609" t="s">
        <v>1386</v>
      </c>
      <c r="G609">
        <v>6071</v>
      </c>
    </row>
    <row r="610" spans="1:9" x14ac:dyDescent="0.3">
      <c r="A610" t="s">
        <v>369</v>
      </c>
      <c r="B610" t="s">
        <v>602</v>
      </c>
      <c r="C610">
        <v>2020</v>
      </c>
      <c r="D610">
        <v>0.87550640000000002</v>
      </c>
      <c r="E610" t="s">
        <v>1386</v>
      </c>
      <c r="G610">
        <v>6071</v>
      </c>
    </row>
    <row r="611" spans="1:9" x14ac:dyDescent="0.3">
      <c r="A611" t="s">
        <v>369</v>
      </c>
      <c r="B611" t="s">
        <v>602</v>
      </c>
      <c r="C611">
        <v>2021</v>
      </c>
      <c r="D611">
        <v>0.84549419999999997</v>
      </c>
      <c r="E611" t="s">
        <v>1386</v>
      </c>
      <c r="G611">
        <v>6434</v>
      </c>
    </row>
    <row r="612" spans="1:9" x14ac:dyDescent="0.3">
      <c r="A612" t="s">
        <v>369</v>
      </c>
      <c r="B612" t="s">
        <v>602</v>
      </c>
      <c r="C612">
        <v>2022</v>
      </c>
      <c r="D612">
        <v>0.94962380000000002</v>
      </c>
      <c r="E612" t="s">
        <v>1386</v>
      </c>
      <c r="G612">
        <v>6459</v>
      </c>
    </row>
    <row r="613" spans="1:9" x14ac:dyDescent="0.3">
      <c r="A613" t="s">
        <v>369</v>
      </c>
      <c r="B613" t="s">
        <v>602</v>
      </c>
      <c r="C613">
        <v>2023</v>
      </c>
      <c r="D613">
        <v>0.92483959999999998</v>
      </c>
      <c r="E613" t="s">
        <v>1386</v>
      </c>
      <c r="G613">
        <v>7002</v>
      </c>
    </row>
    <row r="614" spans="1:9" x14ac:dyDescent="0.3">
      <c r="A614" t="s">
        <v>369</v>
      </c>
      <c r="B614" t="s">
        <v>602</v>
      </c>
      <c r="C614">
        <v>2024</v>
      </c>
      <c r="D614">
        <v>0.92388950000000003</v>
      </c>
      <c r="E614" t="s">
        <v>1386</v>
      </c>
      <c r="G614">
        <v>7282</v>
      </c>
    </row>
    <row r="615" spans="1:9" x14ac:dyDescent="0.3">
      <c r="A615" t="s">
        <v>409</v>
      </c>
      <c r="B615" t="s">
        <v>603</v>
      </c>
      <c r="C615">
        <v>1996</v>
      </c>
      <c r="D615">
        <v>6.449808</v>
      </c>
      <c r="E615" t="s">
        <v>1401</v>
      </c>
      <c r="I615">
        <v>47800</v>
      </c>
    </row>
    <row r="616" spans="1:9" x14ac:dyDescent="0.3">
      <c r="A616" t="s">
        <v>409</v>
      </c>
      <c r="B616" t="s">
        <v>603</v>
      </c>
      <c r="C616">
        <v>1997</v>
      </c>
      <c r="D616">
        <v>7.0734009999999996</v>
      </c>
      <c r="E616" t="s">
        <v>1401</v>
      </c>
      <c r="I616">
        <v>113400</v>
      </c>
    </row>
    <row r="617" spans="1:9" x14ac:dyDescent="0.3">
      <c r="A617" t="s">
        <v>409</v>
      </c>
      <c r="B617" t="s">
        <v>603</v>
      </c>
      <c r="C617">
        <v>1998</v>
      </c>
      <c r="D617">
        <v>7.5450970000000002</v>
      </c>
      <c r="E617" t="s">
        <v>1401</v>
      </c>
      <c r="I617">
        <v>171800</v>
      </c>
    </row>
    <row r="618" spans="1:9" x14ac:dyDescent="0.3">
      <c r="A618" t="s">
        <v>409</v>
      </c>
      <c r="B618" t="s">
        <v>603</v>
      </c>
      <c r="C618">
        <v>1999</v>
      </c>
      <c r="D618">
        <v>7.7991710000000003</v>
      </c>
      <c r="E618" t="s">
        <v>1401</v>
      </c>
      <c r="I618">
        <v>222400</v>
      </c>
    </row>
    <row r="619" spans="1:9" x14ac:dyDescent="0.3">
      <c r="A619" t="s">
        <v>409</v>
      </c>
      <c r="B619" t="s">
        <v>603</v>
      </c>
      <c r="C619">
        <v>2000</v>
      </c>
      <c r="D619">
        <v>8.8018420000000006</v>
      </c>
      <c r="E619" t="s">
        <v>1401</v>
      </c>
      <c r="I619">
        <v>386400</v>
      </c>
    </row>
    <row r="620" spans="1:9" x14ac:dyDescent="0.3">
      <c r="A620" t="s">
        <v>409</v>
      </c>
      <c r="B620" t="s">
        <v>603</v>
      </c>
      <c r="C620">
        <v>2001</v>
      </c>
      <c r="D620">
        <v>8.9916540000000005</v>
      </c>
      <c r="E620" t="s">
        <v>1401</v>
      </c>
      <c r="I620">
        <v>613700</v>
      </c>
    </row>
    <row r="621" spans="1:9" x14ac:dyDescent="0.3">
      <c r="A621" t="s">
        <v>409</v>
      </c>
      <c r="B621" t="s">
        <v>603</v>
      </c>
      <c r="C621">
        <v>2002</v>
      </c>
      <c r="D621">
        <v>7.9837790000000002</v>
      </c>
      <c r="E621" t="s">
        <v>1401</v>
      </c>
      <c r="I621">
        <v>609000</v>
      </c>
    </row>
    <row r="622" spans="1:9" x14ac:dyDescent="0.3">
      <c r="A622" t="s">
        <v>409</v>
      </c>
      <c r="B622" t="s">
        <v>603</v>
      </c>
      <c r="C622">
        <v>2003</v>
      </c>
      <c r="D622">
        <v>7.0802170000000002</v>
      </c>
      <c r="E622" t="s">
        <v>1401</v>
      </c>
      <c r="I622">
        <v>845300</v>
      </c>
    </row>
    <row r="623" spans="1:9" x14ac:dyDescent="0.3">
      <c r="A623" t="s">
        <v>409</v>
      </c>
      <c r="B623" t="s">
        <v>603</v>
      </c>
      <c r="C623">
        <v>2004</v>
      </c>
      <c r="D623">
        <v>6.7408330000000003</v>
      </c>
      <c r="E623" t="s">
        <v>1401</v>
      </c>
      <c r="I623">
        <v>1016400</v>
      </c>
    </row>
    <row r="624" spans="1:9" x14ac:dyDescent="0.3">
      <c r="A624" t="s">
        <v>409</v>
      </c>
      <c r="B624" t="s">
        <v>603</v>
      </c>
      <c r="C624">
        <v>2005</v>
      </c>
      <c r="D624">
        <v>6.4424999999999999</v>
      </c>
      <c r="E624" t="s">
        <v>1401</v>
      </c>
      <c r="I624">
        <v>1399000</v>
      </c>
    </row>
    <row r="625" spans="1:9" x14ac:dyDescent="0.3">
      <c r="A625" t="s">
        <v>409</v>
      </c>
      <c r="B625" t="s">
        <v>603</v>
      </c>
      <c r="C625">
        <v>2006</v>
      </c>
      <c r="D625">
        <v>6.4133329999999997</v>
      </c>
      <c r="E625" t="s">
        <v>1401</v>
      </c>
      <c r="F625">
        <v>1782139</v>
      </c>
      <c r="G625">
        <v>2520334</v>
      </c>
      <c r="H625">
        <v>738195</v>
      </c>
      <c r="I625">
        <v>1783.683</v>
      </c>
    </row>
    <row r="626" spans="1:9" x14ac:dyDescent="0.3">
      <c r="A626" t="s">
        <v>409</v>
      </c>
      <c r="B626" t="s">
        <v>603</v>
      </c>
      <c r="C626">
        <v>2007</v>
      </c>
      <c r="D626">
        <v>5.8616669999999997</v>
      </c>
      <c r="E626" t="s">
        <v>1401</v>
      </c>
      <c r="F626">
        <v>2016955</v>
      </c>
      <c r="G626">
        <v>3067080</v>
      </c>
      <c r="H626">
        <v>1050125</v>
      </c>
      <c r="I626">
        <v>1932</v>
      </c>
    </row>
    <row r="627" spans="1:9" x14ac:dyDescent="0.3">
      <c r="A627" t="s">
        <v>409</v>
      </c>
      <c r="B627" t="s">
        <v>603</v>
      </c>
      <c r="C627">
        <v>2008</v>
      </c>
      <c r="D627">
        <v>5.64</v>
      </c>
      <c r="E627" t="s">
        <v>1401</v>
      </c>
      <c r="F627">
        <v>2273289</v>
      </c>
      <c r="G627">
        <v>3190670</v>
      </c>
      <c r="H627">
        <v>917381</v>
      </c>
      <c r="I627">
        <v>2275</v>
      </c>
    </row>
    <row r="628" spans="1:9" x14ac:dyDescent="0.3">
      <c r="A628" t="s">
        <v>409</v>
      </c>
      <c r="B628" t="s">
        <v>603</v>
      </c>
      <c r="C628">
        <v>2009</v>
      </c>
      <c r="D628">
        <v>6.2883329999999997</v>
      </c>
      <c r="E628" t="s">
        <v>1401</v>
      </c>
      <c r="F628">
        <v>2636815</v>
      </c>
      <c r="G628">
        <v>2944439</v>
      </c>
      <c r="H628">
        <v>307624</v>
      </c>
      <c r="I628">
        <v>2640</v>
      </c>
    </row>
    <row r="629" spans="1:9" x14ac:dyDescent="0.3">
      <c r="A629" t="s">
        <v>409</v>
      </c>
      <c r="B629" t="s">
        <v>603</v>
      </c>
      <c r="C629">
        <v>2010</v>
      </c>
      <c r="D629">
        <v>6.0441669999999998</v>
      </c>
      <c r="E629" t="s">
        <v>1401</v>
      </c>
      <c r="F629">
        <v>3074461</v>
      </c>
      <c r="G629">
        <v>3420838</v>
      </c>
      <c r="H629">
        <v>346377</v>
      </c>
      <c r="I629">
        <v>3077</v>
      </c>
    </row>
    <row r="630" spans="1:9" x14ac:dyDescent="0.3">
      <c r="A630" t="s">
        <v>409</v>
      </c>
      <c r="B630" t="s">
        <v>603</v>
      </c>
      <c r="C630">
        <v>2011</v>
      </c>
      <c r="D630">
        <v>5.6046069999999997</v>
      </c>
      <c r="E630" t="s">
        <v>1401</v>
      </c>
      <c r="F630">
        <v>3309033</v>
      </c>
      <c r="G630">
        <v>3377307</v>
      </c>
      <c r="H630">
        <v>68274</v>
      </c>
      <c r="I630">
        <v>3312</v>
      </c>
    </row>
    <row r="631" spans="1:9" x14ac:dyDescent="0.3">
      <c r="A631" t="s">
        <v>409</v>
      </c>
      <c r="B631" t="s">
        <v>603</v>
      </c>
      <c r="C631">
        <v>2012</v>
      </c>
      <c r="D631">
        <v>5.8174999999999999</v>
      </c>
      <c r="E631" t="s">
        <v>1401</v>
      </c>
      <c r="F631">
        <v>3813576</v>
      </c>
      <c r="G631">
        <v>3877392</v>
      </c>
      <c r="H631">
        <v>63816</v>
      </c>
      <c r="I631">
        <v>3816</v>
      </c>
    </row>
    <row r="632" spans="1:9" x14ac:dyDescent="0.3">
      <c r="A632" t="s">
        <v>409</v>
      </c>
      <c r="B632" t="s">
        <v>603</v>
      </c>
      <c r="C632">
        <v>2013</v>
      </c>
      <c r="D632">
        <v>5.875</v>
      </c>
      <c r="E632" t="s">
        <v>1401</v>
      </c>
      <c r="F632">
        <v>5034846</v>
      </c>
      <c r="G632">
        <v>5163996</v>
      </c>
      <c r="H632">
        <v>129150</v>
      </c>
      <c r="I632">
        <v>5038</v>
      </c>
    </row>
    <row r="633" spans="1:9" x14ac:dyDescent="0.3">
      <c r="A633" t="s">
        <v>409</v>
      </c>
      <c r="B633" t="s">
        <v>603</v>
      </c>
      <c r="C633">
        <v>2014</v>
      </c>
      <c r="D633">
        <v>6.3016670000000001</v>
      </c>
      <c r="E633" t="s">
        <v>1401</v>
      </c>
      <c r="F633">
        <v>6427537</v>
      </c>
      <c r="G633">
        <v>6483471</v>
      </c>
      <c r="H633">
        <v>55934</v>
      </c>
      <c r="I633">
        <v>6431</v>
      </c>
    </row>
    <row r="634" spans="1:9" x14ac:dyDescent="0.3">
      <c r="A634" t="s">
        <v>409</v>
      </c>
      <c r="B634" t="s">
        <v>603</v>
      </c>
      <c r="C634">
        <v>2015</v>
      </c>
      <c r="D634">
        <v>8.0641669999999994</v>
      </c>
      <c r="E634" t="s">
        <v>1401</v>
      </c>
      <c r="F634">
        <v>7471220</v>
      </c>
      <c r="G634">
        <v>7656193</v>
      </c>
      <c r="H634">
        <v>184973</v>
      </c>
      <c r="I634">
        <v>7475</v>
      </c>
    </row>
    <row r="635" spans="1:9" x14ac:dyDescent="0.3">
      <c r="A635" t="s">
        <v>409</v>
      </c>
      <c r="B635" t="s">
        <v>603</v>
      </c>
      <c r="C635">
        <v>2016</v>
      </c>
      <c r="D635">
        <v>8.4</v>
      </c>
      <c r="E635" t="s">
        <v>1401</v>
      </c>
      <c r="F635">
        <v>7506763</v>
      </c>
      <c r="G635">
        <v>7756342</v>
      </c>
      <c r="H635">
        <v>249579</v>
      </c>
      <c r="I635">
        <v>7510</v>
      </c>
    </row>
    <row r="636" spans="1:9" x14ac:dyDescent="0.3">
      <c r="A636" t="s">
        <v>409</v>
      </c>
      <c r="B636" t="s">
        <v>603</v>
      </c>
      <c r="C636">
        <v>2017</v>
      </c>
      <c r="D636">
        <v>8.2716670000000008</v>
      </c>
      <c r="E636" t="s">
        <v>1401</v>
      </c>
      <c r="F636">
        <v>8483727</v>
      </c>
      <c r="G636">
        <v>8774633</v>
      </c>
      <c r="H636">
        <v>290907</v>
      </c>
      <c r="I636">
        <v>8488</v>
      </c>
    </row>
    <row r="637" spans="1:9" x14ac:dyDescent="0.3">
      <c r="A637" t="s">
        <v>409</v>
      </c>
      <c r="B637" t="s">
        <v>603</v>
      </c>
      <c r="C637">
        <v>2018</v>
      </c>
      <c r="D637">
        <v>8.1325000000000003</v>
      </c>
      <c r="E637" t="s">
        <v>1401</v>
      </c>
      <c r="F637">
        <v>8251401</v>
      </c>
      <c r="G637">
        <v>8640892</v>
      </c>
      <c r="H637">
        <v>389491</v>
      </c>
      <c r="I637">
        <v>8256</v>
      </c>
    </row>
    <row r="638" spans="1:9" x14ac:dyDescent="0.3">
      <c r="A638" t="s">
        <v>409</v>
      </c>
      <c r="B638" t="s">
        <v>603</v>
      </c>
      <c r="C638">
        <v>2019</v>
      </c>
      <c r="D638">
        <v>8.8000000000000007</v>
      </c>
      <c r="E638" t="s">
        <v>1401</v>
      </c>
      <c r="F638">
        <v>10083771</v>
      </c>
      <c r="G638">
        <v>10450786</v>
      </c>
      <c r="H638">
        <v>367015</v>
      </c>
      <c r="I638">
        <v>10088</v>
      </c>
    </row>
    <row r="639" spans="1:9" x14ac:dyDescent="0.3">
      <c r="A639" t="s">
        <v>409</v>
      </c>
      <c r="B639" t="s">
        <v>603</v>
      </c>
      <c r="C639">
        <v>2020</v>
      </c>
      <c r="D639">
        <v>9.4158329999999992</v>
      </c>
      <c r="E639" t="s">
        <v>1401</v>
      </c>
      <c r="F639">
        <v>10908457</v>
      </c>
      <c r="G639">
        <v>11340440</v>
      </c>
      <c r="H639">
        <v>431983</v>
      </c>
      <c r="I639">
        <v>10914</v>
      </c>
    </row>
    <row r="640" spans="1:9" x14ac:dyDescent="0.3">
      <c r="A640" t="s">
        <v>409</v>
      </c>
      <c r="B640" t="s">
        <v>603</v>
      </c>
      <c r="C640">
        <v>2021</v>
      </c>
      <c r="D640">
        <v>8.59</v>
      </c>
      <c r="E640" t="s">
        <v>1401</v>
      </c>
      <c r="F640">
        <v>12340085</v>
      </c>
      <c r="G640">
        <v>12980791</v>
      </c>
      <c r="H640">
        <v>640706</v>
      </c>
      <c r="I640">
        <v>12340</v>
      </c>
    </row>
    <row r="641" spans="1:9" x14ac:dyDescent="0.3">
      <c r="A641" t="s">
        <v>409</v>
      </c>
      <c r="B641" t="s">
        <v>603</v>
      </c>
      <c r="C641">
        <v>2022</v>
      </c>
      <c r="D641">
        <v>9.6141660000000009</v>
      </c>
      <c r="E641" t="s">
        <v>1401</v>
      </c>
      <c r="F641">
        <v>12429334</v>
      </c>
      <c r="G641">
        <v>13329248</v>
      </c>
      <c r="H641">
        <v>899915</v>
      </c>
      <c r="I641">
        <v>12429</v>
      </c>
    </row>
    <row r="642" spans="1:9" x14ac:dyDescent="0.3">
      <c r="A642" t="s">
        <v>409</v>
      </c>
      <c r="B642" t="s">
        <v>603</v>
      </c>
      <c r="C642">
        <v>2023</v>
      </c>
      <c r="D642">
        <v>10.563330000000001</v>
      </c>
      <c r="E642" t="s">
        <v>1401</v>
      </c>
      <c r="F642">
        <v>15756719</v>
      </c>
      <c r="G642">
        <v>16782681</v>
      </c>
      <c r="H642">
        <v>1025962</v>
      </c>
      <c r="I642">
        <v>15757</v>
      </c>
    </row>
    <row r="643" spans="1:9" x14ac:dyDescent="0.3">
      <c r="A643" t="s">
        <v>409</v>
      </c>
      <c r="B643" t="s">
        <v>603</v>
      </c>
      <c r="C643">
        <v>2024</v>
      </c>
      <c r="D643">
        <v>10.74583</v>
      </c>
      <c r="E643" t="s">
        <v>1401</v>
      </c>
      <c r="F643">
        <v>19741590</v>
      </c>
      <c r="G643">
        <v>21285673</v>
      </c>
      <c r="H643">
        <v>1544083</v>
      </c>
      <c r="I643">
        <v>19742</v>
      </c>
    </row>
    <row r="644" spans="1:9" x14ac:dyDescent="0.3">
      <c r="A644" t="s">
        <v>396</v>
      </c>
      <c r="B644" t="s">
        <v>604</v>
      </c>
      <c r="C644">
        <v>2016</v>
      </c>
      <c r="D644">
        <v>1.3452139999999999</v>
      </c>
      <c r="E644" t="s">
        <v>1398</v>
      </c>
      <c r="F644">
        <v>35.317</v>
      </c>
      <c r="G644">
        <v>35.317</v>
      </c>
      <c r="H644">
        <v>0</v>
      </c>
    </row>
    <row r="645" spans="1:9" x14ac:dyDescent="0.3">
      <c r="A645" t="s">
        <v>396</v>
      </c>
      <c r="B645" t="s">
        <v>604</v>
      </c>
      <c r="C645">
        <v>2017</v>
      </c>
      <c r="D645">
        <v>1.3047580000000001</v>
      </c>
      <c r="E645" t="s">
        <v>1398</v>
      </c>
      <c r="F645">
        <v>56.02</v>
      </c>
      <c r="G645">
        <v>58.530999999999999</v>
      </c>
      <c r="H645">
        <v>2.5110000000000001</v>
      </c>
    </row>
    <row r="646" spans="1:9" x14ac:dyDescent="0.3">
      <c r="A646" t="s">
        <v>396</v>
      </c>
      <c r="B646" t="s">
        <v>604</v>
      </c>
      <c r="C646">
        <v>2018</v>
      </c>
      <c r="D646">
        <v>1.3384119999999999</v>
      </c>
      <c r="E646" t="s">
        <v>1398</v>
      </c>
      <c r="F646">
        <v>84.427000000000007</v>
      </c>
      <c r="G646">
        <v>89.087000000000003</v>
      </c>
      <c r="H646">
        <v>4.66</v>
      </c>
    </row>
    <row r="647" spans="1:9" x14ac:dyDescent="0.3">
      <c r="A647" t="s">
        <v>396</v>
      </c>
      <c r="B647" t="s">
        <v>604</v>
      </c>
      <c r="C647">
        <v>2019</v>
      </c>
      <c r="D647">
        <v>1.438507</v>
      </c>
      <c r="E647" t="s">
        <v>1398</v>
      </c>
      <c r="F647">
        <v>110.845</v>
      </c>
      <c r="G647">
        <v>114.011</v>
      </c>
      <c r="H647">
        <v>3.1659999999999999</v>
      </c>
    </row>
    <row r="648" spans="1:9" x14ac:dyDescent="0.3">
      <c r="A648" t="s">
        <v>396</v>
      </c>
      <c r="B648" t="s">
        <v>604</v>
      </c>
      <c r="C648">
        <v>2020</v>
      </c>
      <c r="D648">
        <v>1.453085</v>
      </c>
      <c r="E648" t="s">
        <v>1398</v>
      </c>
      <c r="F648">
        <v>133.89599999999999</v>
      </c>
      <c r="G648">
        <v>142.15199999999999</v>
      </c>
      <c r="H648">
        <v>8.2560000000000002</v>
      </c>
    </row>
    <row r="649" spans="1:9" x14ac:dyDescent="0.3">
      <c r="A649" t="s">
        <v>396</v>
      </c>
      <c r="B649" t="s">
        <v>604</v>
      </c>
      <c r="C649">
        <v>2021</v>
      </c>
      <c r="D649">
        <v>1.331224</v>
      </c>
      <c r="E649" t="s">
        <v>1398</v>
      </c>
      <c r="F649">
        <v>210.809</v>
      </c>
      <c r="G649">
        <v>217.952</v>
      </c>
      <c r="H649">
        <v>7.1429999999999998</v>
      </c>
    </row>
    <row r="650" spans="1:9" x14ac:dyDescent="0.3">
      <c r="A650" t="s">
        <v>396</v>
      </c>
      <c r="B650" t="s">
        <v>604</v>
      </c>
      <c r="C650">
        <v>2022</v>
      </c>
      <c r="D650">
        <v>1.4416640000000001</v>
      </c>
      <c r="E650" t="s">
        <v>1398</v>
      </c>
      <c r="F650">
        <v>227.89599999999999</v>
      </c>
      <c r="G650">
        <v>239.017</v>
      </c>
      <c r="H650">
        <v>11.121</v>
      </c>
    </row>
    <row r="651" spans="1:9" x14ac:dyDescent="0.3">
      <c r="A651" t="s">
        <v>396</v>
      </c>
      <c r="B651" t="s">
        <v>604</v>
      </c>
      <c r="C651">
        <v>2023</v>
      </c>
      <c r="D651">
        <v>1.5051909999999999</v>
      </c>
      <c r="E651" t="s">
        <v>1398</v>
      </c>
      <c r="F651">
        <v>288.214</v>
      </c>
      <c r="G651">
        <v>296.57499999999999</v>
      </c>
      <c r="H651">
        <v>8.3610000000000007</v>
      </c>
    </row>
    <row r="652" spans="1:9" x14ac:dyDescent="0.3">
      <c r="A652" t="s">
        <v>396</v>
      </c>
      <c r="B652" t="s">
        <v>604</v>
      </c>
      <c r="C652">
        <v>2024</v>
      </c>
      <c r="D652">
        <v>1.515358</v>
      </c>
      <c r="E652" t="s">
        <v>1398</v>
      </c>
      <c r="F652">
        <v>351</v>
      </c>
      <c r="G652">
        <v>356.06299999999999</v>
      </c>
      <c r="H652">
        <v>5.0629999999999997</v>
      </c>
    </row>
    <row r="653" spans="1:9" x14ac:dyDescent="0.3">
      <c r="A653" t="s">
        <v>401</v>
      </c>
      <c r="B653" t="s">
        <v>605</v>
      </c>
      <c r="C653">
        <v>2002</v>
      </c>
      <c r="D653">
        <v>2.162191</v>
      </c>
      <c r="E653" t="s">
        <v>1402</v>
      </c>
      <c r="F653">
        <v>615</v>
      </c>
      <c r="G653">
        <v>615</v>
      </c>
      <c r="H653">
        <v>0</v>
      </c>
    </row>
    <row r="654" spans="1:9" x14ac:dyDescent="0.3">
      <c r="A654" t="s">
        <v>401</v>
      </c>
      <c r="B654" t="s">
        <v>605</v>
      </c>
      <c r="C654">
        <v>2003</v>
      </c>
      <c r="D654">
        <v>1.722099</v>
      </c>
      <c r="E654" t="s">
        <v>1402</v>
      </c>
      <c r="F654">
        <v>1884</v>
      </c>
      <c r="G654">
        <v>1884</v>
      </c>
      <c r="H654">
        <v>0</v>
      </c>
    </row>
    <row r="655" spans="1:9" x14ac:dyDescent="0.3">
      <c r="A655" t="s">
        <v>401</v>
      </c>
      <c r="B655" t="s">
        <v>605</v>
      </c>
      <c r="C655">
        <v>2004</v>
      </c>
      <c r="D655">
        <v>1.5086809999999999</v>
      </c>
      <c r="E655" t="s">
        <v>1402</v>
      </c>
      <c r="F655">
        <v>3955.8980000000001</v>
      </c>
      <c r="G655">
        <v>4191.9780000000001</v>
      </c>
      <c r="H655">
        <v>236.08</v>
      </c>
    </row>
    <row r="656" spans="1:9" x14ac:dyDescent="0.3">
      <c r="A656" t="s">
        <v>401</v>
      </c>
      <c r="B656" t="s">
        <v>605</v>
      </c>
      <c r="C656">
        <v>2005</v>
      </c>
      <c r="D656">
        <v>1.4202729999999999</v>
      </c>
      <c r="E656" t="s">
        <v>1402</v>
      </c>
      <c r="F656">
        <v>6554.83</v>
      </c>
      <c r="G656">
        <v>6675.6850000000004</v>
      </c>
      <c r="H656">
        <v>120.855</v>
      </c>
    </row>
    <row r="657" spans="1:8" x14ac:dyDescent="0.3">
      <c r="A657" t="s">
        <v>401</v>
      </c>
      <c r="B657" t="s">
        <v>605</v>
      </c>
      <c r="C657">
        <v>2006</v>
      </c>
      <c r="D657">
        <v>1.5420560000000001</v>
      </c>
      <c r="E657" t="s">
        <v>1402</v>
      </c>
      <c r="F657">
        <v>9864.4150000000009</v>
      </c>
      <c r="G657">
        <v>10279.919</v>
      </c>
      <c r="H657">
        <v>415.50400000000002</v>
      </c>
    </row>
    <row r="658" spans="1:8" x14ac:dyDescent="0.3">
      <c r="A658" t="s">
        <v>401</v>
      </c>
      <c r="B658" t="s">
        <v>605</v>
      </c>
      <c r="C658">
        <v>2007</v>
      </c>
      <c r="D658">
        <v>1.3606750000000001</v>
      </c>
      <c r="E658" t="s">
        <v>1402</v>
      </c>
      <c r="F658">
        <v>12991.502</v>
      </c>
      <c r="G658">
        <v>13242.48</v>
      </c>
      <c r="H658">
        <v>250.97800000000001</v>
      </c>
    </row>
    <row r="659" spans="1:8" x14ac:dyDescent="0.3">
      <c r="A659" t="s">
        <v>401</v>
      </c>
      <c r="B659" t="s">
        <v>605</v>
      </c>
      <c r="C659">
        <v>2008</v>
      </c>
      <c r="D659">
        <v>1.4227270000000001</v>
      </c>
      <c r="E659" t="s">
        <v>1402</v>
      </c>
      <c r="F659">
        <v>14211.923000000001</v>
      </c>
      <c r="G659">
        <v>14788.237999999999</v>
      </c>
      <c r="H659">
        <v>576.31500000000005</v>
      </c>
    </row>
    <row r="660" spans="1:8" x14ac:dyDescent="0.3">
      <c r="A660" t="s">
        <v>401</v>
      </c>
      <c r="B660" t="s">
        <v>605</v>
      </c>
      <c r="C660">
        <v>2009</v>
      </c>
      <c r="D660">
        <v>1.6008770000000001</v>
      </c>
      <c r="E660" t="s">
        <v>1402</v>
      </c>
      <c r="F660">
        <v>13687.909</v>
      </c>
      <c r="G660">
        <v>14284.245000000001</v>
      </c>
      <c r="H660">
        <v>596.33600000000001</v>
      </c>
    </row>
    <row r="661" spans="1:8" x14ac:dyDescent="0.3">
      <c r="A661" t="s">
        <v>401</v>
      </c>
      <c r="B661" t="s">
        <v>605</v>
      </c>
      <c r="C661">
        <v>2010</v>
      </c>
      <c r="D661">
        <v>1.387834</v>
      </c>
      <c r="E661" t="s">
        <v>1402</v>
      </c>
      <c r="F661">
        <v>15655.710999999999</v>
      </c>
      <c r="G661">
        <v>16718.402999999998</v>
      </c>
      <c r="H661">
        <v>1062.692</v>
      </c>
    </row>
    <row r="662" spans="1:8" x14ac:dyDescent="0.3">
      <c r="A662" t="s">
        <v>401</v>
      </c>
      <c r="B662" t="s">
        <v>605</v>
      </c>
      <c r="C662">
        <v>2011</v>
      </c>
      <c r="D662">
        <v>1.265811</v>
      </c>
      <c r="E662" t="s">
        <v>1402</v>
      </c>
      <c r="F662">
        <v>18651.513999999999</v>
      </c>
      <c r="G662">
        <v>19899.232</v>
      </c>
      <c r="H662">
        <v>1247.7180000000001</v>
      </c>
    </row>
    <row r="663" spans="1:8" x14ac:dyDescent="0.3">
      <c r="A663" t="s">
        <v>401</v>
      </c>
      <c r="B663" t="s">
        <v>605</v>
      </c>
      <c r="C663">
        <v>2012</v>
      </c>
      <c r="D663">
        <v>1.2342839999999999</v>
      </c>
      <c r="E663" t="s">
        <v>1402</v>
      </c>
      <c r="F663">
        <v>18721.687999999998</v>
      </c>
      <c r="G663">
        <v>19795.411</v>
      </c>
      <c r="H663">
        <v>1073.723</v>
      </c>
    </row>
    <row r="664" spans="1:8" x14ac:dyDescent="0.3">
      <c r="A664" t="s">
        <v>401</v>
      </c>
      <c r="B664" t="s">
        <v>605</v>
      </c>
      <c r="C664">
        <v>2013</v>
      </c>
      <c r="D664">
        <v>1.219408</v>
      </c>
      <c r="E664" t="s">
        <v>1402</v>
      </c>
      <c r="F664">
        <v>22563.162</v>
      </c>
      <c r="G664">
        <v>24455.651000000002</v>
      </c>
      <c r="H664">
        <v>1892.489</v>
      </c>
    </row>
    <row r="665" spans="1:8" x14ac:dyDescent="0.3">
      <c r="A665" t="s">
        <v>401</v>
      </c>
      <c r="B665" t="s">
        <v>605</v>
      </c>
      <c r="C665">
        <v>2014</v>
      </c>
      <c r="D665">
        <v>1.205433</v>
      </c>
      <c r="E665" t="s">
        <v>1402</v>
      </c>
      <c r="F665">
        <v>25824.707999999999</v>
      </c>
      <c r="G665">
        <v>27989.919999999998</v>
      </c>
      <c r="H665">
        <v>2165.212</v>
      </c>
    </row>
    <row r="666" spans="1:8" x14ac:dyDescent="0.3">
      <c r="A666" t="s">
        <v>401</v>
      </c>
      <c r="B666" t="s">
        <v>605</v>
      </c>
      <c r="C666">
        <v>2015</v>
      </c>
      <c r="D666">
        <v>1.433975</v>
      </c>
      <c r="E666" t="s">
        <v>1402</v>
      </c>
      <c r="F666">
        <v>29541.257000000001</v>
      </c>
      <c r="G666">
        <v>32858.995000000003</v>
      </c>
      <c r="H666">
        <v>3317.7379999999998</v>
      </c>
    </row>
    <row r="667" spans="1:8" x14ac:dyDescent="0.3">
      <c r="A667" t="s">
        <v>401</v>
      </c>
      <c r="B667" t="s">
        <v>605</v>
      </c>
      <c r="C667">
        <v>2016</v>
      </c>
      <c r="D667">
        <v>1.4365250000000001</v>
      </c>
      <c r="E667" t="s">
        <v>1402</v>
      </c>
      <c r="F667">
        <v>29551.861000000001</v>
      </c>
      <c r="G667">
        <v>31811.315999999999</v>
      </c>
      <c r="H667">
        <v>2259.4549999999999</v>
      </c>
    </row>
    <row r="668" spans="1:8" x14ac:dyDescent="0.3">
      <c r="A668" t="s">
        <v>401</v>
      </c>
      <c r="B668" t="s">
        <v>605</v>
      </c>
      <c r="C668">
        <v>2017</v>
      </c>
      <c r="D668">
        <v>1.407408</v>
      </c>
      <c r="E668" t="s">
        <v>1402</v>
      </c>
      <c r="F668">
        <v>34503.646000000001</v>
      </c>
      <c r="G668">
        <v>38954.048000000003</v>
      </c>
      <c r="H668">
        <v>4450.402</v>
      </c>
    </row>
    <row r="669" spans="1:8" x14ac:dyDescent="0.3">
      <c r="A669" t="s">
        <v>401</v>
      </c>
      <c r="B669" t="s">
        <v>605</v>
      </c>
      <c r="C669">
        <v>2018</v>
      </c>
      <c r="D669">
        <v>1.4452579999999999</v>
      </c>
      <c r="E669" t="s">
        <v>1402</v>
      </c>
      <c r="F669">
        <v>39021.733999999997</v>
      </c>
      <c r="G669">
        <v>42436.974000000002</v>
      </c>
      <c r="H669">
        <v>3415.24</v>
      </c>
    </row>
    <row r="670" spans="1:8" x14ac:dyDescent="0.3">
      <c r="A670" t="s">
        <v>401</v>
      </c>
      <c r="B670" t="s">
        <v>605</v>
      </c>
      <c r="C670">
        <v>2019</v>
      </c>
      <c r="D670">
        <v>1.5178750000000001</v>
      </c>
      <c r="E670" t="s">
        <v>1402</v>
      </c>
      <c r="F670">
        <v>42316.093999999997</v>
      </c>
      <c r="G670">
        <v>43984.739000000001</v>
      </c>
      <c r="H670">
        <v>1668.645</v>
      </c>
    </row>
    <row r="671" spans="1:8" x14ac:dyDescent="0.3">
      <c r="A671" t="s">
        <v>401</v>
      </c>
      <c r="B671" t="s">
        <v>605</v>
      </c>
      <c r="C671">
        <v>2020</v>
      </c>
      <c r="D671">
        <v>1.5420579999999999</v>
      </c>
      <c r="E671" t="s">
        <v>1402</v>
      </c>
      <c r="F671">
        <v>43997.303999999996</v>
      </c>
      <c r="G671">
        <v>47905.624000000003</v>
      </c>
      <c r="H671">
        <v>3908.32</v>
      </c>
    </row>
    <row r="672" spans="1:8" x14ac:dyDescent="0.3">
      <c r="A672" t="s">
        <v>401</v>
      </c>
      <c r="B672" t="s">
        <v>605</v>
      </c>
      <c r="C672">
        <v>2021</v>
      </c>
      <c r="D672">
        <v>1.4137999999999999</v>
      </c>
      <c r="E672" t="s">
        <v>1402</v>
      </c>
      <c r="F672">
        <v>57364.595000000001</v>
      </c>
      <c r="G672">
        <v>61995.800999999999</v>
      </c>
      <c r="H672">
        <v>4631.2060000000001</v>
      </c>
    </row>
    <row r="673" spans="1:8" x14ac:dyDescent="0.3">
      <c r="A673" t="s">
        <v>401</v>
      </c>
      <c r="B673" t="s">
        <v>605</v>
      </c>
      <c r="C673">
        <v>2022</v>
      </c>
      <c r="D673">
        <v>1.577183</v>
      </c>
      <c r="E673" t="s">
        <v>1402</v>
      </c>
      <c r="F673">
        <v>56210.462</v>
      </c>
      <c r="G673">
        <v>66326.53</v>
      </c>
      <c r="H673">
        <v>10116.067999999999</v>
      </c>
    </row>
    <row r="674" spans="1:8" x14ac:dyDescent="0.3">
      <c r="A674" t="s">
        <v>401</v>
      </c>
      <c r="B674" t="s">
        <v>605</v>
      </c>
      <c r="C674">
        <v>2023</v>
      </c>
      <c r="D674">
        <v>1.628433</v>
      </c>
      <c r="E674" t="s">
        <v>1402</v>
      </c>
      <c r="F674">
        <v>64673.290999999997</v>
      </c>
      <c r="G674">
        <v>68012.395000000004</v>
      </c>
      <c r="H674">
        <v>3339.1039999999998</v>
      </c>
    </row>
    <row r="675" spans="1:8" x14ac:dyDescent="0.3">
      <c r="A675" t="s">
        <v>401</v>
      </c>
      <c r="B675" t="s">
        <v>605</v>
      </c>
      <c r="C675">
        <v>2024</v>
      </c>
      <c r="D675">
        <v>1.6523080000000001</v>
      </c>
      <c r="E675" t="s">
        <v>1402</v>
      </c>
      <c r="F675">
        <v>74816.077000000005</v>
      </c>
      <c r="G675">
        <v>78975.884000000005</v>
      </c>
      <c r="H675">
        <v>4159.8069999999998</v>
      </c>
    </row>
    <row r="676" spans="1:8" x14ac:dyDescent="0.3">
      <c r="A676" t="s">
        <v>405</v>
      </c>
      <c r="B676" t="s">
        <v>606</v>
      </c>
      <c r="C676">
        <v>2012</v>
      </c>
      <c r="E676" t="s">
        <v>1385</v>
      </c>
      <c r="F676">
        <v>1000</v>
      </c>
      <c r="G676">
        <v>1000</v>
      </c>
      <c r="H676">
        <v>0</v>
      </c>
    </row>
    <row r="677" spans="1:8" x14ac:dyDescent="0.3">
      <c r="A677" t="s">
        <v>405</v>
      </c>
      <c r="B677" t="s">
        <v>606</v>
      </c>
      <c r="C677">
        <v>2013</v>
      </c>
      <c r="D677">
        <v>157.3117</v>
      </c>
      <c r="E677" t="s">
        <v>1403</v>
      </c>
      <c r="F677">
        <v>169640.43599999999</v>
      </c>
      <c r="G677">
        <v>170148.75899999999</v>
      </c>
      <c r="H677">
        <v>508.32299999999998</v>
      </c>
    </row>
    <row r="678" spans="1:8" x14ac:dyDescent="0.3">
      <c r="A678" t="s">
        <v>405</v>
      </c>
      <c r="B678" t="s">
        <v>606</v>
      </c>
      <c r="C678">
        <v>2014</v>
      </c>
      <c r="D678">
        <v>158.55260000000001</v>
      </c>
      <c r="E678" t="s">
        <v>1403</v>
      </c>
      <c r="F678">
        <v>171528.26699999999</v>
      </c>
      <c r="G678">
        <v>177838.55600000001</v>
      </c>
      <c r="H678">
        <v>6310.2889999999998</v>
      </c>
    </row>
    <row r="679" spans="1:8" x14ac:dyDescent="0.3">
      <c r="A679" t="s">
        <v>405</v>
      </c>
      <c r="B679" t="s">
        <v>606</v>
      </c>
      <c r="C679">
        <v>2015</v>
      </c>
      <c r="D679">
        <v>192.44030000000001</v>
      </c>
      <c r="E679" t="s">
        <v>1403</v>
      </c>
      <c r="F679">
        <v>197886.277</v>
      </c>
      <c r="G679">
        <v>213674.78599999999</v>
      </c>
      <c r="H679">
        <v>15788.509</v>
      </c>
    </row>
    <row r="680" spans="1:8" x14ac:dyDescent="0.3">
      <c r="A680" t="s">
        <v>405</v>
      </c>
      <c r="B680" t="s">
        <v>606</v>
      </c>
      <c r="C680">
        <v>2016</v>
      </c>
      <c r="D680">
        <v>253.49199999999999</v>
      </c>
      <c r="E680" t="s">
        <v>1403</v>
      </c>
      <c r="F680">
        <v>396844.61499999999</v>
      </c>
      <c r="G680">
        <v>420934.17599999998</v>
      </c>
      <c r="H680">
        <v>24089.561000000002</v>
      </c>
    </row>
    <row r="681" spans="1:8" x14ac:dyDescent="0.3">
      <c r="A681" t="s">
        <v>405</v>
      </c>
      <c r="B681" t="s">
        <v>606</v>
      </c>
      <c r="C681">
        <v>2017</v>
      </c>
      <c r="D681">
        <v>305.7901</v>
      </c>
      <c r="E681" t="s">
        <v>1403</v>
      </c>
      <c r="F681">
        <v>501062.02299999999</v>
      </c>
      <c r="G681">
        <v>533882.57900000003</v>
      </c>
      <c r="H681">
        <v>32820.555999999997</v>
      </c>
    </row>
    <row r="682" spans="1:8" x14ac:dyDescent="0.3">
      <c r="A682" t="s">
        <v>405</v>
      </c>
      <c r="B682" t="s">
        <v>606</v>
      </c>
      <c r="C682">
        <v>2018</v>
      </c>
      <c r="D682">
        <v>306.08370000000002</v>
      </c>
      <c r="E682" t="s">
        <v>1403</v>
      </c>
      <c r="F682">
        <v>543387.38600000006</v>
      </c>
      <c r="G682">
        <v>617698.10800000001</v>
      </c>
      <c r="H682">
        <v>74310.721999999994</v>
      </c>
    </row>
    <row r="683" spans="1:8" x14ac:dyDescent="0.3">
      <c r="A683" t="s">
        <v>405</v>
      </c>
      <c r="B683" t="s">
        <v>606</v>
      </c>
      <c r="C683">
        <v>2019</v>
      </c>
      <c r="D683">
        <v>306.92099999999999</v>
      </c>
      <c r="E683" t="s">
        <v>1403</v>
      </c>
      <c r="F683">
        <v>579535.42599999998</v>
      </c>
      <c r="G683">
        <v>649846.04799999995</v>
      </c>
      <c r="H683">
        <v>70310.622000000003</v>
      </c>
    </row>
    <row r="684" spans="1:8" x14ac:dyDescent="0.3">
      <c r="A684" t="s">
        <v>405</v>
      </c>
      <c r="B684" t="s">
        <v>606</v>
      </c>
      <c r="C684">
        <v>2020</v>
      </c>
      <c r="D684">
        <v>358.81079999999997</v>
      </c>
      <c r="E684" t="s">
        <v>1403</v>
      </c>
      <c r="F684">
        <v>772747.51399999997</v>
      </c>
      <c r="G684">
        <v>981781.02399999998</v>
      </c>
      <c r="H684">
        <v>209033.51</v>
      </c>
    </row>
    <row r="685" spans="1:8" x14ac:dyDescent="0.3">
      <c r="A685" t="s">
        <v>405</v>
      </c>
      <c r="B685" t="s">
        <v>606</v>
      </c>
      <c r="C685">
        <v>2021</v>
      </c>
      <c r="D685">
        <v>401.15199999999999</v>
      </c>
      <c r="E685" t="s">
        <v>1403</v>
      </c>
      <c r="F685">
        <v>919726.65</v>
      </c>
      <c r="G685">
        <v>1227829.0789999999</v>
      </c>
      <c r="H685">
        <v>308102.429</v>
      </c>
    </row>
    <row r="686" spans="1:8" x14ac:dyDescent="0.3">
      <c r="A686" t="s">
        <v>405</v>
      </c>
      <c r="B686" t="s">
        <v>606</v>
      </c>
      <c r="C686">
        <v>2022</v>
      </c>
      <c r="D686">
        <v>425.97919999999999</v>
      </c>
      <c r="E686" t="s">
        <v>1403</v>
      </c>
      <c r="F686">
        <v>1016688.933</v>
      </c>
      <c r="G686">
        <v>1032708.483</v>
      </c>
      <c r="H686">
        <v>16019.55</v>
      </c>
    </row>
    <row r="687" spans="1:8" x14ac:dyDescent="0.3">
      <c r="A687" t="s">
        <v>405</v>
      </c>
      <c r="B687" t="s">
        <v>606</v>
      </c>
      <c r="C687">
        <v>2023</v>
      </c>
      <c r="D687">
        <v>645.19410000000005</v>
      </c>
      <c r="E687" t="s">
        <v>1403</v>
      </c>
      <c r="F687">
        <v>2222208.4619999998</v>
      </c>
      <c r="G687">
        <v>2258949.3139999998</v>
      </c>
      <c r="H687">
        <v>36740.851999999999</v>
      </c>
    </row>
    <row r="688" spans="1:8" x14ac:dyDescent="0.3">
      <c r="A688" t="s">
        <v>405</v>
      </c>
      <c r="B688" t="s">
        <v>606</v>
      </c>
      <c r="C688">
        <v>2024</v>
      </c>
      <c r="D688">
        <v>1478.9649999999999</v>
      </c>
      <c r="E688" t="s">
        <v>1403</v>
      </c>
      <c r="F688">
        <v>4354276.648</v>
      </c>
      <c r="G688">
        <v>4422851.9950000001</v>
      </c>
      <c r="H688">
        <v>68575.346999999994</v>
      </c>
    </row>
    <row r="689" spans="1:8" x14ac:dyDescent="0.3">
      <c r="A689" t="s">
        <v>426</v>
      </c>
      <c r="B689" t="s">
        <v>607</v>
      </c>
      <c r="C689">
        <v>2013</v>
      </c>
      <c r="D689">
        <v>1</v>
      </c>
      <c r="E689" t="s">
        <v>1404</v>
      </c>
      <c r="F689">
        <v>1233.606061</v>
      </c>
      <c r="G689">
        <v>1408.226813</v>
      </c>
      <c r="H689">
        <v>174.62075200000001</v>
      </c>
    </row>
    <row r="690" spans="1:8" x14ac:dyDescent="0.3">
      <c r="A690" t="s">
        <v>426</v>
      </c>
      <c r="B690" t="s">
        <v>607</v>
      </c>
      <c r="C690">
        <v>2014</v>
      </c>
      <c r="D690">
        <v>1</v>
      </c>
      <c r="E690" t="s">
        <v>1404</v>
      </c>
      <c r="F690">
        <v>1286.4237869999999</v>
      </c>
      <c r="G690">
        <v>1410.7506269999999</v>
      </c>
      <c r="H690">
        <v>124.32684</v>
      </c>
    </row>
    <row r="691" spans="1:8" x14ac:dyDescent="0.3">
      <c r="A691" t="s">
        <v>426</v>
      </c>
      <c r="B691" t="s">
        <v>607</v>
      </c>
      <c r="C691">
        <v>2015</v>
      </c>
      <c r="D691">
        <v>1</v>
      </c>
      <c r="E691" t="s">
        <v>1404</v>
      </c>
      <c r="F691">
        <v>1224.971125</v>
      </c>
      <c r="G691">
        <v>1389.501917</v>
      </c>
      <c r="H691">
        <v>164.53079199999999</v>
      </c>
    </row>
    <row r="692" spans="1:8" x14ac:dyDescent="0.3">
      <c r="A692" t="s">
        <v>426</v>
      </c>
      <c r="B692" t="s">
        <v>607</v>
      </c>
      <c r="C692">
        <v>2016</v>
      </c>
      <c r="D692">
        <v>1</v>
      </c>
      <c r="E692" t="s">
        <v>1404</v>
      </c>
      <c r="F692">
        <v>1265.0360029999999</v>
      </c>
      <c r="G692">
        <v>1384.3781939999999</v>
      </c>
      <c r="H692">
        <v>119.342191</v>
      </c>
    </row>
    <row r="693" spans="1:8" x14ac:dyDescent="0.3">
      <c r="A693" t="s">
        <v>426</v>
      </c>
      <c r="B693" t="s">
        <v>607</v>
      </c>
      <c r="C693">
        <v>2017</v>
      </c>
      <c r="D693">
        <v>1</v>
      </c>
      <c r="E693" t="s">
        <v>1404</v>
      </c>
      <c r="F693">
        <v>1310.1606770000001</v>
      </c>
      <c r="G693">
        <v>1374.6807470000001</v>
      </c>
      <c r="H693">
        <v>64.520070000000004</v>
      </c>
    </row>
    <row r="694" spans="1:8" x14ac:dyDescent="0.3">
      <c r="A694" t="s">
        <v>426</v>
      </c>
      <c r="B694" t="s">
        <v>607</v>
      </c>
      <c r="C694">
        <v>2018</v>
      </c>
      <c r="D694">
        <v>1</v>
      </c>
      <c r="E694" t="s">
        <v>1404</v>
      </c>
      <c r="F694">
        <v>1274.9042509999999</v>
      </c>
      <c r="G694">
        <v>1352.387142</v>
      </c>
      <c r="H694">
        <v>77.482890999999995</v>
      </c>
    </row>
    <row r="695" spans="1:8" x14ac:dyDescent="0.3">
      <c r="A695" t="s">
        <v>426</v>
      </c>
      <c r="B695" t="s">
        <v>607</v>
      </c>
      <c r="C695">
        <v>2019</v>
      </c>
      <c r="D695">
        <v>1</v>
      </c>
      <c r="E695" t="s">
        <v>1404</v>
      </c>
      <c r="F695">
        <v>1393.0724660000001</v>
      </c>
      <c r="G695">
        <v>1460.443158</v>
      </c>
      <c r="H695">
        <v>67.370692000000005</v>
      </c>
    </row>
    <row r="696" spans="1:8" x14ac:dyDescent="0.3">
      <c r="A696" t="s">
        <v>426</v>
      </c>
      <c r="B696" t="s">
        <v>607</v>
      </c>
      <c r="C696">
        <v>2020</v>
      </c>
      <c r="D696">
        <v>1</v>
      </c>
      <c r="E696" t="s">
        <v>1404</v>
      </c>
      <c r="F696">
        <v>1380.6529869999999</v>
      </c>
      <c r="G696">
        <v>1472.6668979999999</v>
      </c>
      <c r="H696">
        <v>92.013910999999993</v>
      </c>
    </row>
    <row r="697" spans="1:8" x14ac:dyDescent="0.3">
      <c r="A697" t="s">
        <v>426</v>
      </c>
      <c r="B697" t="s">
        <v>607</v>
      </c>
      <c r="C697">
        <v>2021</v>
      </c>
      <c r="D697">
        <v>1</v>
      </c>
      <c r="E697" t="s">
        <v>1404</v>
      </c>
      <c r="F697">
        <v>1422.360066</v>
      </c>
      <c r="G697">
        <v>1496.523972</v>
      </c>
      <c r="H697">
        <v>74.163905999999997</v>
      </c>
    </row>
    <row r="698" spans="1:8" x14ac:dyDescent="0.3">
      <c r="A698" t="s">
        <v>426</v>
      </c>
      <c r="B698" t="s">
        <v>607</v>
      </c>
      <c r="C698">
        <v>2022</v>
      </c>
      <c r="D698">
        <v>1</v>
      </c>
      <c r="E698" t="s">
        <v>1404</v>
      </c>
      <c r="F698">
        <v>1293.251123</v>
      </c>
      <c r="G698">
        <v>1455.31287</v>
      </c>
      <c r="H698">
        <v>162.061747</v>
      </c>
    </row>
    <row r="699" spans="1:8" x14ac:dyDescent="0.3">
      <c r="A699" t="s">
        <v>426</v>
      </c>
      <c r="B699" t="s">
        <v>607</v>
      </c>
      <c r="C699">
        <v>2023</v>
      </c>
      <c r="D699">
        <v>1</v>
      </c>
      <c r="E699" t="s">
        <v>1404</v>
      </c>
      <c r="F699">
        <v>1416.1301060000001</v>
      </c>
      <c r="G699">
        <v>1478.226081</v>
      </c>
      <c r="H699">
        <v>62.095975000000003</v>
      </c>
    </row>
    <row r="700" spans="1:8" x14ac:dyDescent="0.3">
      <c r="A700" t="s">
        <v>426</v>
      </c>
      <c r="B700" t="s">
        <v>607</v>
      </c>
      <c r="C700">
        <v>2024</v>
      </c>
      <c r="D700">
        <v>1</v>
      </c>
      <c r="E700" t="s">
        <v>1404</v>
      </c>
      <c r="F700">
        <v>1542.115695</v>
      </c>
      <c r="G700">
        <v>1628.3225480000001</v>
      </c>
      <c r="H700">
        <v>86.206852999999995</v>
      </c>
    </row>
    <row r="701" spans="1:8" x14ac:dyDescent="0.3">
      <c r="A701" t="s">
        <v>431</v>
      </c>
      <c r="B701" t="s">
        <v>608</v>
      </c>
      <c r="C701">
        <v>2006</v>
      </c>
      <c r="E701" t="s">
        <v>1385</v>
      </c>
      <c r="F701">
        <v>336.29777558999996</v>
      </c>
    </row>
    <row r="702" spans="1:8" x14ac:dyDescent="0.3">
      <c r="A702" t="s">
        <v>431</v>
      </c>
      <c r="B702" t="s">
        <v>608</v>
      </c>
      <c r="C702">
        <v>2007</v>
      </c>
      <c r="E702" t="s">
        <v>1385</v>
      </c>
      <c r="F702">
        <v>485.22596186000004</v>
      </c>
    </row>
    <row r="703" spans="1:8" x14ac:dyDescent="0.3">
      <c r="A703" t="s">
        <v>431</v>
      </c>
      <c r="B703" t="s">
        <v>608</v>
      </c>
      <c r="C703">
        <v>2008</v>
      </c>
      <c r="E703" t="s">
        <v>1385</v>
      </c>
      <c r="F703">
        <v>1806.56453693</v>
      </c>
    </row>
    <row r="704" spans="1:8" x14ac:dyDescent="0.3">
      <c r="A704" t="s">
        <v>431</v>
      </c>
      <c r="B704" t="s">
        <v>608</v>
      </c>
      <c r="C704">
        <v>2009</v>
      </c>
      <c r="E704" t="s">
        <v>1385</v>
      </c>
      <c r="F704">
        <v>1813.6593478599998</v>
      </c>
    </row>
    <row r="705" spans="1:8" x14ac:dyDescent="0.3">
      <c r="A705" t="s">
        <v>431</v>
      </c>
      <c r="B705" t="s">
        <v>608</v>
      </c>
      <c r="C705">
        <v>2010</v>
      </c>
      <c r="E705" t="s">
        <v>1385</v>
      </c>
      <c r="F705">
        <v>2113.6477497300002</v>
      </c>
    </row>
    <row r="706" spans="1:8" x14ac:dyDescent="0.3">
      <c r="A706" t="s">
        <v>431</v>
      </c>
      <c r="B706" t="s">
        <v>608</v>
      </c>
      <c r="C706">
        <v>2011</v>
      </c>
      <c r="E706" t="s">
        <v>1385</v>
      </c>
      <c r="F706">
        <v>5626.5592411899997</v>
      </c>
    </row>
    <row r="707" spans="1:8" x14ac:dyDescent="0.3">
      <c r="A707" t="s">
        <v>431</v>
      </c>
      <c r="B707" t="s">
        <v>608</v>
      </c>
      <c r="C707">
        <v>2012</v>
      </c>
      <c r="E707" t="s">
        <v>1385</v>
      </c>
      <c r="F707">
        <v>7169.1234579600005</v>
      </c>
    </row>
    <row r="708" spans="1:8" x14ac:dyDescent="0.3">
      <c r="A708" t="s">
        <v>431</v>
      </c>
      <c r="B708" t="s">
        <v>608</v>
      </c>
      <c r="C708">
        <v>2013</v>
      </c>
      <c r="E708" t="s">
        <v>1385</v>
      </c>
      <c r="F708">
        <v>8590.4239041000001</v>
      </c>
    </row>
    <row r="709" spans="1:8" x14ac:dyDescent="0.3">
      <c r="A709" t="s">
        <v>431</v>
      </c>
      <c r="B709" t="s">
        <v>608</v>
      </c>
      <c r="C709">
        <v>2014</v>
      </c>
      <c r="E709" t="s">
        <v>1385</v>
      </c>
      <c r="F709">
        <v>9159.4782651700007</v>
      </c>
    </row>
    <row r="710" spans="1:8" x14ac:dyDescent="0.3">
      <c r="A710" t="s">
        <v>431</v>
      </c>
      <c r="B710" t="s">
        <v>608</v>
      </c>
      <c r="C710">
        <v>2015</v>
      </c>
      <c r="E710" t="s">
        <v>1385</v>
      </c>
      <c r="F710">
        <v>7902.4648683900004</v>
      </c>
    </row>
    <row r="711" spans="1:8" x14ac:dyDescent="0.3">
      <c r="A711" t="s">
        <v>431</v>
      </c>
      <c r="B711" t="s">
        <v>608</v>
      </c>
      <c r="C711">
        <v>2016</v>
      </c>
      <c r="E711" t="s">
        <v>1385</v>
      </c>
      <c r="F711">
        <v>8258.0167843500003</v>
      </c>
    </row>
    <row r="712" spans="1:8" x14ac:dyDescent="0.3">
      <c r="A712" t="s">
        <v>431</v>
      </c>
      <c r="B712" t="s">
        <v>608</v>
      </c>
      <c r="C712">
        <v>2017</v>
      </c>
      <c r="E712" t="s">
        <v>1385</v>
      </c>
      <c r="F712">
        <v>6398.4613423800001</v>
      </c>
    </row>
    <row r="713" spans="1:8" x14ac:dyDescent="0.3">
      <c r="A713" t="s">
        <v>431</v>
      </c>
      <c r="B713" t="s">
        <v>608</v>
      </c>
      <c r="C713">
        <v>2018</v>
      </c>
      <c r="E713" t="s">
        <v>1385</v>
      </c>
      <c r="F713">
        <v>5769.8215833500008</v>
      </c>
    </row>
    <row r="714" spans="1:8" x14ac:dyDescent="0.3">
      <c r="A714" t="s">
        <v>431</v>
      </c>
      <c r="B714" t="s">
        <v>608</v>
      </c>
      <c r="C714">
        <v>2019</v>
      </c>
      <c r="E714" t="s">
        <v>1385</v>
      </c>
      <c r="F714">
        <v>5471.8766407200001</v>
      </c>
    </row>
    <row r="715" spans="1:8" x14ac:dyDescent="0.3">
      <c r="A715" t="s">
        <v>431</v>
      </c>
      <c r="B715" t="s">
        <v>608</v>
      </c>
      <c r="C715">
        <v>2020</v>
      </c>
      <c r="E715" t="s">
        <v>1385</v>
      </c>
      <c r="F715">
        <v>1.0496558899999999</v>
      </c>
    </row>
    <row r="716" spans="1:8" x14ac:dyDescent="0.3">
      <c r="A716" t="s">
        <v>431</v>
      </c>
      <c r="B716" t="s">
        <v>608</v>
      </c>
      <c r="C716">
        <v>2021</v>
      </c>
      <c r="E716" t="s">
        <v>1385</v>
      </c>
      <c r="F716">
        <v>4.3117282100000001</v>
      </c>
    </row>
    <row r="717" spans="1:8" x14ac:dyDescent="0.3">
      <c r="A717" t="s">
        <v>431</v>
      </c>
      <c r="B717" t="s">
        <v>608</v>
      </c>
      <c r="C717">
        <v>2022</v>
      </c>
      <c r="E717" t="s">
        <v>1385</v>
      </c>
      <c r="F717">
        <v>1506.3309472400001</v>
      </c>
    </row>
    <row r="718" spans="1:8" x14ac:dyDescent="0.3">
      <c r="A718" t="s">
        <v>431</v>
      </c>
      <c r="B718" t="s">
        <v>608</v>
      </c>
      <c r="C718">
        <v>2023</v>
      </c>
      <c r="E718" t="s">
        <v>1385</v>
      </c>
      <c r="F718">
        <v>3204.3571333499999</v>
      </c>
    </row>
    <row r="719" spans="1:8" x14ac:dyDescent="0.3">
      <c r="A719" t="s">
        <v>431</v>
      </c>
      <c r="B719" t="s">
        <v>608</v>
      </c>
      <c r="C719">
        <v>2024</v>
      </c>
      <c r="E719" t="s">
        <v>1385</v>
      </c>
      <c r="F719">
        <v>3212.1859226900001</v>
      </c>
    </row>
    <row r="720" spans="1:8" x14ac:dyDescent="0.3">
      <c r="A720" t="s">
        <v>437</v>
      </c>
      <c r="B720" t="s">
        <v>609</v>
      </c>
      <c r="C720">
        <v>2018</v>
      </c>
      <c r="D720">
        <v>3.6117170000000001</v>
      </c>
      <c r="E720" t="s">
        <v>1405</v>
      </c>
      <c r="F720">
        <v>2992.594595</v>
      </c>
      <c r="G720">
        <v>5898.3091359999999</v>
      </c>
      <c r="H720">
        <v>2905.7145409999998</v>
      </c>
    </row>
    <row r="721" spans="1:8" x14ac:dyDescent="0.3">
      <c r="A721" t="s">
        <v>437</v>
      </c>
      <c r="B721" t="s">
        <v>609</v>
      </c>
      <c r="C721">
        <v>2019</v>
      </c>
      <c r="D721">
        <v>3.839375</v>
      </c>
      <c r="E721" t="s">
        <v>1405</v>
      </c>
      <c r="F721">
        <v>2837.1491550000001</v>
      </c>
      <c r="G721">
        <v>6410.7508239999997</v>
      </c>
      <c r="H721">
        <v>3573.6016690000001</v>
      </c>
    </row>
    <row r="722" spans="1:8" x14ac:dyDescent="0.3">
      <c r="A722" t="s">
        <v>437</v>
      </c>
      <c r="B722" t="s">
        <v>609</v>
      </c>
      <c r="C722">
        <v>2020</v>
      </c>
      <c r="D722">
        <v>3.8997419999999998</v>
      </c>
      <c r="E722" t="s">
        <v>1405</v>
      </c>
      <c r="F722">
        <v>4459.7348119999997</v>
      </c>
      <c r="G722">
        <v>72286.600453999999</v>
      </c>
      <c r="H722">
        <v>67826.865642000004</v>
      </c>
    </row>
    <row r="723" spans="1:8" x14ac:dyDescent="0.3">
      <c r="A723" t="s">
        <v>437</v>
      </c>
      <c r="B723" t="s">
        <v>609</v>
      </c>
      <c r="C723">
        <v>2021</v>
      </c>
      <c r="D723">
        <v>3.861917</v>
      </c>
      <c r="E723" t="s">
        <v>1405</v>
      </c>
      <c r="F723">
        <v>12873.764114</v>
      </c>
      <c r="G723">
        <v>89328.447786000004</v>
      </c>
      <c r="H723">
        <v>76454.683671999999</v>
      </c>
    </row>
    <row r="724" spans="1:8" x14ac:dyDescent="0.3">
      <c r="A724" t="s">
        <v>437</v>
      </c>
      <c r="B724" t="s">
        <v>609</v>
      </c>
      <c r="C724">
        <v>2022</v>
      </c>
      <c r="D724">
        <v>4.4577580000000001</v>
      </c>
      <c r="E724" t="s">
        <v>1405</v>
      </c>
      <c r="F724">
        <v>12323.23</v>
      </c>
      <c r="G724">
        <v>88874.418000000005</v>
      </c>
      <c r="H724">
        <v>76551.188999999998</v>
      </c>
    </row>
    <row r="725" spans="1:8" x14ac:dyDescent="0.3">
      <c r="A725" t="s">
        <v>437</v>
      </c>
      <c r="B725" t="s">
        <v>609</v>
      </c>
      <c r="C725">
        <v>2023</v>
      </c>
      <c r="D725">
        <v>4.2036670000000003</v>
      </c>
      <c r="E725" t="s">
        <v>1405</v>
      </c>
      <c r="F725">
        <v>15600.51204668</v>
      </c>
      <c r="G725">
        <v>92632.860665779997</v>
      </c>
      <c r="H725">
        <v>77032.348619100012</v>
      </c>
    </row>
    <row r="726" spans="1:8" x14ac:dyDescent="0.3">
      <c r="A726" t="s">
        <v>437</v>
      </c>
      <c r="B726" t="s">
        <v>609</v>
      </c>
      <c r="C726">
        <v>2024</v>
      </c>
      <c r="D726">
        <v>3.9807830000000002</v>
      </c>
      <c r="E726" t="s">
        <v>1405</v>
      </c>
      <c r="F726">
        <v>16895.012999999999</v>
      </c>
      <c r="G726">
        <v>77938.816999999995</v>
      </c>
      <c r="H726">
        <v>61043.805</v>
      </c>
    </row>
    <row r="727" spans="1:8" x14ac:dyDescent="0.3">
      <c r="A727" t="s">
        <v>445</v>
      </c>
      <c r="B727" t="s">
        <v>610</v>
      </c>
      <c r="C727">
        <v>2008</v>
      </c>
      <c r="D727">
        <v>24.852869999999999</v>
      </c>
      <c r="E727" t="s">
        <v>1406</v>
      </c>
      <c r="G727">
        <v>2584490</v>
      </c>
    </row>
    <row r="728" spans="1:8" x14ac:dyDescent="0.3">
      <c r="A728" t="s">
        <v>445</v>
      </c>
      <c r="B728" t="s">
        <v>610</v>
      </c>
      <c r="C728">
        <v>2009</v>
      </c>
      <c r="D728">
        <v>31.740359999999999</v>
      </c>
      <c r="E728" t="s">
        <v>1406</v>
      </c>
      <c r="G728">
        <v>2769020</v>
      </c>
    </row>
    <row r="729" spans="1:8" x14ac:dyDescent="0.3">
      <c r="A729" t="s">
        <v>445</v>
      </c>
      <c r="B729" t="s">
        <v>610</v>
      </c>
      <c r="C729">
        <v>2010</v>
      </c>
      <c r="D729">
        <v>30.367920000000002</v>
      </c>
      <c r="E729" t="s">
        <v>1406</v>
      </c>
      <c r="G729">
        <v>2695520</v>
      </c>
    </row>
    <row r="730" spans="1:8" x14ac:dyDescent="0.3">
      <c r="A730" t="s">
        <v>445</v>
      </c>
      <c r="B730" t="s">
        <v>610</v>
      </c>
      <c r="C730">
        <v>2011</v>
      </c>
      <c r="D730">
        <v>29.382339999999999</v>
      </c>
      <c r="E730" t="s">
        <v>1406</v>
      </c>
      <c r="G730">
        <v>2794430</v>
      </c>
    </row>
    <row r="731" spans="1:8" x14ac:dyDescent="0.3">
      <c r="A731" t="s">
        <v>445</v>
      </c>
      <c r="B731" t="s">
        <v>610</v>
      </c>
      <c r="C731">
        <v>2012</v>
      </c>
      <c r="D731">
        <v>30.839829999999999</v>
      </c>
      <c r="E731" t="s">
        <v>1406</v>
      </c>
      <c r="G731">
        <v>2690630</v>
      </c>
    </row>
    <row r="732" spans="1:8" x14ac:dyDescent="0.3">
      <c r="A732" t="s">
        <v>445</v>
      </c>
      <c r="B732" t="s">
        <v>610</v>
      </c>
      <c r="C732">
        <v>2013</v>
      </c>
      <c r="D732">
        <v>31.837140000000002</v>
      </c>
      <c r="E732" t="s">
        <v>1406</v>
      </c>
      <c r="G732">
        <v>2900640</v>
      </c>
    </row>
    <row r="733" spans="1:8" x14ac:dyDescent="0.3">
      <c r="A733" t="s">
        <v>445</v>
      </c>
      <c r="B733" t="s">
        <v>610</v>
      </c>
      <c r="C733">
        <v>2014</v>
      </c>
      <c r="D733">
        <v>38.378210000000003</v>
      </c>
      <c r="E733" t="s">
        <v>1406</v>
      </c>
      <c r="G733">
        <v>4388090</v>
      </c>
    </row>
    <row r="734" spans="1:8" x14ac:dyDescent="0.3">
      <c r="A734" t="s">
        <v>445</v>
      </c>
      <c r="B734" t="s">
        <v>610</v>
      </c>
      <c r="C734">
        <v>2015</v>
      </c>
      <c r="D734">
        <v>60.937649999999998</v>
      </c>
      <c r="E734" t="s">
        <v>1406</v>
      </c>
      <c r="G734">
        <v>5227180</v>
      </c>
    </row>
    <row r="735" spans="1:8" x14ac:dyDescent="0.3">
      <c r="A735" t="s">
        <v>445</v>
      </c>
      <c r="B735" t="s">
        <v>610</v>
      </c>
      <c r="C735">
        <v>2016</v>
      </c>
      <c r="D735">
        <v>67.055930000000004</v>
      </c>
      <c r="E735" t="s">
        <v>1406</v>
      </c>
      <c r="G735">
        <v>4359160</v>
      </c>
    </row>
    <row r="736" spans="1:8" x14ac:dyDescent="0.3">
      <c r="A736" t="s">
        <v>445</v>
      </c>
      <c r="B736" t="s">
        <v>610</v>
      </c>
      <c r="C736">
        <v>2017</v>
      </c>
      <c r="D736">
        <v>58.342799999999997</v>
      </c>
      <c r="E736" t="s">
        <v>1406</v>
      </c>
      <c r="G736">
        <v>3752940</v>
      </c>
    </row>
    <row r="737" spans="1:9" x14ac:dyDescent="0.3">
      <c r="A737" t="s">
        <v>445</v>
      </c>
      <c r="B737" t="s">
        <v>610</v>
      </c>
      <c r="C737">
        <v>2018</v>
      </c>
      <c r="D737">
        <v>62.668129999999998</v>
      </c>
      <c r="E737" t="s">
        <v>1406</v>
      </c>
      <c r="G737">
        <v>4036050</v>
      </c>
    </row>
    <row r="738" spans="1:9" x14ac:dyDescent="0.3">
      <c r="A738" t="s">
        <v>445</v>
      </c>
      <c r="B738" t="s">
        <v>610</v>
      </c>
      <c r="C738">
        <v>2019</v>
      </c>
      <c r="D738">
        <v>64.737660000000005</v>
      </c>
      <c r="E738" t="s">
        <v>1406</v>
      </c>
      <c r="G738">
        <v>7773060</v>
      </c>
    </row>
    <row r="739" spans="1:9" x14ac:dyDescent="0.3">
      <c r="A739" t="s">
        <v>445</v>
      </c>
      <c r="B739" t="s">
        <v>610</v>
      </c>
      <c r="C739">
        <v>2020</v>
      </c>
      <c r="D739">
        <v>72.104910000000004</v>
      </c>
      <c r="E739" t="s">
        <v>1406</v>
      </c>
      <c r="G739">
        <v>13545660</v>
      </c>
    </row>
    <row r="740" spans="1:9" x14ac:dyDescent="0.3">
      <c r="A740" t="s">
        <v>445</v>
      </c>
      <c r="B740" t="s">
        <v>610</v>
      </c>
      <c r="C740">
        <v>2021</v>
      </c>
      <c r="D740">
        <v>73.654349999999994</v>
      </c>
      <c r="E740" t="s">
        <v>1406</v>
      </c>
      <c r="G740">
        <v>13565350</v>
      </c>
    </row>
    <row r="741" spans="1:9" x14ac:dyDescent="0.3">
      <c r="A741" t="s">
        <v>445</v>
      </c>
      <c r="B741" t="s">
        <v>610</v>
      </c>
      <c r="C741">
        <v>2022</v>
      </c>
      <c r="D741">
        <v>68.484939999999995</v>
      </c>
      <c r="E741" t="s">
        <v>1406</v>
      </c>
      <c r="G741">
        <v>10434580</v>
      </c>
    </row>
    <row r="742" spans="1:9" x14ac:dyDescent="0.3">
      <c r="A742" t="s">
        <v>445</v>
      </c>
      <c r="B742" t="s">
        <v>610</v>
      </c>
      <c r="C742">
        <v>2023</v>
      </c>
      <c r="D742">
        <v>85.162009999999995</v>
      </c>
      <c r="E742" t="s">
        <v>1406</v>
      </c>
      <c r="G742">
        <v>11965070</v>
      </c>
    </row>
    <row r="743" spans="1:9" x14ac:dyDescent="0.3">
      <c r="A743" t="s">
        <v>445</v>
      </c>
      <c r="B743" t="s">
        <v>610</v>
      </c>
      <c r="C743">
        <v>2024</v>
      </c>
      <c r="D743">
        <v>92.552399999999906</v>
      </c>
      <c r="E743" t="s">
        <v>1406</v>
      </c>
      <c r="G743">
        <v>11879970</v>
      </c>
    </row>
    <row r="744" spans="1:9" x14ac:dyDescent="0.3">
      <c r="A744" t="s">
        <v>458</v>
      </c>
      <c r="B744" t="s">
        <v>611</v>
      </c>
      <c r="C744">
        <v>2018</v>
      </c>
      <c r="D744">
        <v>3.75</v>
      </c>
      <c r="E744" t="s">
        <v>1407</v>
      </c>
      <c r="F744">
        <v>971000</v>
      </c>
    </row>
    <row r="745" spans="1:9" x14ac:dyDescent="0.3">
      <c r="A745" t="s">
        <v>458</v>
      </c>
      <c r="B745" t="s">
        <v>611</v>
      </c>
      <c r="C745">
        <v>2019</v>
      </c>
      <c r="D745">
        <v>3.75</v>
      </c>
      <c r="E745" t="s">
        <v>1407</v>
      </c>
      <c r="F745">
        <v>1208000</v>
      </c>
    </row>
    <row r="746" spans="1:9" x14ac:dyDescent="0.3">
      <c r="A746" t="s">
        <v>458</v>
      </c>
      <c r="B746" t="s">
        <v>611</v>
      </c>
      <c r="C746">
        <v>2020</v>
      </c>
      <c r="D746">
        <v>3.75</v>
      </c>
      <c r="E746" t="s">
        <v>1407</v>
      </c>
      <c r="F746">
        <v>1544000</v>
      </c>
    </row>
    <row r="747" spans="1:9" x14ac:dyDescent="0.3">
      <c r="A747" t="s">
        <v>458</v>
      </c>
      <c r="B747" t="s">
        <v>611</v>
      </c>
      <c r="C747">
        <v>2021</v>
      </c>
      <c r="D747">
        <v>3.75</v>
      </c>
      <c r="E747" t="s">
        <v>1407</v>
      </c>
      <c r="F747">
        <v>1980000</v>
      </c>
    </row>
    <row r="748" spans="1:9" x14ac:dyDescent="0.3">
      <c r="A748" t="s">
        <v>458</v>
      </c>
      <c r="B748" t="s">
        <v>611</v>
      </c>
      <c r="C748">
        <v>2022</v>
      </c>
      <c r="D748">
        <v>3.75</v>
      </c>
      <c r="E748" t="s">
        <v>1407</v>
      </c>
      <c r="F748">
        <v>2234000</v>
      </c>
    </row>
    <row r="749" spans="1:9" x14ac:dyDescent="0.3">
      <c r="A749" t="s">
        <v>458</v>
      </c>
      <c r="B749" t="s">
        <v>611</v>
      </c>
      <c r="C749">
        <v>2023</v>
      </c>
      <c r="D749">
        <v>3.75</v>
      </c>
      <c r="E749" t="s">
        <v>1407</v>
      </c>
      <c r="F749">
        <v>2871000</v>
      </c>
    </row>
    <row r="750" spans="1:9" x14ac:dyDescent="0.3">
      <c r="A750" t="s">
        <v>458</v>
      </c>
      <c r="B750" t="s">
        <v>611</v>
      </c>
      <c r="C750">
        <v>2024</v>
      </c>
      <c r="D750">
        <v>3.75</v>
      </c>
      <c r="E750" t="s">
        <v>1407</v>
      </c>
      <c r="F750">
        <v>3424000</v>
      </c>
    </row>
    <row r="751" spans="1:9" x14ac:dyDescent="0.3">
      <c r="A751" t="s">
        <v>467</v>
      </c>
      <c r="B751" t="s">
        <v>612</v>
      </c>
      <c r="C751">
        <v>2002</v>
      </c>
      <c r="D751">
        <v>1.7905880000000001</v>
      </c>
      <c r="E751" t="s">
        <v>1408</v>
      </c>
      <c r="F751">
        <v>73000</v>
      </c>
      <c r="G751">
        <v>146400</v>
      </c>
      <c r="H751">
        <v>73400</v>
      </c>
      <c r="I751">
        <v>77000</v>
      </c>
    </row>
    <row r="752" spans="1:9" x14ac:dyDescent="0.3">
      <c r="A752" t="s">
        <v>467</v>
      </c>
      <c r="B752" t="s">
        <v>612</v>
      </c>
      <c r="C752">
        <v>2003</v>
      </c>
      <c r="D752">
        <v>1.742183</v>
      </c>
      <c r="E752" t="s">
        <v>1408</v>
      </c>
      <c r="F752">
        <v>73700</v>
      </c>
      <c r="G752">
        <v>139900</v>
      </c>
      <c r="H752">
        <v>66200</v>
      </c>
      <c r="I752">
        <v>61000</v>
      </c>
    </row>
    <row r="753" spans="1:9" x14ac:dyDescent="0.3">
      <c r="A753" t="s">
        <v>467</v>
      </c>
      <c r="B753" t="s">
        <v>612</v>
      </c>
      <c r="C753">
        <v>2004</v>
      </c>
      <c r="D753">
        <v>1.6902280000000001</v>
      </c>
      <c r="E753" t="s">
        <v>1408</v>
      </c>
      <c r="F753">
        <v>88400</v>
      </c>
      <c r="G753">
        <v>180800</v>
      </c>
      <c r="H753">
        <v>92400</v>
      </c>
      <c r="I753">
        <v>90000</v>
      </c>
    </row>
    <row r="754" spans="1:9" x14ac:dyDescent="0.3">
      <c r="A754" t="s">
        <v>467</v>
      </c>
      <c r="B754" t="s">
        <v>612</v>
      </c>
      <c r="C754">
        <v>2005</v>
      </c>
      <c r="D754">
        <v>1.6643969999999999</v>
      </c>
      <c r="E754" t="s">
        <v>1408</v>
      </c>
      <c r="F754">
        <v>96200</v>
      </c>
      <c r="G754">
        <v>199100</v>
      </c>
      <c r="H754">
        <v>102900</v>
      </c>
      <c r="I754">
        <v>103000</v>
      </c>
    </row>
    <row r="755" spans="1:9" x14ac:dyDescent="0.3">
      <c r="A755" t="s">
        <v>467</v>
      </c>
      <c r="B755" t="s">
        <v>612</v>
      </c>
      <c r="C755">
        <v>2006</v>
      </c>
      <c r="D755">
        <v>1.5889329999999999</v>
      </c>
      <c r="E755" t="s">
        <v>1408</v>
      </c>
      <c r="F755">
        <v>116000</v>
      </c>
      <c r="G755">
        <v>213700.00000000003</v>
      </c>
      <c r="H755">
        <v>97699.999999999985</v>
      </c>
      <c r="I755">
        <v>129000</v>
      </c>
    </row>
    <row r="756" spans="1:9" x14ac:dyDescent="0.3">
      <c r="A756" t="s">
        <v>467</v>
      </c>
      <c r="B756" t="s">
        <v>612</v>
      </c>
      <c r="C756">
        <v>2007</v>
      </c>
      <c r="D756">
        <v>1.5071019999999999</v>
      </c>
      <c r="E756" t="s">
        <v>1408</v>
      </c>
      <c r="F756">
        <v>138400</v>
      </c>
      <c r="G756">
        <v>242400</v>
      </c>
      <c r="H756">
        <v>104000</v>
      </c>
      <c r="I756">
        <v>164000</v>
      </c>
    </row>
    <row r="757" spans="1:9" x14ac:dyDescent="0.3">
      <c r="A757" t="s">
        <v>467</v>
      </c>
      <c r="B757" t="s">
        <v>612</v>
      </c>
      <c r="C757">
        <v>2008</v>
      </c>
      <c r="D757">
        <v>1.4148609999999999</v>
      </c>
      <c r="E757" t="s">
        <v>1408</v>
      </c>
      <c r="F757">
        <v>169800</v>
      </c>
      <c r="G757">
        <v>295500</v>
      </c>
      <c r="H757">
        <v>125700</v>
      </c>
      <c r="I757">
        <v>185000</v>
      </c>
    </row>
    <row r="758" spans="1:9" x14ac:dyDescent="0.3">
      <c r="A758" t="s">
        <v>467</v>
      </c>
      <c r="B758" t="s">
        <v>612</v>
      </c>
      <c r="C758">
        <v>2009</v>
      </c>
      <c r="D758">
        <v>1.454515</v>
      </c>
      <c r="E758" t="s">
        <v>1408</v>
      </c>
      <c r="F758">
        <v>141000</v>
      </c>
      <c r="G758">
        <v>247900</v>
      </c>
      <c r="H758">
        <v>106900</v>
      </c>
      <c r="I758">
        <v>130000</v>
      </c>
    </row>
    <row r="759" spans="1:9" x14ac:dyDescent="0.3">
      <c r="A759" t="s">
        <v>467</v>
      </c>
      <c r="B759" t="s">
        <v>612</v>
      </c>
      <c r="C759">
        <v>2010</v>
      </c>
      <c r="D759">
        <v>1.3635079999999999</v>
      </c>
      <c r="E759" t="s">
        <v>1408</v>
      </c>
      <c r="F759">
        <v>173200</v>
      </c>
      <c r="G759">
        <v>284800</v>
      </c>
      <c r="H759">
        <v>111600</v>
      </c>
      <c r="I759">
        <v>186000</v>
      </c>
    </row>
    <row r="760" spans="1:9" x14ac:dyDescent="0.3">
      <c r="A760" t="s">
        <v>467</v>
      </c>
      <c r="B760" t="s">
        <v>612</v>
      </c>
      <c r="C760">
        <v>2011</v>
      </c>
      <c r="D760">
        <v>1.257776</v>
      </c>
      <c r="E760" t="s">
        <v>1408</v>
      </c>
      <c r="F760">
        <v>179500</v>
      </c>
      <c r="G760">
        <v>297900</v>
      </c>
      <c r="H760">
        <v>118400</v>
      </c>
      <c r="I760">
        <v>193000</v>
      </c>
    </row>
    <row r="761" spans="1:9" x14ac:dyDescent="0.3">
      <c r="A761" t="s">
        <v>467</v>
      </c>
      <c r="B761" t="s">
        <v>612</v>
      </c>
      <c r="C761">
        <v>2012</v>
      </c>
      <c r="D761">
        <v>1.249676</v>
      </c>
      <c r="E761" t="s">
        <v>1408</v>
      </c>
      <c r="F761">
        <v>181700</v>
      </c>
      <c r="G761">
        <v>302599.99999999994</v>
      </c>
      <c r="H761">
        <v>120900</v>
      </c>
      <c r="I761">
        <v>198000</v>
      </c>
    </row>
    <row r="762" spans="1:9" x14ac:dyDescent="0.3">
      <c r="A762" t="s">
        <v>467</v>
      </c>
      <c r="B762" t="s">
        <v>612</v>
      </c>
      <c r="C762">
        <v>2013</v>
      </c>
      <c r="D762">
        <v>1.2513000000000001</v>
      </c>
      <c r="E762" t="s">
        <v>1408</v>
      </c>
      <c r="F762">
        <v>204399.99999999997</v>
      </c>
      <c r="G762">
        <v>341500</v>
      </c>
      <c r="H762">
        <v>137100.00000000003</v>
      </c>
      <c r="I762">
        <v>215000</v>
      </c>
    </row>
    <row r="763" spans="1:9" x14ac:dyDescent="0.3">
      <c r="A763" t="s">
        <v>467</v>
      </c>
      <c r="B763" t="s">
        <v>612</v>
      </c>
      <c r="C763">
        <v>2014</v>
      </c>
      <c r="D763">
        <v>1.26705</v>
      </c>
      <c r="E763" t="s">
        <v>1408</v>
      </c>
      <c r="F763">
        <v>222200</v>
      </c>
      <c r="G763">
        <v>344000</v>
      </c>
      <c r="H763">
        <v>121800</v>
      </c>
      <c r="I763">
        <v>223000</v>
      </c>
    </row>
    <row r="764" spans="1:9" x14ac:dyDescent="0.3">
      <c r="A764" t="s">
        <v>467</v>
      </c>
      <c r="B764" t="s">
        <v>612</v>
      </c>
      <c r="C764">
        <v>2015</v>
      </c>
      <c r="D764">
        <v>1.374825</v>
      </c>
      <c r="E764" t="s">
        <v>1408</v>
      </c>
      <c r="F764">
        <v>256399.99999999997</v>
      </c>
      <c r="G764">
        <v>405800</v>
      </c>
      <c r="H764">
        <v>149399.99999999997</v>
      </c>
      <c r="I764">
        <v>266000</v>
      </c>
    </row>
    <row r="765" spans="1:9" x14ac:dyDescent="0.3">
      <c r="A765" t="s">
        <v>467</v>
      </c>
      <c r="B765" t="s">
        <v>612</v>
      </c>
      <c r="C765">
        <v>2016</v>
      </c>
      <c r="D765">
        <v>1.3815459999999999</v>
      </c>
      <c r="E765" t="s">
        <v>1408</v>
      </c>
      <c r="F765">
        <v>258700</v>
      </c>
      <c r="G765">
        <v>415800</v>
      </c>
      <c r="H765">
        <v>157100.00000000003</v>
      </c>
      <c r="I765">
        <v>242000</v>
      </c>
    </row>
    <row r="766" spans="1:9" x14ac:dyDescent="0.3">
      <c r="A766" t="s">
        <v>467</v>
      </c>
      <c r="B766" t="s">
        <v>612</v>
      </c>
      <c r="C766">
        <v>2017</v>
      </c>
      <c r="D766">
        <v>1.380925</v>
      </c>
      <c r="E766" t="s">
        <v>1408</v>
      </c>
      <c r="F766">
        <v>282000</v>
      </c>
      <c r="G766">
        <v>447600</v>
      </c>
      <c r="H766">
        <v>165600.00000000003</v>
      </c>
      <c r="I766">
        <v>275000</v>
      </c>
    </row>
    <row r="767" spans="1:9" x14ac:dyDescent="0.3">
      <c r="A767" t="s">
        <v>467</v>
      </c>
      <c r="B767" t="s">
        <v>612</v>
      </c>
      <c r="C767">
        <v>2018</v>
      </c>
      <c r="D767">
        <v>1.3488420000000001</v>
      </c>
      <c r="E767" t="s">
        <v>1408</v>
      </c>
      <c r="F767">
        <v>319200</v>
      </c>
      <c r="G767">
        <v>490600</v>
      </c>
      <c r="H767">
        <v>171400</v>
      </c>
      <c r="I767">
        <v>308000</v>
      </c>
    </row>
    <row r="768" spans="1:9" x14ac:dyDescent="0.3">
      <c r="A768" t="s">
        <v>467</v>
      </c>
      <c r="B768" t="s">
        <v>612</v>
      </c>
      <c r="C768">
        <v>2019</v>
      </c>
      <c r="D768">
        <v>1.364158</v>
      </c>
      <c r="E768" t="s">
        <v>1408</v>
      </c>
      <c r="F768">
        <v>331200</v>
      </c>
      <c r="G768">
        <v>509000</v>
      </c>
      <c r="H768">
        <v>177800</v>
      </c>
      <c r="I768">
        <v>313000</v>
      </c>
    </row>
    <row r="769" spans="1:9" x14ac:dyDescent="0.3">
      <c r="A769" t="s">
        <v>467</v>
      </c>
      <c r="B769" t="s">
        <v>612</v>
      </c>
      <c r="C769">
        <v>2020</v>
      </c>
      <c r="D769">
        <v>1.379742</v>
      </c>
      <c r="E769" t="s">
        <v>1408</v>
      </c>
      <c r="F769">
        <v>363100</v>
      </c>
      <c r="G769">
        <v>595000</v>
      </c>
      <c r="H769">
        <v>231899.99999999997</v>
      </c>
      <c r="I769">
        <v>306000</v>
      </c>
    </row>
    <row r="770" spans="1:9" x14ac:dyDescent="0.3">
      <c r="A770" t="s">
        <v>467</v>
      </c>
      <c r="B770" t="s">
        <v>612</v>
      </c>
      <c r="C770">
        <v>2021</v>
      </c>
      <c r="D770">
        <v>1.343483</v>
      </c>
      <c r="E770" t="s">
        <v>1408</v>
      </c>
      <c r="F770">
        <v>415200</v>
      </c>
      <c r="G770">
        <v>653000</v>
      </c>
      <c r="H770">
        <v>237800</v>
      </c>
      <c r="I770">
        <v>381000</v>
      </c>
    </row>
    <row r="771" spans="1:9" x14ac:dyDescent="0.3">
      <c r="A771" t="s">
        <v>467</v>
      </c>
      <c r="B771" t="s">
        <v>612</v>
      </c>
      <c r="C771">
        <v>2022</v>
      </c>
      <c r="D771">
        <v>1.3786670000000001</v>
      </c>
      <c r="E771" t="s">
        <v>1408</v>
      </c>
      <c r="F771">
        <v>413700</v>
      </c>
      <c r="G771">
        <v>672300</v>
      </c>
      <c r="H771">
        <v>258600.00000000003</v>
      </c>
      <c r="I771">
        <v>403000</v>
      </c>
    </row>
    <row r="772" spans="1:9" x14ac:dyDescent="0.3">
      <c r="A772" t="s">
        <v>467</v>
      </c>
      <c r="B772" t="s">
        <v>612</v>
      </c>
      <c r="C772">
        <v>2023</v>
      </c>
      <c r="D772">
        <v>1.342767</v>
      </c>
      <c r="E772" t="s">
        <v>1408</v>
      </c>
      <c r="F772">
        <v>400200</v>
      </c>
      <c r="G772">
        <v>654000</v>
      </c>
      <c r="H772">
        <v>253800</v>
      </c>
      <c r="I772">
        <v>382000</v>
      </c>
    </row>
    <row r="773" spans="1:9" x14ac:dyDescent="0.3">
      <c r="A773" t="s">
        <v>467</v>
      </c>
      <c r="B773" t="s">
        <v>612</v>
      </c>
      <c r="C773">
        <v>2024</v>
      </c>
      <c r="D773">
        <v>1.336233</v>
      </c>
      <c r="E773" t="s">
        <v>1408</v>
      </c>
      <c r="I773">
        <v>389000</v>
      </c>
    </row>
    <row r="774" spans="1:9" x14ac:dyDescent="0.3">
      <c r="A774" t="s">
        <v>483</v>
      </c>
      <c r="B774" t="s">
        <v>613</v>
      </c>
      <c r="C774">
        <v>2003</v>
      </c>
      <c r="D774">
        <v>0.8840479</v>
      </c>
      <c r="E774" t="s">
        <v>1386</v>
      </c>
      <c r="F774">
        <v>3500.0390000000002</v>
      </c>
      <c r="G774">
        <v>11957.49</v>
      </c>
    </row>
    <row r="775" spans="1:9" x14ac:dyDescent="0.3">
      <c r="A775" t="s">
        <v>483</v>
      </c>
      <c r="B775" t="s">
        <v>613</v>
      </c>
      <c r="C775">
        <v>2004</v>
      </c>
      <c r="D775">
        <v>0.80392160000000001</v>
      </c>
      <c r="E775" t="s">
        <v>1386</v>
      </c>
      <c r="F775">
        <v>2744.8980000000001</v>
      </c>
      <c r="G775">
        <v>10920.290999999999</v>
      </c>
    </row>
    <row r="776" spans="1:9" x14ac:dyDescent="0.3">
      <c r="A776" t="s">
        <v>483</v>
      </c>
      <c r="B776" t="s">
        <v>613</v>
      </c>
      <c r="C776">
        <v>2005</v>
      </c>
      <c r="D776">
        <v>0.80380019999999996</v>
      </c>
      <c r="E776" t="s">
        <v>1386</v>
      </c>
      <c r="F776">
        <v>2623.2779999999998</v>
      </c>
      <c r="G776">
        <v>10760.171</v>
      </c>
    </row>
    <row r="777" spans="1:9" x14ac:dyDescent="0.3">
      <c r="A777" t="s">
        <v>483</v>
      </c>
      <c r="B777" t="s">
        <v>613</v>
      </c>
      <c r="C777">
        <v>2006</v>
      </c>
      <c r="D777">
        <v>0.79643269999999999</v>
      </c>
      <c r="E777" t="s">
        <v>1386</v>
      </c>
      <c r="F777">
        <v>1096.039</v>
      </c>
      <c r="G777">
        <v>10521.986999999999</v>
      </c>
    </row>
    <row r="778" spans="1:9" x14ac:dyDescent="0.3">
      <c r="A778" t="s">
        <v>483</v>
      </c>
      <c r="B778" t="s">
        <v>613</v>
      </c>
      <c r="C778">
        <v>2007</v>
      </c>
      <c r="D778">
        <v>0.7296724</v>
      </c>
      <c r="E778" t="s">
        <v>1386</v>
      </c>
      <c r="F778">
        <v>2328.35</v>
      </c>
      <c r="G778">
        <v>12366.352999999999</v>
      </c>
    </row>
    <row r="779" spans="1:9" x14ac:dyDescent="0.3">
      <c r="A779" t="s">
        <v>483</v>
      </c>
      <c r="B779" t="s">
        <v>613</v>
      </c>
      <c r="C779">
        <v>2008</v>
      </c>
      <c r="D779">
        <v>0.67992269999999999</v>
      </c>
      <c r="E779" t="s">
        <v>1386</v>
      </c>
      <c r="F779">
        <v>3203.306</v>
      </c>
      <c r="G779">
        <v>11961.491</v>
      </c>
      <c r="H779">
        <v>8758.1849999999995</v>
      </c>
    </row>
    <row r="780" spans="1:9" x14ac:dyDescent="0.3">
      <c r="A780" t="s">
        <v>483</v>
      </c>
      <c r="B780" t="s">
        <v>613</v>
      </c>
      <c r="C780">
        <v>2009</v>
      </c>
      <c r="D780">
        <v>0.71695770000000003</v>
      </c>
      <c r="E780" t="s">
        <v>1386</v>
      </c>
      <c r="F780">
        <v>3229.0149999999999</v>
      </c>
      <c r="G780">
        <v>12343.061</v>
      </c>
      <c r="H780">
        <v>9114.0460000000003</v>
      </c>
    </row>
    <row r="781" spans="1:9" x14ac:dyDescent="0.3">
      <c r="A781" t="s">
        <v>483</v>
      </c>
      <c r="B781" t="s">
        <v>613</v>
      </c>
      <c r="C781">
        <v>2010</v>
      </c>
      <c r="D781">
        <v>0.75430900000000001</v>
      </c>
      <c r="E781" t="s">
        <v>1386</v>
      </c>
      <c r="F781">
        <v>3189.3069999999998</v>
      </c>
      <c r="G781">
        <v>11791.603999999999</v>
      </c>
      <c r="H781">
        <v>8602.2970000000005</v>
      </c>
    </row>
    <row r="782" spans="1:9" x14ac:dyDescent="0.3">
      <c r="A782" t="s">
        <v>483</v>
      </c>
      <c r="B782" t="s">
        <v>613</v>
      </c>
      <c r="C782">
        <v>2011</v>
      </c>
      <c r="D782">
        <v>0.71841390000000005</v>
      </c>
      <c r="E782" t="s">
        <v>1386</v>
      </c>
      <c r="F782">
        <v>3002.4140000000002</v>
      </c>
      <c r="G782">
        <v>11423.33</v>
      </c>
      <c r="H782">
        <v>8420.9159999999993</v>
      </c>
    </row>
    <row r="783" spans="1:9" x14ac:dyDescent="0.3">
      <c r="A783" t="s">
        <v>483</v>
      </c>
      <c r="B783" t="s">
        <v>613</v>
      </c>
      <c r="C783">
        <v>2012</v>
      </c>
      <c r="D783">
        <v>0.77833810000000003</v>
      </c>
      <c r="E783" t="s">
        <v>1386</v>
      </c>
      <c r="F783">
        <v>4950.7</v>
      </c>
      <c r="G783">
        <v>13212.326999999999</v>
      </c>
      <c r="H783">
        <v>8261.6270000000004</v>
      </c>
    </row>
    <row r="784" spans="1:9" x14ac:dyDescent="0.3">
      <c r="A784" t="s">
        <v>483</v>
      </c>
      <c r="B784" t="s">
        <v>613</v>
      </c>
      <c r="C784">
        <v>2013</v>
      </c>
      <c r="D784">
        <v>0.75294510000000003</v>
      </c>
      <c r="E784" t="s">
        <v>1386</v>
      </c>
      <c r="F784">
        <v>5514.8329999999996</v>
      </c>
      <c r="G784">
        <v>12825.257</v>
      </c>
      <c r="H784">
        <v>7310.424</v>
      </c>
    </row>
    <row r="785" spans="1:8" x14ac:dyDescent="0.3">
      <c r="A785" t="s">
        <v>483</v>
      </c>
      <c r="B785" t="s">
        <v>613</v>
      </c>
      <c r="C785">
        <v>2014</v>
      </c>
      <c r="D785">
        <v>0.75272819999999996</v>
      </c>
      <c r="E785" t="s">
        <v>1386</v>
      </c>
      <c r="F785">
        <v>5138.9639999999999</v>
      </c>
      <c r="G785">
        <v>12672.684999999999</v>
      </c>
      <c r="H785">
        <v>7533.7209999999995</v>
      </c>
    </row>
    <row r="786" spans="1:8" x14ac:dyDescent="0.3">
      <c r="A786" t="s">
        <v>483</v>
      </c>
      <c r="B786" t="s">
        <v>613</v>
      </c>
      <c r="C786">
        <v>2015</v>
      </c>
      <c r="D786">
        <v>0.9012964</v>
      </c>
      <c r="E786" t="s">
        <v>1386</v>
      </c>
      <c r="F786">
        <v>4833.415</v>
      </c>
      <c r="G786">
        <v>12894.764999999999</v>
      </c>
      <c r="H786">
        <v>8061.35</v>
      </c>
    </row>
    <row r="787" spans="1:8" x14ac:dyDescent="0.3">
      <c r="A787" t="s">
        <v>483</v>
      </c>
      <c r="B787" t="s">
        <v>613</v>
      </c>
      <c r="C787">
        <v>2016</v>
      </c>
      <c r="D787">
        <v>0.90342149999999999</v>
      </c>
      <c r="E787" t="s">
        <v>1386</v>
      </c>
      <c r="F787">
        <v>4307.0569999999998</v>
      </c>
      <c r="G787">
        <v>12697.25</v>
      </c>
      <c r="H787">
        <v>8390.1929999999993</v>
      </c>
    </row>
    <row r="788" spans="1:8" x14ac:dyDescent="0.3">
      <c r="A788" t="s">
        <v>483</v>
      </c>
      <c r="B788" t="s">
        <v>613</v>
      </c>
      <c r="C788">
        <v>2017</v>
      </c>
      <c r="D788">
        <v>0.88520549999999998</v>
      </c>
      <c r="E788" t="s">
        <v>1386</v>
      </c>
      <c r="F788">
        <v>4297.76</v>
      </c>
      <c r="G788">
        <v>13391.254000000001</v>
      </c>
      <c r="H788">
        <v>9093.4940000000006</v>
      </c>
    </row>
    <row r="789" spans="1:8" x14ac:dyDescent="0.3">
      <c r="A789" t="s">
        <v>483</v>
      </c>
      <c r="B789" t="s">
        <v>613</v>
      </c>
      <c r="C789">
        <v>2018</v>
      </c>
      <c r="D789">
        <v>0.84677270000000004</v>
      </c>
      <c r="E789" t="s">
        <v>1386</v>
      </c>
      <c r="F789">
        <v>3397.6860000000001</v>
      </c>
      <c r="G789">
        <v>12071.102000000001</v>
      </c>
      <c r="H789">
        <v>8673.4159999999993</v>
      </c>
    </row>
    <row r="790" spans="1:8" x14ac:dyDescent="0.3">
      <c r="A790" t="s">
        <v>483</v>
      </c>
      <c r="B790" t="s">
        <v>613</v>
      </c>
      <c r="C790">
        <v>2019</v>
      </c>
      <c r="D790">
        <v>0.89327630000000002</v>
      </c>
      <c r="E790" t="s">
        <v>1386</v>
      </c>
      <c r="F790">
        <v>2957.694</v>
      </c>
      <c r="G790">
        <v>11715.28</v>
      </c>
      <c r="H790">
        <v>8757.5859999999993</v>
      </c>
    </row>
    <row r="791" spans="1:8" x14ac:dyDescent="0.3">
      <c r="A791" t="s">
        <v>483</v>
      </c>
      <c r="B791" t="s">
        <v>613</v>
      </c>
      <c r="C791">
        <v>2020</v>
      </c>
      <c r="D791">
        <v>0.87550640000000002</v>
      </c>
      <c r="E791" t="s">
        <v>1386</v>
      </c>
      <c r="F791">
        <v>2187.3209999999999</v>
      </c>
      <c r="G791">
        <v>12101.11</v>
      </c>
      <c r="H791">
        <v>9913.7890000000007</v>
      </c>
    </row>
    <row r="792" spans="1:8" x14ac:dyDescent="0.3">
      <c r="A792" t="s">
        <v>483</v>
      </c>
      <c r="B792" t="s">
        <v>613</v>
      </c>
      <c r="C792">
        <v>2021</v>
      </c>
      <c r="D792">
        <v>0.84549419999999997</v>
      </c>
      <c r="E792" t="s">
        <v>1386</v>
      </c>
      <c r="F792">
        <v>2133.1619999999998</v>
      </c>
      <c r="G792">
        <v>12074.163</v>
      </c>
      <c r="H792">
        <v>9941.0010000000002</v>
      </c>
    </row>
    <row r="793" spans="1:8" x14ac:dyDescent="0.3">
      <c r="A793" t="s">
        <v>483</v>
      </c>
      <c r="B793" t="s">
        <v>613</v>
      </c>
      <c r="C793">
        <v>2022</v>
      </c>
      <c r="D793">
        <v>0.94962380000000002</v>
      </c>
      <c r="E793" t="s">
        <v>1386</v>
      </c>
      <c r="F793">
        <v>2221.8679999999999</v>
      </c>
      <c r="G793">
        <v>13587.527</v>
      </c>
      <c r="H793">
        <v>11365.659</v>
      </c>
    </row>
    <row r="794" spans="1:8" x14ac:dyDescent="0.3">
      <c r="A794" t="s">
        <v>483</v>
      </c>
      <c r="B794" t="s">
        <v>613</v>
      </c>
      <c r="C794">
        <v>2023</v>
      </c>
      <c r="D794">
        <v>0.92483959999999998</v>
      </c>
      <c r="E794" t="s">
        <v>1386</v>
      </c>
      <c r="F794">
        <v>3151.5120000000002</v>
      </c>
      <c r="G794">
        <v>15670.286</v>
      </c>
      <c r="H794">
        <v>12518.773999999999</v>
      </c>
    </row>
    <row r="795" spans="1:8" x14ac:dyDescent="0.3">
      <c r="A795" t="s">
        <v>483</v>
      </c>
      <c r="B795" t="s">
        <v>613</v>
      </c>
      <c r="C795">
        <v>2024</v>
      </c>
      <c r="D795">
        <v>0.92388950000000003</v>
      </c>
      <c r="E795" t="s">
        <v>1386</v>
      </c>
      <c r="F795">
        <v>4178.96</v>
      </c>
      <c r="G795">
        <v>19868.830999999998</v>
      </c>
      <c r="H795">
        <v>15689.870999999999</v>
      </c>
    </row>
    <row r="796" spans="1:8" x14ac:dyDescent="0.3">
      <c r="A796" t="s">
        <v>493</v>
      </c>
      <c r="B796" t="s">
        <v>614</v>
      </c>
      <c r="C796">
        <v>2001</v>
      </c>
      <c r="D796">
        <v>33.813079999999999</v>
      </c>
      <c r="E796" t="s">
        <v>1409</v>
      </c>
      <c r="F796">
        <v>981.26</v>
      </c>
      <c r="G796">
        <v>994.11</v>
      </c>
      <c r="H796">
        <v>12.85</v>
      </c>
    </row>
    <row r="797" spans="1:8" x14ac:dyDescent="0.3">
      <c r="A797" t="s">
        <v>493</v>
      </c>
      <c r="B797" t="s">
        <v>614</v>
      </c>
      <c r="C797">
        <v>2002</v>
      </c>
      <c r="D797">
        <v>34.578919999999997</v>
      </c>
      <c r="E797" t="s">
        <v>1409</v>
      </c>
      <c r="F797">
        <v>1008.39</v>
      </c>
      <c r="G797">
        <v>1012.26</v>
      </c>
      <c r="H797">
        <v>3.87</v>
      </c>
    </row>
    <row r="798" spans="1:8" x14ac:dyDescent="0.3">
      <c r="A798" t="s">
        <v>493</v>
      </c>
      <c r="B798" t="s">
        <v>614</v>
      </c>
      <c r="C798">
        <v>2003</v>
      </c>
      <c r="D798">
        <v>34.419249999999998</v>
      </c>
      <c r="E798" t="s">
        <v>1409</v>
      </c>
      <c r="F798">
        <v>793.82</v>
      </c>
      <c r="G798">
        <v>796.81</v>
      </c>
      <c r="H798">
        <v>2.99</v>
      </c>
    </row>
    <row r="799" spans="1:8" x14ac:dyDescent="0.3">
      <c r="A799" t="s">
        <v>493</v>
      </c>
      <c r="B799" t="s">
        <v>614</v>
      </c>
      <c r="C799">
        <v>2004</v>
      </c>
      <c r="D799">
        <v>33.425910000000002</v>
      </c>
      <c r="E799" t="s">
        <v>1409</v>
      </c>
      <c r="F799">
        <v>793.82</v>
      </c>
      <c r="G799">
        <v>798.18</v>
      </c>
      <c r="H799">
        <v>4.3600000000000003</v>
      </c>
    </row>
    <row r="800" spans="1:8" x14ac:dyDescent="0.3">
      <c r="A800" t="s">
        <v>493</v>
      </c>
      <c r="B800" t="s">
        <v>614</v>
      </c>
      <c r="C800">
        <v>2005</v>
      </c>
      <c r="D800">
        <v>32.1785</v>
      </c>
      <c r="E800" t="s">
        <v>1409</v>
      </c>
      <c r="F800">
        <v>793.82</v>
      </c>
      <c r="G800">
        <v>800.1</v>
      </c>
      <c r="H800">
        <v>6.28</v>
      </c>
    </row>
    <row r="801" spans="1:8" x14ac:dyDescent="0.3">
      <c r="A801" t="s">
        <v>493</v>
      </c>
      <c r="B801" t="s">
        <v>614</v>
      </c>
      <c r="C801">
        <v>2006</v>
      </c>
      <c r="D801">
        <v>32.533499999999997</v>
      </c>
      <c r="E801" t="s">
        <v>1409</v>
      </c>
      <c r="F801">
        <v>1982.58</v>
      </c>
      <c r="G801">
        <v>1988.91</v>
      </c>
      <c r="H801">
        <v>6.33</v>
      </c>
    </row>
    <row r="802" spans="1:8" x14ac:dyDescent="0.3">
      <c r="A802" t="s">
        <v>493</v>
      </c>
      <c r="B802" t="s">
        <v>614</v>
      </c>
      <c r="C802">
        <v>2007</v>
      </c>
      <c r="D802">
        <v>32.842669999999998</v>
      </c>
      <c r="E802" t="s">
        <v>1409</v>
      </c>
      <c r="F802">
        <v>1866.68</v>
      </c>
      <c r="G802">
        <v>1877.44</v>
      </c>
      <c r="H802">
        <v>10.76</v>
      </c>
    </row>
    <row r="803" spans="1:8" x14ac:dyDescent="0.3">
      <c r="A803" t="s">
        <v>493</v>
      </c>
      <c r="B803" t="s">
        <v>614</v>
      </c>
      <c r="C803">
        <v>2008</v>
      </c>
      <c r="D803">
        <v>31.53417</v>
      </c>
      <c r="E803" t="s">
        <v>1409</v>
      </c>
      <c r="F803">
        <v>1473.33</v>
      </c>
      <c r="G803">
        <v>1474.64</v>
      </c>
      <c r="H803">
        <v>1.31</v>
      </c>
    </row>
    <row r="804" spans="1:8" x14ac:dyDescent="0.3">
      <c r="A804" t="s">
        <v>493</v>
      </c>
      <c r="B804" t="s">
        <v>614</v>
      </c>
      <c r="C804">
        <v>2009</v>
      </c>
      <c r="D804">
        <v>33.0565</v>
      </c>
      <c r="E804" t="s">
        <v>1409</v>
      </c>
      <c r="F804">
        <v>1895.95</v>
      </c>
      <c r="G804">
        <v>1900.87</v>
      </c>
      <c r="H804">
        <v>4.92</v>
      </c>
    </row>
    <row r="805" spans="1:8" x14ac:dyDescent="0.3">
      <c r="A805" t="s">
        <v>493</v>
      </c>
      <c r="B805" t="s">
        <v>614</v>
      </c>
      <c r="C805">
        <v>2010</v>
      </c>
      <c r="D805">
        <v>31.64742</v>
      </c>
      <c r="E805" t="s">
        <v>1409</v>
      </c>
      <c r="F805">
        <v>2410.3200000000002</v>
      </c>
      <c r="G805">
        <v>2420.1799999999998</v>
      </c>
      <c r="H805">
        <v>9.86</v>
      </c>
    </row>
    <row r="806" spans="1:8" x14ac:dyDescent="0.3">
      <c r="A806" t="s">
        <v>493</v>
      </c>
      <c r="B806" t="s">
        <v>614</v>
      </c>
      <c r="C806">
        <v>2011</v>
      </c>
      <c r="D806">
        <v>29.468920000000001</v>
      </c>
      <c r="E806" t="s">
        <v>1409</v>
      </c>
      <c r="F806">
        <v>2423.71</v>
      </c>
      <c r="G806">
        <v>2429.2199999999998</v>
      </c>
      <c r="H806">
        <v>5.51</v>
      </c>
    </row>
    <row r="807" spans="1:8" x14ac:dyDescent="0.3">
      <c r="A807" t="s">
        <v>493</v>
      </c>
      <c r="B807" t="s">
        <v>614</v>
      </c>
      <c r="C807">
        <v>2012</v>
      </c>
      <c r="D807">
        <v>29.615580000000001</v>
      </c>
      <c r="E807" t="s">
        <v>1409</v>
      </c>
      <c r="F807">
        <v>2724.9</v>
      </c>
      <c r="G807">
        <v>2739.43</v>
      </c>
      <c r="H807">
        <v>14.53</v>
      </c>
    </row>
    <row r="808" spans="1:8" x14ac:dyDescent="0.3">
      <c r="A808" t="s">
        <v>493</v>
      </c>
      <c r="B808" t="s">
        <v>614</v>
      </c>
      <c r="C808">
        <v>2013</v>
      </c>
      <c r="D808">
        <v>29.77083</v>
      </c>
      <c r="E808" t="s">
        <v>1409</v>
      </c>
      <c r="F808">
        <v>2979.08</v>
      </c>
      <c r="G808">
        <v>2982.83</v>
      </c>
      <c r="H808">
        <v>3.75</v>
      </c>
    </row>
    <row r="809" spans="1:8" x14ac:dyDescent="0.3">
      <c r="A809" t="s">
        <v>493</v>
      </c>
      <c r="B809" t="s">
        <v>614</v>
      </c>
      <c r="C809">
        <v>2014</v>
      </c>
      <c r="D809">
        <v>30.370249999999999</v>
      </c>
      <c r="E809" t="s">
        <v>1409</v>
      </c>
      <c r="F809">
        <v>3659.77</v>
      </c>
      <c r="G809">
        <v>3663.6</v>
      </c>
      <c r="H809">
        <v>3.83</v>
      </c>
    </row>
    <row r="810" spans="1:8" x14ac:dyDescent="0.3">
      <c r="A810" t="s">
        <v>493</v>
      </c>
      <c r="B810" t="s">
        <v>614</v>
      </c>
      <c r="C810">
        <v>2015</v>
      </c>
      <c r="D810">
        <v>31.907579999999999</v>
      </c>
      <c r="E810" t="s">
        <v>1409</v>
      </c>
      <c r="F810">
        <v>3802.79</v>
      </c>
      <c r="G810">
        <v>3807.12</v>
      </c>
      <c r="H810">
        <v>4.33</v>
      </c>
    </row>
    <row r="811" spans="1:8" x14ac:dyDescent="0.3">
      <c r="A811" t="s">
        <v>493</v>
      </c>
      <c r="B811" t="s">
        <v>614</v>
      </c>
      <c r="C811">
        <v>2016</v>
      </c>
      <c r="D811">
        <v>32.325330000000001</v>
      </c>
      <c r="E811" t="s">
        <v>1409</v>
      </c>
      <c r="F811">
        <v>4594.21</v>
      </c>
      <c r="G811">
        <v>4598.4799999999996</v>
      </c>
      <c r="H811">
        <v>4.2699999999999996</v>
      </c>
    </row>
    <row r="812" spans="1:8" x14ac:dyDescent="0.3">
      <c r="A812" t="s">
        <v>493</v>
      </c>
      <c r="B812" t="s">
        <v>614</v>
      </c>
      <c r="C812">
        <v>2017</v>
      </c>
      <c r="D812">
        <v>30.442419999999998</v>
      </c>
      <c r="E812" t="s">
        <v>1409</v>
      </c>
      <c r="F812">
        <v>5564.2</v>
      </c>
      <c r="G812">
        <v>5580.51</v>
      </c>
      <c r="H812">
        <v>16.309999999999999</v>
      </c>
    </row>
    <row r="813" spans="1:8" x14ac:dyDescent="0.3">
      <c r="A813" t="s">
        <v>493</v>
      </c>
      <c r="B813" t="s">
        <v>614</v>
      </c>
      <c r="C813">
        <v>2018</v>
      </c>
      <c r="D813">
        <v>30.162669999999999</v>
      </c>
      <c r="E813" t="s">
        <v>1409</v>
      </c>
      <c r="F813">
        <v>5598.24</v>
      </c>
      <c r="G813">
        <v>5622.2</v>
      </c>
      <c r="H813">
        <v>23.96</v>
      </c>
    </row>
    <row r="814" spans="1:8" x14ac:dyDescent="0.3">
      <c r="A814" t="s">
        <v>493</v>
      </c>
      <c r="B814" t="s">
        <v>614</v>
      </c>
      <c r="C814">
        <v>2019</v>
      </c>
      <c r="D814">
        <v>30.927</v>
      </c>
      <c r="E814" t="s">
        <v>1409</v>
      </c>
      <c r="F814">
        <v>7585.42</v>
      </c>
      <c r="G814">
        <v>7591.61</v>
      </c>
      <c r="H814">
        <v>6.19</v>
      </c>
    </row>
    <row r="815" spans="1:8" x14ac:dyDescent="0.3">
      <c r="A815" t="s">
        <v>493</v>
      </c>
      <c r="B815" t="s">
        <v>614</v>
      </c>
      <c r="C815">
        <v>2020</v>
      </c>
      <c r="D815">
        <v>29.58325</v>
      </c>
      <c r="E815" t="s">
        <v>1409</v>
      </c>
      <c r="F815">
        <v>11205.97</v>
      </c>
      <c r="G815">
        <v>11212.92</v>
      </c>
      <c r="H815">
        <v>6.95</v>
      </c>
    </row>
    <row r="816" spans="1:8" x14ac:dyDescent="0.3">
      <c r="A816" t="s">
        <v>493</v>
      </c>
      <c r="B816" t="s">
        <v>614</v>
      </c>
      <c r="C816">
        <v>2021</v>
      </c>
      <c r="D816">
        <v>28.023499999999999</v>
      </c>
      <c r="E816" t="s">
        <v>1409</v>
      </c>
      <c r="F816">
        <v>13339.54</v>
      </c>
      <c r="G816">
        <v>13353.42</v>
      </c>
      <c r="H816">
        <v>13.88</v>
      </c>
    </row>
    <row r="817" spans="1:8" x14ac:dyDescent="0.3">
      <c r="A817" t="s">
        <v>493</v>
      </c>
      <c r="B817" t="s">
        <v>614</v>
      </c>
      <c r="C817">
        <v>2022</v>
      </c>
      <c r="D817">
        <v>29.806329999999999</v>
      </c>
      <c r="E817" t="s">
        <v>1409</v>
      </c>
      <c r="F817">
        <v>10244.44</v>
      </c>
      <c r="G817">
        <v>10258.94</v>
      </c>
      <c r="H817">
        <v>14.5</v>
      </c>
    </row>
    <row r="818" spans="1:8" x14ac:dyDescent="0.3">
      <c r="A818" t="s">
        <v>493</v>
      </c>
      <c r="B818" t="s">
        <v>614</v>
      </c>
      <c r="C818">
        <v>2023</v>
      </c>
      <c r="D818">
        <v>31.157579999999999</v>
      </c>
      <c r="E818" t="s">
        <v>1409</v>
      </c>
      <c r="F818">
        <v>12795.97</v>
      </c>
      <c r="G818">
        <v>12810.29</v>
      </c>
      <c r="H818">
        <v>14.32</v>
      </c>
    </row>
    <row r="819" spans="1:8" x14ac:dyDescent="0.3">
      <c r="A819" t="s">
        <v>493</v>
      </c>
      <c r="B819" t="s">
        <v>614</v>
      </c>
      <c r="C819">
        <v>2024</v>
      </c>
      <c r="D819">
        <v>32.111330000000002</v>
      </c>
      <c r="E819" t="s">
        <v>1409</v>
      </c>
      <c r="F819">
        <v>20966.87</v>
      </c>
      <c r="G819">
        <v>20985.13</v>
      </c>
      <c r="H819">
        <v>18.260000000000002</v>
      </c>
    </row>
    <row r="820" spans="1:8" x14ac:dyDescent="0.3">
      <c r="A820" t="s">
        <v>493</v>
      </c>
      <c r="B820" t="s">
        <v>614</v>
      </c>
      <c r="C820">
        <v>2005</v>
      </c>
      <c r="D820">
        <v>32.1785</v>
      </c>
      <c r="E820" t="s">
        <v>1409</v>
      </c>
      <c r="G820">
        <v>94975.611053999994</v>
      </c>
    </row>
    <row r="821" spans="1:8" x14ac:dyDescent="0.3">
      <c r="A821" t="s">
        <v>493</v>
      </c>
      <c r="B821" t="s">
        <v>614</v>
      </c>
      <c r="C821">
        <v>2006</v>
      </c>
      <c r="D821">
        <v>32.533499999999997</v>
      </c>
      <c r="E821" t="s">
        <v>1409</v>
      </c>
      <c r="G821">
        <v>101000.413953</v>
      </c>
    </row>
    <row r="822" spans="1:8" x14ac:dyDescent="0.3">
      <c r="A822" t="s">
        <v>493</v>
      </c>
      <c r="B822" t="s">
        <v>614</v>
      </c>
      <c r="C822">
        <v>2007</v>
      </c>
      <c r="D822">
        <v>32.842669999999998</v>
      </c>
      <c r="E822" t="s">
        <v>1409</v>
      </c>
      <c r="G822">
        <v>50534.641379000001</v>
      </c>
    </row>
    <row r="823" spans="1:8" x14ac:dyDescent="0.3">
      <c r="A823" t="s">
        <v>493</v>
      </c>
      <c r="B823" t="s">
        <v>614</v>
      </c>
      <c r="C823">
        <v>2008</v>
      </c>
      <c r="D823">
        <v>31.53417</v>
      </c>
      <c r="E823" t="s">
        <v>1409</v>
      </c>
      <c r="G823">
        <v>91386.438448999994</v>
      </c>
    </row>
    <row r="824" spans="1:8" x14ac:dyDescent="0.3">
      <c r="A824" t="s">
        <v>493</v>
      </c>
      <c r="B824" t="s">
        <v>614</v>
      </c>
      <c r="C824">
        <v>2009</v>
      </c>
      <c r="D824">
        <v>33.0565</v>
      </c>
      <c r="E824" t="s">
        <v>1409</v>
      </c>
      <c r="G824">
        <v>97914.715240999998</v>
      </c>
    </row>
    <row r="825" spans="1:8" x14ac:dyDescent="0.3">
      <c r="A825" t="s">
        <v>493</v>
      </c>
      <c r="B825" t="s">
        <v>614</v>
      </c>
      <c r="C825">
        <v>2010</v>
      </c>
      <c r="D825">
        <v>31.64742</v>
      </c>
      <c r="E825" t="s">
        <v>1409</v>
      </c>
      <c r="G825">
        <v>39996.074401999998</v>
      </c>
    </row>
    <row r="826" spans="1:8" x14ac:dyDescent="0.3">
      <c r="A826" t="s">
        <v>493</v>
      </c>
      <c r="B826" t="s">
        <v>614</v>
      </c>
      <c r="C826">
        <v>2011</v>
      </c>
      <c r="D826">
        <v>29.468920000000001</v>
      </c>
      <c r="E826" t="s">
        <v>1409</v>
      </c>
      <c r="G826">
        <v>16140.027622</v>
      </c>
    </row>
    <row r="827" spans="1:8" x14ac:dyDescent="0.3">
      <c r="A827" t="s">
        <v>493</v>
      </c>
      <c r="B827" t="s">
        <v>614</v>
      </c>
      <c r="C827">
        <v>2012</v>
      </c>
      <c r="D827">
        <v>29.615580000000001</v>
      </c>
      <c r="E827" t="s">
        <v>1409</v>
      </c>
      <c r="G827">
        <v>3614.0922919999998</v>
      </c>
    </row>
    <row r="828" spans="1:8" x14ac:dyDescent="0.3">
      <c r="A828" t="s">
        <v>493</v>
      </c>
      <c r="B828" t="s">
        <v>614</v>
      </c>
      <c r="C828">
        <v>2013</v>
      </c>
      <c r="D828">
        <v>29.77083</v>
      </c>
      <c r="E828" t="s">
        <v>1409</v>
      </c>
      <c r="G828">
        <v>115.10215100000001</v>
      </c>
    </row>
    <row r="829" spans="1:8" x14ac:dyDescent="0.3">
      <c r="A829" t="s">
        <v>493</v>
      </c>
      <c r="B829" t="s">
        <v>614</v>
      </c>
      <c r="C829">
        <v>2014</v>
      </c>
      <c r="D829">
        <v>30.370249999999999</v>
      </c>
      <c r="E829" t="s">
        <v>1409</v>
      </c>
      <c r="G829">
        <v>116.077347</v>
      </c>
    </row>
    <row r="830" spans="1:8" x14ac:dyDescent="0.3">
      <c r="A830" t="s">
        <v>493</v>
      </c>
      <c r="B830" t="s">
        <v>614</v>
      </c>
      <c r="C830">
        <v>2015</v>
      </c>
      <c r="D830">
        <v>31.907579999999999</v>
      </c>
      <c r="E830" t="s">
        <v>1409</v>
      </c>
      <c r="G830">
        <v>6905.3489040000004</v>
      </c>
    </row>
    <row r="831" spans="1:8" x14ac:dyDescent="0.3">
      <c r="A831" t="s">
        <v>493</v>
      </c>
      <c r="B831" t="s">
        <v>614</v>
      </c>
      <c r="C831">
        <v>2016</v>
      </c>
      <c r="D831">
        <v>32.325330000000001</v>
      </c>
      <c r="E831" t="s">
        <v>1409</v>
      </c>
      <c r="G831">
        <v>1329.0594450000001</v>
      </c>
    </row>
    <row r="832" spans="1:8" x14ac:dyDescent="0.3">
      <c r="A832" t="s">
        <v>493</v>
      </c>
      <c r="B832" t="s">
        <v>614</v>
      </c>
      <c r="C832">
        <v>2017</v>
      </c>
      <c r="D832">
        <v>30.442419999999998</v>
      </c>
      <c r="E832" t="s">
        <v>1409</v>
      </c>
      <c r="G832">
        <v>32.748379</v>
      </c>
    </row>
    <row r="833" spans="1:8" x14ac:dyDescent="0.3">
      <c r="A833" t="s">
        <v>493</v>
      </c>
      <c r="B833" t="s">
        <v>614</v>
      </c>
      <c r="C833">
        <v>2018</v>
      </c>
      <c r="D833">
        <v>30.162669999999999</v>
      </c>
      <c r="E833" t="s">
        <v>1409</v>
      </c>
      <c r="G833">
        <v>39.906452000000002</v>
      </c>
    </row>
    <row r="834" spans="1:8" x14ac:dyDescent="0.3">
      <c r="A834" t="s">
        <v>493</v>
      </c>
      <c r="B834" t="s">
        <v>614</v>
      </c>
      <c r="C834">
        <v>2019</v>
      </c>
      <c r="D834">
        <v>30.927</v>
      </c>
      <c r="E834" t="s">
        <v>1409</v>
      </c>
      <c r="G834">
        <v>47.092872999999997</v>
      </c>
    </row>
    <row r="835" spans="1:8" x14ac:dyDescent="0.3">
      <c r="A835" t="s">
        <v>493</v>
      </c>
      <c r="B835" t="s">
        <v>614</v>
      </c>
      <c r="C835">
        <v>2020</v>
      </c>
      <c r="D835">
        <v>29.58325</v>
      </c>
      <c r="E835" t="s">
        <v>1409</v>
      </c>
      <c r="G835">
        <v>260.23139300000003</v>
      </c>
    </row>
    <row r="836" spans="1:8" x14ac:dyDescent="0.3">
      <c r="A836" t="s">
        <v>493</v>
      </c>
      <c r="B836" t="s">
        <v>614</v>
      </c>
      <c r="C836">
        <v>2021</v>
      </c>
      <c r="D836">
        <v>28.023499999999999</v>
      </c>
      <c r="E836" t="s">
        <v>1409</v>
      </c>
      <c r="G836">
        <v>9.9571120000000004</v>
      </c>
    </row>
    <row r="837" spans="1:8" x14ac:dyDescent="0.3">
      <c r="A837" t="s">
        <v>493</v>
      </c>
      <c r="B837" t="s">
        <v>614</v>
      </c>
      <c r="C837">
        <v>2022</v>
      </c>
      <c r="D837">
        <v>29.806329999999999</v>
      </c>
      <c r="E837" t="s">
        <v>1409</v>
      </c>
      <c r="G837">
        <v>53529.535343000003</v>
      </c>
    </row>
    <row r="838" spans="1:8" x14ac:dyDescent="0.3">
      <c r="A838" t="s">
        <v>493</v>
      </c>
      <c r="B838" t="s">
        <v>614</v>
      </c>
      <c r="C838">
        <v>2023</v>
      </c>
      <c r="D838">
        <v>31.157579999999999</v>
      </c>
      <c r="E838" t="s">
        <v>1409</v>
      </c>
      <c r="G838">
        <v>11374.109498</v>
      </c>
    </row>
    <row r="839" spans="1:8" x14ac:dyDescent="0.3">
      <c r="A839" t="s">
        <v>493</v>
      </c>
      <c r="B839" t="s">
        <v>614</v>
      </c>
      <c r="C839">
        <v>2024</v>
      </c>
      <c r="D839">
        <v>32.111330000000002</v>
      </c>
      <c r="E839" t="s">
        <v>1409</v>
      </c>
      <c r="G839">
        <v>35.714044000000001</v>
      </c>
    </row>
    <row r="840" spans="1:8" x14ac:dyDescent="0.3">
      <c r="A840" t="s">
        <v>500</v>
      </c>
      <c r="B840" t="s">
        <v>615</v>
      </c>
      <c r="C840">
        <v>2006</v>
      </c>
      <c r="E840" t="s">
        <v>1385</v>
      </c>
      <c r="F840">
        <v>649.84822799999995</v>
      </c>
      <c r="G840">
        <v>649.84822799999995</v>
      </c>
      <c r="H840">
        <v>0</v>
      </c>
    </row>
    <row r="841" spans="1:8" x14ac:dyDescent="0.3">
      <c r="A841" t="s">
        <v>500</v>
      </c>
      <c r="B841" t="s">
        <v>615</v>
      </c>
      <c r="C841">
        <v>2007</v>
      </c>
      <c r="E841" t="s">
        <v>1385</v>
      </c>
      <c r="F841">
        <v>2086.1570849999998</v>
      </c>
      <c r="G841">
        <v>2086.1570849999998</v>
      </c>
      <c r="H841">
        <v>0</v>
      </c>
    </row>
    <row r="842" spans="1:8" x14ac:dyDescent="0.3">
      <c r="A842" t="s">
        <v>500</v>
      </c>
      <c r="B842" t="s">
        <v>615</v>
      </c>
      <c r="C842">
        <v>2008</v>
      </c>
      <c r="E842" t="s">
        <v>1385</v>
      </c>
      <c r="F842">
        <v>4196.9717330000003</v>
      </c>
      <c r="G842">
        <v>4196.9717330000003</v>
      </c>
      <c r="H842">
        <v>0</v>
      </c>
    </row>
    <row r="843" spans="1:8" x14ac:dyDescent="0.3">
      <c r="A843" t="s">
        <v>500</v>
      </c>
      <c r="B843" t="s">
        <v>615</v>
      </c>
      <c r="C843">
        <v>2009</v>
      </c>
      <c r="E843" t="s">
        <v>1385</v>
      </c>
      <c r="F843">
        <v>5376.6255590000001</v>
      </c>
      <c r="G843">
        <v>5376.6255590000001</v>
      </c>
      <c r="H843">
        <v>0</v>
      </c>
    </row>
    <row r="844" spans="1:8" x14ac:dyDescent="0.3">
      <c r="A844" t="s">
        <v>500</v>
      </c>
      <c r="B844" t="s">
        <v>615</v>
      </c>
      <c r="C844">
        <v>2010</v>
      </c>
      <c r="E844" t="s">
        <v>1385</v>
      </c>
      <c r="F844">
        <v>6903.9962949999999</v>
      </c>
      <c r="G844">
        <v>6903.9962949999999</v>
      </c>
      <c r="H844">
        <v>0</v>
      </c>
    </row>
    <row r="845" spans="1:8" x14ac:dyDescent="0.3">
      <c r="A845" t="s">
        <v>500</v>
      </c>
      <c r="B845" t="s">
        <v>615</v>
      </c>
      <c r="C845">
        <v>2011</v>
      </c>
      <c r="E845" t="s">
        <v>1385</v>
      </c>
      <c r="F845">
        <v>9310.321199</v>
      </c>
      <c r="G845">
        <v>9312.1491920000008</v>
      </c>
      <c r="H845">
        <v>1.827993</v>
      </c>
    </row>
    <row r="846" spans="1:8" x14ac:dyDescent="0.3">
      <c r="A846" t="s">
        <v>500</v>
      </c>
      <c r="B846" t="s">
        <v>615</v>
      </c>
      <c r="C846">
        <v>2012</v>
      </c>
      <c r="E846" t="s">
        <v>1385</v>
      </c>
      <c r="F846">
        <v>11775.348588999999</v>
      </c>
      <c r="G846">
        <v>11778.506742</v>
      </c>
      <c r="H846">
        <v>3.158153</v>
      </c>
    </row>
    <row r="847" spans="1:8" x14ac:dyDescent="0.3">
      <c r="A847" t="s">
        <v>500</v>
      </c>
      <c r="B847" t="s">
        <v>615</v>
      </c>
      <c r="C847">
        <v>2013</v>
      </c>
      <c r="E847" t="s">
        <v>1385</v>
      </c>
      <c r="F847">
        <v>14952.099305</v>
      </c>
      <c r="G847">
        <v>14985.976368</v>
      </c>
      <c r="H847">
        <v>33.877063</v>
      </c>
    </row>
    <row r="848" spans="1:8" x14ac:dyDescent="0.3">
      <c r="A848" t="s">
        <v>500</v>
      </c>
      <c r="B848" t="s">
        <v>615</v>
      </c>
      <c r="C848">
        <v>2014</v>
      </c>
      <c r="E848" t="s">
        <v>1385</v>
      </c>
      <c r="F848">
        <v>16538.617460000001</v>
      </c>
      <c r="G848">
        <v>16553.388927</v>
      </c>
      <c r="H848">
        <v>14.771466999999999</v>
      </c>
    </row>
    <row r="849" spans="1:8" x14ac:dyDescent="0.3">
      <c r="A849" t="s">
        <v>500</v>
      </c>
      <c r="B849" t="s">
        <v>615</v>
      </c>
      <c r="C849">
        <v>2015</v>
      </c>
      <c r="E849" t="s">
        <v>1385</v>
      </c>
      <c r="F849">
        <v>16217.572505</v>
      </c>
      <c r="G849">
        <v>16238.370115</v>
      </c>
      <c r="H849">
        <v>20.797609999999999</v>
      </c>
    </row>
    <row r="850" spans="1:8" x14ac:dyDescent="0.3">
      <c r="A850" t="s">
        <v>500</v>
      </c>
      <c r="B850" t="s">
        <v>615</v>
      </c>
      <c r="C850">
        <v>2016</v>
      </c>
      <c r="E850" t="s">
        <v>1385</v>
      </c>
      <c r="F850">
        <v>15844.327287</v>
      </c>
      <c r="G850">
        <v>15852.49221</v>
      </c>
      <c r="H850">
        <v>8.1649229999999999</v>
      </c>
    </row>
    <row r="851" spans="1:8" x14ac:dyDescent="0.3">
      <c r="A851" t="s">
        <v>500</v>
      </c>
      <c r="B851" t="s">
        <v>615</v>
      </c>
      <c r="C851">
        <v>2017</v>
      </c>
      <c r="E851" t="s">
        <v>1385</v>
      </c>
      <c r="F851">
        <v>16799.312690999999</v>
      </c>
      <c r="G851">
        <v>16811.607029999999</v>
      </c>
      <c r="H851">
        <v>12.294339000000001</v>
      </c>
    </row>
    <row r="852" spans="1:8" x14ac:dyDescent="0.3">
      <c r="A852" t="s">
        <v>500</v>
      </c>
      <c r="B852" t="s">
        <v>615</v>
      </c>
      <c r="C852">
        <v>2018</v>
      </c>
      <c r="E852" t="s">
        <v>1385</v>
      </c>
      <c r="F852">
        <v>15803.638000000001</v>
      </c>
      <c r="G852">
        <v>15822.994000000001</v>
      </c>
      <c r="H852">
        <v>19.355</v>
      </c>
    </row>
    <row r="853" spans="1:8" x14ac:dyDescent="0.3">
      <c r="A853" t="s">
        <v>500</v>
      </c>
      <c r="B853" t="s">
        <v>615</v>
      </c>
      <c r="C853">
        <v>2019</v>
      </c>
      <c r="E853" t="s">
        <v>1385</v>
      </c>
      <c r="F853">
        <v>17691.815999999999</v>
      </c>
      <c r="G853">
        <v>17712.573</v>
      </c>
      <c r="H853">
        <v>20.757000000000001</v>
      </c>
    </row>
    <row r="854" spans="1:8" x14ac:dyDescent="0.3">
      <c r="A854" t="s">
        <v>500</v>
      </c>
      <c r="B854" t="s">
        <v>615</v>
      </c>
      <c r="C854">
        <v>2020</v>
      </c>
      <c r="E854" t="s">
        <v>1385</v>
      </c>
      <c r="F854">
        <v>18990.61447</v>
      </c>
      <c r="G854">
        <v>19023.463</v>
      </c>
      <c r="H854">
        <v>32.848999999999997</v>
      </c>
    </row>
    <row r="855" spans="1:8" x14ac:dyDescent="0.3">
      <c r="A855" t="s">
        <v>500</v>
      </c>
      <c r="B855" t="s">
        <v>615</v>
      </c>
      <c r="C855">
        <v>2021</v>
      </c>
      <c r="E855" t="s">
        <v>1385</v>
      </c>
      <c r="F855">
        <v>19621.023722999998</v>
      </c>
      <c r="G855">
        <v>19635.513996999998</v>
      </c>
      <c r="H855">
        <v>14.490273999999999</v>
      </c>
    </row>
    <row r="856" spans="1:8" x14ac:dyDescent="0.3">
      <c r="A856" t="s">
        <v>500</v>
      </c>
      <c r="B856" t="s">
        <v>615</v>
      </c>
      <c r="C856">
        <v>2022</v>
      </c>
      <c r="E856" t="s">
        <v>1385</v>
      </c>
      <c r="F856">
        <v>17273.001722000001</v>
      </c>
      <c r="G856">
        <v>17302.442188000001</v>
      </c>
      <c r="H856">
        <v>29.440466000000001</v>
      </c>
    </row>
    <row r="857" spans="1:8" x14ac:dyDescent="0.3">
      <c r="A857" t="s">
        <v>500</v>
      </c>
      <c r="B857" t="s">
        <v>615</v>
      </c>
      <c r="C857">
        <v>2023</v>
      </c>
      <c r="E857" t="s">
        <v>1385</v>
      </c>
      <c r="F857">
        <v>18288.404975000001</v>
      </c>
      <c r="G857">
        <v>18329.77492</v>
      </c>
      <c r="H857">
        <v>41.369945000000001</v>
      </c>
    </row>
    <row r="858" spans="1:8" x14ac:dyDescent="0.3">
      <c r="A858" t="s">
        <v>500</v>
      </c>
      <c r="B858" t="s">
        <v>615</v>
      </c>
      <c r="C858">
        <v>2024</v>
      </c>
      <c r="E858" t="s">
        <v>1385</v>
      </c>
      <c r="F858">
        <v>18274.056403999999</v>
      </c>
      <c r="G858">
        <v>18288.050476</v>
      </c>
      <c r="H858">
        <v>13.994071999999999</v>
      </c>
    </row>
    <row r="859" spans="1:8" x14ac:dyDescent="0.3">
      <c r="A859" t="s">
        <v>505</v>
      </c>
      <c r="B859" t="s">
        <v>616</v>
      </c>
      <c r="C859">
        <v>2007</v>
      </c>
      <c r="E859" t="s">
        <v>1385</v>
      </c>
      <c r="F859">
        <v>1765.850559</v>
      </c>
      <c r="G859">
        <v>1766.194878</v>
      </c>
      <c r="H859">
        <v>0.34431899999999999</v>
      </c>
    </row>
    <row r="860" spans="1:8" x14ac:dyDescent="0.3">
      <c r="A860" t="s">
        <v>505</v>
      </c>
      <c r="B860" t="s">
        <v>616</v>
      </c>
      <c r="C860">
        <v>2008</v>
      </c>
      <c r="E860" t="s">
        <v>1385</v>
      </c>
      <c r="F860">
        <v>2888.4377869999998</v>
      </c>
      <c r="G860">
        <v>2888.6363409999999</v>
      </c>
      <c r="H860">
        <v>0.19855400000000001</v>
      </c>
    </row>
    <row r="861" spans="1:8" x14ac:dyDescent="0.3">
      <c r="A861" t="s">
        <v>505</v>
      </c>
      <c r="B861" t="s">
        <v>616</v>
      </c>
      <c r="C861">
        <v>2009</v>
      </c>
      <c r="E861" t="s">
        <v>1385</v>
      </c>
      <c r="F861">
        <v>2964.774422</v>
      </c>
      <c r="G861">
        <v>3244.7825769999999</v>
      </c>
      <c r="H861">
        <v>280.00815499999999</v>
      </c>
    </row>
    <row r="862" spans="1:8" x14ac:dyDescent="0.3">
      <c r="A862" t="s">
        <v>505</v>
      </c>
      <c r="B862" t="s">
        <v>616</v>
      </c>
      <c r="C862">
        <v>2010</v>
      </c>
      <c r="E862" t="s">
        <v>1385</v>
      </c>
      <c r="F862">
        <v>3619.764146</v>
      </c>
      <c r="G862">
        <v>3954.4680159999998</v>
      </c>
      <c r="H862">
        <v>334.70386999999999</v>
      </c>
    </row>
    <row r="863" spans="1:8" x14ac:dyDescent="0.3">
      <c r="A863" t="s">
        <v>505</v>
      </c>
      <c r="B863" t="s">
        <v>616</v>
      </c>
      <c r="C863">
        <v>2011</v>
      </c>
      <c r="E863" t="s">
        <v>1385</v>
      </c>
      <c r="F863">
        <v>4080.880506</v>
      </c>
      <c r="G863">
        <v>4549.205962</v>
      </c>
      <c r="H863">
        <v>468.32545599999997</v>
      </c>
    </row>
    <row r="864" spans="1:8" x14ac:dyDescent="0.3">
      <c r="A864" t="s">
        <v>505</v>
      </c>
      <c r="B864" t="s">
        <v>616</v>
      </c>
      <c r="C864">
        <v>2012</v>
      </c>
      <c r="E864" t="s">
        <v>1385</v>
      </c>
      <c r="F864">
        <v>4709.1250570000002</v>
      </c>
      <c r="G864">
        <v>5575.4711139999999</v>
      </c>
      <c r="H864">
        <v>866.34605699999997</v>
      </c>
    </row>
    <row r="865" spans="1:8" x14ac:dyDescent="0.3">
      <c r="A865" t="s">
        <v>505</v>
      </c>
      <c r="B865" t="s">
        <v>616</v>
      </c>
      <c r="C865">
        <v>2013</v>
      </c>
      <c r="E865" t="s">
        <v>1385</v>
      </c>
      <c r="F865">
        <v>5150.6527889999998</v>
      </c>
      <c r="G865">
        <v>5455.2803700000004</v>
      </c>
      <c r="H865">
        <v>304.62758700000001</v>
      </c>
    </row>
    <row r="866" spans="1:8" x14ac:dyDescent="0.3">
      <c r="A866" t="s">
        <v>505</v>
      </c>
      <c r="B866" t="s">
        <v>616</v>
      </c>
      <c r="C866">
        <v>2014</v>
      </c>
      <c r="E866" t="s">
        <v>1385</v>
      </c>
      <c r="F866">
        <v>5529.8198130000001</v>
      </c>
      <c r="G866">
        <v>5882.1880250000004</v>
      </c>
      <c r="H866">
        <v>352.36821200000003</v>
      </c>
    </row>
    <row r="867" spans="1:8" x14ac:dyDescent="0.3">
      <c r="A867" t="s">
        <v>505</v>
      </c>
      <c r="B867" t="s">
        <v>616</v>
      </c>
      <c r="C867">
        <v>2015</v>
      </c>
      <c r="E867" t="s">
        <v>1385</v>
      </c>
      <c r="F867">
        <v>5650.4594180000004</v>
      </c>
      <c r="G867">
        <v>6117.0011780000004</v>
      </c>
      <c r="H867">
        <v>466.54176000000001</v>
      </c>
    </row>
    <row r="868" spans="1:8" x14ac:dyDescent="0.3">
      <c r="A868" t="s">
        <v>505</v>
      </c>
      <c r="B868" t="s">
        <v>616</v>
      </c>
      <c r="C868">
        <v>2016</v>
      </c>
      <c r="E868" t="s">
        <v>1385</v>
      </c>
      <c r="F868">
        <v>5580.8606540000001</v>
      </c>
      <c r="G868">
        <v>5874.7837920000002</v>
      </c>
      <c r="H868">
        <v>293.92313799999999</v>
      </c>
    </row>
    <row r="869" spans="1:8" x14ac:dyDescent="0.3">
      <c r="A869" t="s">
        <v>505</v>
      </c>
      <c r="B869" t="s">
        <v>616</v>
      </c>
      <c r="C869">
        <v>2017</v>
      </c>
      <c r="E869" t="s">
        <v>1385</v>
      </c>
      <c r="F869">
        <v>5757.7880519999999</v>
      </c>
      <c r="G869">
        <v>6006.9740160000001</v>
      </c>
      <c r="H869">
        <v>249.18596400000001</v>
      </c>
    </row>
    <row r="870" spans="1:8" x14ac:dyDescent="0.3">
      <c r="A870" t="s">
        <v>505</v>
      </c>
      <c r="B870" t="s">
        <v>616</v>
      </c>
      <c r="C870">
        <v>2018</v>
      </c>
      <c r="E870" t="s">
        <v>1385</v>
      </c>
      <c r="F870">
        <v>5961.5059620000002</v>
      </c>
      <c r="G870">
        <v>6244.6835190000002</v>
      </c>
      <c r="H870">
        <v>283.17755699999998</v>
      </c>
    </row>
    <row r="871" spans="1:8" x14ac:dyDescent="0.3">
      <c r="A871" t="s">
        <v>505</v>
      </c>
      <c r="B871" t="s">
        <v>616</v>
      </c>
      <c r="C871">
        <v>2019</v>
      </c>
      <c r="E871" t="s">
        <v>1385</v>
      </c>
      <c r="F871">
        <v>6250.343073</v>
      </c>
      <c r="G871">
        <v>6948.7812089999998</v>
      </c>
      <c r="H871">
        <v>698.43813599999999</v>
      </c>
    </row>
    <row r="872" spans="1:8" x14ac:dyDescent="0.3">
      <c r="A872" t="s">
        <v>505</v>
      </c>
      <c r="B872" t="s">
        <v>616</v>
      </c>
      <c r="C872">
        <v>2020</v>
      </c>
      <c r="E872" t="s">
        <v>1385</v>
      </c>
      <c r="F872">
        <v>5727.5806920000005</v>
      </c>
      <c r="G872">
        <v>6251.5910789999998</v>
      </c>
      <c r="H872">
        <v>524.01038700000004</v>
      </c>
    </row>
    <row r="873" spans="1:8" x14ac:dyDescent="0.3">
      <c r="A873" t="s">
        <v>505</v>
      </c>
      <c r="B873" t="s">
        <v>616</v>
      </c>
      <c r="C873">
        <v>2021</v>
      </c>
      <c r="E873" t="s">
        <v>1385</v>
      </c>
      <c r="F873">
        <v>5459.0446080000002</v>
      </c>
      <c r="G873">
        <v>5649.7706459999999</v>
      </c>
      <c r="H873">
        <v>190.72603799999999</v>
      </c>
    </row>
    <row r="874" spans="1:8" x14ac:dyDescent="0.3">
      <c r="A874" t="s">
        <v>505</v>
      </c>
      <c r="B874" t="s">
        <v>616</v>
      </c>
      <c r="C874">
        <v>2022</v>
      </c>
      <c r="E874" t="s">
        <v>1385</v>
      </c>
      <c r="F874">
        <v>4709.5821889999997</v>
      </c>
      <c r="G874">
        <v>5030.2056460000003</v>
      </c>
      <c r="H874">
        <v>320.62345699999997</v>
      </c>
    </row>
    <row r="875" spans="1:8" x14ac:dyDescent="0.3">
      <c r="A875" t="s">
        <v>505</v>
      </c>
      <c r="B875" t="s">
        <v>616</v>
      </c>
      <c r="C875">
        <v>2023</v>
      </c>
      <c r="E875" t="s">
        <v>1385</v>
      </c>
      <c r="F875">
        <v>5386.4226099999996</v>
      </c>
      <c r="G875">
        <v>5874.0763989999996</v>
      </c>
      <c r="H875">
        <v>487.65378900000002</v>
      </c>
    </row>
    <row r="876" spans="1:8" x14ac:dyDescent="0.3">
      <c r="A876" t="s">
        <v>505</v>
      </c>
      <c r="B876" t="s">
        <v>616</v>
      </c>
      <c r="C876">
        <v>2024</v>
      </c>
      <c r="E876" t="s">
        <v>1385</v>
      </c>
      <c r="F876">
        <v>6082.5172169999996</v>
      </c>
      <c r="G876">
        <v>6445.8334409999998</v>
      </c>
      <c r="H876">
        <v>363.31622399999998</v>
      </c>
    </row>
    <row r="877" spans="1:8" x14ac:dyDescent="0.3">
      <c r="A877" t="s">
        <v>510</v>
      </c>
      <c r="B877" t="s">
        <v>617</v>
      </c>
      <c r="C877">
        <v>2017</v>
      </c>
      <c r="D877">
        <v>3.6481330000000001</v>
      </c>
      <c r="E877" t="s">
        <v>1410</v>
      </c>
      <c r="F877">
        <v>155551</v>
      </c>
      <c r="G877">
        <v>214413</v>
      </c>
      <c r="H877">
        <v>58862</v>
      </c>
    </row>
    <row r="878" spans="1:8" x14ac:dyDescent="0.3">
      <c r="A878" t="s">
        <v>510</v>
      </c>
      <c r="B878" t="s">
        <v>617</v>
      </c>
      <c r="C878">
        <v>2018</v>
      </c>
      <c r="D878">
        <v>4.8283699999999996</v>
      </c>
      <c r="E878" t="s">
        <v>1410</v>
      </c>
      <c r="F878">
        <v>207267</v>
      </c>
      <c r="G878">
        <v>1175661</v>
      </c>
      <c r="H878">
        <v>968394</v>
      </c>
    </row>
    <row r="879" spans="1:8" x14ac:dyDescent="0.3">
      <c r="A879" t="s">
        <v>510</v>
      </c>
      <c r="B879" t="s">
        <v>617</v>
      </c>
      <c r="C879">
        <v>2019</v>
      </c>
      <c r="D879">
        <v>5.6738200000000001</v>
      </c>
      <c r="E879" t="s">
        <v>1410</v>
      </c>
      <c r="F879">
        <v>234542</v>
      </c>
      <c r="G879">
        <v>1450379</v>
      </c>
      <c r="H879">
        <v>1223066</v>
      </c>
    </row>
    <row r="880" spans="1:8" x14ac:dyDescent="0.3">
      <c r="A880" t="s">
        <v>510</v>
      </c>
      <c r="B880" t="s">
        <v>617</v>
      </c>
      <c r="C880">
        <v>2020</v>
      </c>
      <c r="D880">
        <v>7.0086050000000002</v>
      </c>
      <c r="E880" t="s">
        <v>1410</v>
      </c>
      <c r="F880">
        <v>286508</v>
      </c>
      <c r="G880">
        <v>2169306</v>
      </c>
      <c r="H880">
        <v>1882798</v>
      </c>
    </row>
    <row r="881" spans="1:8" x14ac:dyDescent="0.3">
      <c r="A881" t="s">
        <v>510</v>
      </c>
      <c r="B881" t="s">
        <v>617</v>
      </c>
      <c r="C881">
        <v>2021</v>
      </c>
      <c r="D881">
        <v>8.8504079999999998</v>
      </c>
      <c r="E881" t="s">
        <v>1410</v>
      </c>
      <c r="F881">
        <v>395613</v>
      </c>
      <c r="G881">
        <v>3201207</v>
      </c>
      <c r="H881">
        <v>2805594</v>
      </c>
    </row>
    <row r="882" spans="1:8" x14ac:dyDescent="0.3">
      <c r="A882" t="s">
        <v>510</v>
      </c>
      <c r="B882" t="s">
        <v>617</v>
      </c>
      <c r="C882">
        <v>2022</v>
      </c>
      <c r="D882">
        <v>16.548860000000001</v>
      </c>
      <c r="E882" t="s">
        <v>1410</v>
      </c>
      <c r="F882">
        <v>913599</v>
      </c>
      <c r="G882">
        <v>5604940</v>
      </c>
      <c r="H882">
        <v>4691341</v>
      </c>
    </row>
    <row r="883" spans="1:8" x14ac:dyDescent="0.3">
      <c r="A883" t="s">
        <v>510</v>
      </c>
      <c r="B883" t="s">
        <v>617</v>
      </c>
      <c r="C883">
        <v>2023</v>
      </c>
      <c r="D883">
        <v>23.738569999999999</v>
      </c>
      <c r="E883" t="s">
        <v>1410</v>
      </c>
      <c r="F883">
        <v>1470129</v>
      </c>
      <c r="G883">
        <v>9354444</v>
      </c>
      <c r="H883">
        <v>7884315</v>
      </c>
    </row>
    <row r="884" spans="1:8" x14ac:dyDescent="0.3">
      <c r="A884" t="s">
        <v>510</v>
      </c>
      <c r="B884" t="s">
        <v>617</v>
      </c>
      <c r="C884">
        <v>2024</v>
      </c>
      <c r="D884">
        <v>32.805860000000003</v>
      </c>
      <c r="E884" t="s">
        <v>1410</v>
      </c>
      <c r="F884">
        <v>2042471</v>
      </c>
      <c r="G884">
        <v>12713728</v>
      </c>
      <c r="H884">
        <v>10671257</v>
      </c>
    </row>
    <row r="885" spans="1:8" x14ac:dyDescent="0.3">
      <c r="A885" t="s">
        <v>524</v>
      </c>
      <c r="B885" t="s">
        <v>618</v>
      </c>
      <c r="C885">
        <v>2007</v>
      </c>
      <c r="D885">
        <v>3.6724999999999999</v>
      </c>
      <c r="E885" t="s">
        <v>1411</v>
      </c>
      <c r="F885">
        <v>115000</v>
      </c>
    </row>
    <row r="886" spans="1:8" x14ac:dyDescent="0.3">
      <c r="A886" t="s">
        <v>524</v>
      </c>
      <c r="B886" t="s">
        <v>618</v>
      </c>
      <c r="C886">
        <v>2008</v>
      </c>
      <c r="D886">
        <v>3.6724999999999999</v>
      </c>
      <c r="E886" t="s">
        <v>1411</v>
      </c>
      <c r="F886">
        <v>140000</v>
      </c>
    </row>
    <row r="887" spans="1:8" x14ac:dyDescent="0.3">
      <c r="A887" t="s">
        <v>524</v>
      </c>
      <c r="B887" t="s">
        <v>618</v>
      </c>
      <c r="C887">
        <v>2009</v>
      </c>
      <c r="D887">
        <v>3.6724999999999999</v>
      </c>
      <c r="E887" t="s">
        <v>1411</v>
      </c>
      <c r="F887">
        <v>259000</v>
      </c>
    </row>
    <row r="888" spans="1:8" x14ac:dyDescent="0.3">
      <c r="A888" t="s">
        <v>524</v>
      </c>
      <c r="B888" t="s">
        <v>618</v>
      </c>
      <c r="C888">
        <v>2010</v>
      </c>
      <c r="D888">
        <v>3.6724999999999999</v>
      </c>
      <c r="E888" t="s">
        <v>1411</v>
      </c>
      <c r="F888">
        <v>277000</v>
      </c>
    </row>
    <row r="889" spans="1:8" x14ac:dyDescent="0.3">
      <c r="A889" t="s">
        <v>524</v>
      </c>
      <c r="B889" t="s">
        <v>618</v>
      </c>
      <c r="C889">
        <v>2011</v>
      </c>
      <c r="D889">
        <v>3.6724999999999999</v>
      </c>
      <c r="E889" t="s">
        <v>1411</v>
      </c>
      <c r="F889">
        <v>417000</v>
      </c>
    </row>
    <row r="890" spans="1:8" x14ac:dyDescent="0.3">
      <c r="A890" t="s">
        <v>524</v>
      </c>
      <c r="B890" t="s">
        <v>618</v>
      </c>
      <c r="C890">
        <v>2012</v>
      </c>
      <c r="D890">
        <v>3.6724999999999999</v>
      </c>
      <c r="E890" t="s">
        <v>1411</v>
      </c>
      <c r="F890">
        <v>475000</v>
      </c>
    </row>
    <row r="891" spans="1:8" x14ac:dyDescent="0.3">
      <c r="A891" t="s">
        <v>524</v>
      </c>
      <c r="B891" t="s">
        <v>618</v>
      </c>
      <c r="C891">
        <v>2013</v>
      </c>
      <c r="D891">
        <v>3.6724999999999999</v>
      </c>
      <c r="E891" t="s">
        <v>1411</v>
      </c>
      <c r="F891">
        <v>487000</v>
      </c>
    </row>
    <row r="892" spans="1:8" x14ac:dyDescent="0.3">
      <c r="A892" t="s">
        <v>524</v>
      </c>
      <c r="B892" t="s">
        <v>618</v>
      </c>
      <c r="C892">
        <v>2014</v>
      </c>
      <c r="D892">
        <v>3.6724999999999999</v>
      </c>
      <c r="E892" t="s">
        <v>1411</v>
      </c>
      <c r="F892">
        <v>455000</v>
      </c>
    </row>
    <row r="893" spans="1:8" x14ac:dyDescent="0.3">
      <c r="A893" t="s">
        <v>524</v>
      </c>
      <c r="B893" t="s">
        <v>618</v>
      </c>
      <c r="C893">
        <v>2015</v>
      </c>
      <c r="D893">
        <v>3.6724999999999999</v>
      </c>
      <c r="E893" t="s">
        <v>1411</v>
      </c>
      <c r="F893">
        <v>470000</v>
      </c>
    </row>
    <row r="894" spans="1:8" x14ac:dyDescent="0.3">
      <c r="A894" t="s">
        <v>524</v>
      </c>
      <c r="B894" t="s">
        <v>618</v>
      </c>
      <c r="C894">
        <v>2016</v>
      </c>
      <c r="D894">
        <v>3.6724999999999999</v>
      </c>
      <c r="E894" t="s">
        <v>1411</v>
      </c>
      <c r="F894">
        <v>469000</v>
      </c>
    </row>
    <row r="895" spans="1:8" x14ac:dyDescent="0.3">
      <c r="A895" t="s">
        <v>524</v>
      </c>
      <c r="B895" t="s">
        <v>618</v>
      </c>
      <c r="C895">
        <v>2017</v>
      </c>
      <c r="D895">
        <v>3.6724999999999999</v>
      </c>
      <c r="E895" t="s">
        <v>1411</v>
      </c>
      <c r="F895">
        <v>469000</v>
      </c>
    </row>
    <row r="896" spans="1:8" x14ac:dyDescent="0.3">
      <c r="A896" t="s">
        <v>524</v>
      </c>
      <c r="B896" t="s">
        <v>618</v>
      </c>
      <c r="C896">
        <v>2018</v>
      </c>
      <c r="D896">
        <v>3.6724999999999999</v>
      </c>
      <c r="E896" t="s">
        <v>1411</v>
      </c>
      <c r="F896">
        <v>839000</v>
      </c>
    </row>
    <row r="897" spans="1:8" x14ac:dyDescent="0.3">
      <c r="A897" t="s">
        <v>524</v>
      </c>
      <c r="B897" t="s">
        <v>618</v>
      </c>
      <c r="C897">
        <v>2019</v>
      </c>
      <c r="D897">
        <v>3.6724999999999999</v>
      </c>
      <c r="E897" t="s">
        <v>1411</v>
      </c>
      <c r="F897">
        <v>853000</v>
      </c>
    </row>
    <row r="898" spans="1:8" x14ac:dyDescent="0.3">
      <c r="A898" t="s">
        <v>524</v>
      </c>
      <c r="B898" t="s">
        <v>618</v>
      </c>
      <c r="C898">
        <v>2020</v>
      </c>
      <c r="D898">
        <v>3.6724999999999999</v>
      </c>
      <c r="E898" t="s">
        <v>1411</v>
      </c>
      <c r="F898">
        <v>894000</v>
      </c>
    </row>
    <row r="899" spans="1:8" x14ac:dyDescent="0.3">
      <c r="A899" t="s">
        <v>524</v>
      </c>
      <c r="B899" t="s">
        <v>618</v>
      </c>
      <c r="C899">
        <v>2021</v>
      </c>
      <c r="D899">
        <v>3.6724999999999999</v>
      </c>
      <c r="E899" t="s">
        <v>1411</v>
      </c>
      <c r="F899">
        <v>1045000</v>
      </c>
    </row>
    <row r="900" spans="1:8" x14ac:dyDescent="0.3">
      <c r="A900" t="s">
        <v>524</v>
      </c>
      <c r="B900" t="s">
        <v>618</v>
      </c>
      <c r="C900">
        <v>2022</v>
      </c>
      <c r="D900">
        <v>3.6724999999999999</v>
      </c>
      <c r="E900" t="s">
        <v>1411</v>
      </c>
      <c r="F900">
        <v>1015000</v>
      </c>
    </row>
    <row r="901" spans="1:8" x14ac:dyDescent="0.3">
      <c r="A901" t="s">
        <v>524</v>
      </c>
      <c r="B901" t="s">
        <v>618</v>
      </c>
      <c r="C901">
        <v>2023</v>
      </c>
      <c r="D901">
        <v>3.6724999999999999</v>
      </c>
      <c r="E901" t="s">
        <v>1411</v>
      </c>
      <c r="F901">
        <v>1111000</v>
      </c>
    </row>
    <row r="902" spans="1:8" x14ac:dyDescent="0.3">
      <c r="A902" t="s">
        <v>524</v>
      </c>
      <c r="B902" t="s">
        <v>618</v>
      </c>
      <c r="C902">
        <v>2024</v>
      </c>
      <c r="D902">
        <v>3.6724999999999999</v>
      </c>
      <c r="E902" t="s">
        <v>1411</v>
      </c>
      <c r="F902">
        <v>1212000</v>
      </c>
    </row>
    <row r="903" spans="1:8" x14ac:dyDescent="0.3">
      <c r="A903" t="s">
        <v>524</v>
      </c>
      <c r="B903" t="s">
        <v>618</v>
      </c>
      <c r="C903">
        <v>2011</v>
      </c>
      <c r="D903">
        <v>3.6724999999999999</v>
      </c>
      <c r="E903" t="s">
        <v>1411</v>
      </c>
      <c r="F903">
        <v>127287.726</v>
      </c>
      <c r="G903">
        <v>467912.78600000002</v>
      </c>
      <c r="H903">
        <v>340625.06</v>
      </c>
    </row>
    <row r="904" spans="1:8" x14ac:dyDescent="0.3">
      <c r="A904" t="s">
        <v>524</v>
      </c>
      <c r="B904" t="s">
        <v>618</v>
      </c>
      <c r="C904">
        <v>2012</v>
      </c>
      <c r="D904">
        <v>3.6724999999999999</v>
      </c>
      <c r="E904" t="s">
        <v>1411</v>
      </c>
      <c r="F904">
        <v>141844.147</v>
      </c>
      <c r="G904">
        <v>537996.51300000004</v>
      </c>
      <c r="H904">
        <v>396152.36599999998</v>
      </c>
    </row>
    <row r="905" spans="1:8" x14ac:dyDescent="0.3">
      <c r="A905" t="s">
        <v>524</v>
      </c>
      <c r="B905" t="s">
        <v>618</v>
      </c>
      <c r="C905">
        <v>2013</v>
      </c>
      <c r="D905">
        <v>3.6724999999999999</v>
      </c>
      <c r="E905" t="s">
        <v>1411</v>
      </c>
      <c r="F905">
        <v>162023.46299999999</v>
      </c>
      <c r="G905">
        <v>608323.04799999995</v>
      </c>
      <c r="H905">
        <v>446299.58500000002</v>
      </c>
    </row>
    <row r="906" spans="1:8" x14ac:dyDescent="0.3">
      <c r="A906" t="s">
        <v>524</v>
      </c>
      <c r="B906" t="s">
        <v>618</v>
      </c>
      <c r="C906">
        <v>2014</v>
      </c>
      <c r="D906">
        <v>3.6724999999999999</v>
      </c>
      <c r="E906" t="s">
        <v>1411</v>
      </c>
      <c r="F906">
        <v>190026.04699999999</v>
      </c>
      <c r="G906">
        <v>672278.66399999999</v>
      </c>
      <c r="H906">
        <v>482252.61700000003</v>
      </c>
    </row>
    <row r="907" spans="1:8" x14ac:dyDescent="0.3">
      <c r="A907" t="s">
        <v>524</v>
      </c>
      <c r="B907" t="s">
        <v>618</v>
      </c>
      <c r="C907">
        <v>2015</v>
      </c>
      <c r="D907">
        <v>3.6724999999999999</v>
      </c>
      <c r="E907" t="s">
        <v>1411</v>
      </c>
      <c r="F907">
        <v>196270.155</v>
      </c>
      <c r="G907">
        <v>720088.88300000003</v>
      </c>
      <c r="H907">
        <v>523818.728</v>
      </c>
    </row>
    <row r="908" spans="1:8" x14ac:dyDescent="0.3">
      <c r="A908" t="s">
        <v>524</v>
      </c>
      <c r="B908" t="s">
        <v>618</v>
      </c>
      <c r="C908">
        <v>2016</v>
      </c>
      <c r="D908">
        <v>3.6724999999999999</v>
      </c>
      <c r="E908" t="s">
        <v>1411</v>
      </c>
      <c r="F908">
        <v>209380.04199999999</v>
      </c>
      <c r="G908">
        <v>769890.65399999998</v>
      </c>
      <c r="H908">
        <v>560510.61199999996</v>
      </c>
    </row>
    <row r="909" spans="1:8" x14ac:dyDescent="0.3">
      <c r="A909" t="s">
        <v>524</v>
      </c>
      <c r="B909" t="s">
        <v>618</v>
      </c>
      <c r="C909">
        <v>2017</v>
      </c>
      <c r="D909">
        <v>3.6724999999999999</v>
      </c>
      <c r="E909" t="s">
        <v>1411</v>
      </c>
      <c r="F909">
        <v>227472.07199999999</v>
      </c>
      <c r="G909">
        <v>844293.902</v>
      </c>
      <c r="H909">
        <v>616821.82999999996</v>
      </c>
    </row>
    <row r="910" spans="1:8" x14ac:dyDescent="0.3">
      <c r="A910" t="s">
        <v>524</v>
      </c>
      <c r="B910" t="s">
        <v>618</v>
      </c>
      <c r="C910">
        <v>2018</v>
      </c>
      <c r="D910">
        <v>3.6724999999999999</v>
      </c>
      <c r="E910" t="s">
        <v>1411</v>
      </c>
      <c r="F910">
        <v>237767.51699999999</v>
      </c>
      <c r="G910">
        <v>879227.31700000004</v>
      </c>
      <c r="H910">
        <v>641459.80000000005</v>
      </c>
    </row>
    <row r="911" spans="1:8" x14ac:dyDescent="0.3">
      <c r="A911" t="s">
        <v>524</v>
      </c>
      <c r="B911" t="s">
        <v>618</v>
      </c>
      <c r="C911">
        <v>2019</v>
      </c>
      <c r="D911">
        <v>3.6724999999999999</v>
      </c>
      <c r="E911" t="s">
        <v>1411</v>
      </c>
      <c r="F911">
        <v>251572.70300000001</v>
      </c>
      <c r="G911">
        <v>1121316.55</v>
      </c>
      <c r="H911">
        <v>869743.84699999995</v>
      </c>
    </row>
    <row r="912" spans="1:8" x14ac:dyDescent="0.3">
      <c r="A912" t="s">
        <v>524</v>
      </c>
      <c r="B912" t="s">
        <v>618</v>
      </c>
      <c r="C912">
        <v>2020</v>
      </c>
      <c r="D912">
        <v>3.6724999999999999</v>
      </c>
      <c r="E912" t="s">
        <v>1411</v>
      </c>
      <c r="F912">
        <v>241258.89300000001</v>
      </c>
      <c r="G912">
        <v>1110600.7439999999</v>
      </c>
      <c r="H912">
        <v>869341.85100000002</v>
      </c>
    </row>
    <row r="913" spans="1:8" x14ac:dyDescent="0.3">
      <c r="A913" t="s">
        <v>524</v>
      </c>
      <c r="B913" t="s">
        <v>618</v>
      </c>
      <c r="C913">
        <v>2021</v>
      </c>
      <c r="D913">
        <v>3.6724999999999999</v>
      </c>
      <c r="E913" t="s">
        <v>1411</v>
      </c>
      <c r="F913">
        <v>238382.24100000001</v>
      </c>
      <c r="G913">
        <v>1101077.973</v>
      </c>
      <c r="H913">
        <v>862695.73199999996</v>
      </c>
    </row>
    <row r="914" spans="1:8" x14ac:dyDescent="0.3">
      <c r="A914" t="s">
        <v>524</v>
      </c>
      <c r="B914" t="s">
        <v>618</v>
      </c>
      <c r="C914">
        <v>2022</v>
      </c>
      <c r="D914">
        <v>3.6724999999999999</v>
      </c>
      <c r="E914" t="s">
        <v>1411</v>
      </c>
      <c r="F914">
        <v>268717.50599999999</v>
      </c>
      <c r="G914">
        <v>1176836.4169999999</v>
      </c>
      <c r="H914">
        <v>908118.91099999996</v>
      </c>
    </row>
    <row r="915" spans="1:8" x14ac:dyDescent="0.3">
      <c r="A915" t="s">
        <v>524</v>
      </c>
      <c r="B915" t="s">
        <v>618</v>
      </c>
      <c r="C915">
        <v>2023</v>
      </c>
      <c r="D915">
        <v>3.6724999999999999</v>
      </c>
      <c r="E915" t="s">
        <v>1411</v>
      </c>
      <c r="F915">
        <v>310742.33100000001</v>
      </c>
      <c r="G915">
        <v>1322092.3810000001</v>
      </c>
      <c r="H915">
        <v>1011350.05</v>
      </c>
    </row>
    <row r="916" spans="1:8" x14ac:dyDescent="0.3">
      <c r="A916" t="s">
        <v>524</v>
      </c>
      <c r="B916" t="s">
        <v>618</v>
      </c>
      <c r="C916">
        <v>2024</v>
      </c>
      <c r="D916">
        <v>3.6724999999999999</v>
      </c>
      <c r="E916" t="s">
        <v>1411</v>
      </c>
      <c r="F916">
        <v>360560</v>
      </c>
      <c r="G916">
        <v>1468169</v>
      </c>
      <c r="H916">
        <v>1107609</v>
      </c>
    </row>
    <row r="917" spans="1:8" x14ac:dyDescent="0.3">
      <c r="A917" t="s">
        <v>552</v>
      </c>
      <c r="B917" t="s">
        <v>619</v>
      </c>
      <c r="C917">
        <v>2017</v>
      </c>
      <c r="D917">
        <v>5113.8789999999999</v>
      </c>
      <c r="E917" t="s">
        <v>1412</v>
      </c>
      <c r="F917">
        <v>161205925.255</v>
      </c>
      <c r="G917">
        <v>202534748.84099999</v>
      </c>
      <c r="H917">
        <v>41328859.586000003</v>
      </c>
    </row>
    <row r="918" spans="1:8" x14ac:dyDescent="0.3">
      <c r="A918" t="s">
        <v>552</v>
      </c>
      <c r="B918" t="s">
        <v>619</v>
      </c>
      <c r="C918">
        <v>2018</v>
      </c>
      <c r="D918">
        <v>8069.6059999999998</v>
      </c>
      <c r="E918" t="s">
        <v>1412</v>
      </c>
      <c r="F918">
        <v>169272656.26199999</v>
      </c>
      <c r="G918">
        <v>209542358.035</v>
      </c>
      <c r="H918">
        <v>40269701.773000002</v>
      </c>
    </row>
    <row r="919" spans="1:8" x14ac:dyDescent="0.3">
      <c r="A919" t="s">
        <v>552</v>
      </c>
      <c r="B919" t="s">
        <v>619</v>
      </c>
      <c r="C919">
        <v>2019</v>
      </c>
      <c r="D919">
        <v>8836.7870000000003</v>
      </c>
      <c r="E919" t="s">
        <v>1412</v>
      </c>
      <c r="F919">
        <v>204133238.41499999</v>
      </c>
      <c r="G919">
        <v>242170824.85800001</v>
      </c>
      <c r="H919">
        <v>38037586.443000004</v>
      </c>
    </row>
    <row r="920" spans="1:8" x14ac:dyDescent="0.3">
      <c r="A920" t="s">
        <v>552</v>
      </c>
      <c r="B920" t="s">
        <v>619</v>
      </c>
      <c r="C920">
        <v>2020</v>
      </c>
      <c r="D920">
        <v>10054.26</v>
      </c>
      <c r="E920" t="s">
        <v>1412</v>
      </c>
      <c r="F920">
        <v>210415175.535</v>
      </c>
      <c r="G920">
        <v>248452602.71799999</v>
      </c>
      <c r="H920">
        <v>38037427.182999998</v>
      </c>
    </row>
    <row r="921" spans="1:8" x14ac:dyDescent="0.3">
      <c r="A921" t="s">
        <v>552</v>
      </c>
      <c r="B921" t="s">
        <v>619</v>
      </c>
      <c r="C921">
        <v>2021</v>
      </c>
      <c r="D921">
        <v>10609.46</v>
      </c>
      <c r="E921" t="s">
        <v>1412</v>
      </c>
      <c r="F921">
        <v>212624820.05700001</v>
      </c>
      <c r="G921">
        <v>250663213.15200001</v>
      </c>
      <c r="H921">
        <v>38038393.094999999</v>
      </c>
    </row>
    <row r="922" spans="1:8" x14ac:dyDescent="0.3">
      <c r="A922" t="s">
        <v>552</v>
      </c>
      <c r="B922" t="s">
        <v>619</v>
      </c>
      <c r="C922">
        <v>2022</v>
      </c>
      <c r="D922">
        <v>11050.15</v>
      </c>
      <c r="E922" t="s">
        <v>1412</v>
      </c>
      <c r="F922">
        <v>217505974.94100001</v>
      </c>
      <c r="G922">
        <v>255543833.25999999</v>
      </c>
      <c r="H922">
        <v>38037858.318999998</v>
      </c>
    </row>
    <row r="923" spans="1:8" x14ac:dyDescent="0.3">
      <c r="A923" t="s">
        <v>552</v>
      </c>
      <c r="B923" t="s">
        <v>619</v>
      </c>
      <c r="C923">
        <v>2023</v>
      </c>
      <c r="D923">
        <v>11734.83</v>
      </c>
      <c r="E923" t="s">
        <v>1412</v>
      </c>
      <c r="F923">
        <v>246956779.75799999</v>
      </c>
      <c r="G923">
        <v>284994270.713</v>
      </c>
      <c r="H923">
        <v>38037490.954999998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62B84-BA64-49D6-BC1C-0B8EFE9E5F4F}">
  <sheetPr>
    <tabColor theme="0"/>
  </sheetPr>
  <dimension ref="A1:I922"/>
  <sheetViews>
    <sheetView zoomScale="55" zoomScaleNormal="55" workbookViewId="0">
      <selection activeCell="A2" sqref="A2"/>
    </sheetView>
  </sheetViews>
  <sheetFormatPr baseColWidth="10" defaultColWidth="11.44140625" defaultRowHeight="15" customHeight="1" x14ac:dyDescent="0.3"/>
  <cols>
    <col min="3" max="3" width="49" customWidth="1"/>
    <col min="5" max="5" width="56.44140625" customWidth="1"/>
    <col min="6" max="6" width="46.77734375" customWidth="1"/>
    <col min="7" max="7" width="94.33203125" customWidth="1"/>
    <col min="8" max="8" width="62.6640625" customWidth="1"/>
    <col min="9" max="9" width="25.44140625" style="25" customWidth="1"/>
  </cols>
  <sheetData>
    <row r="1" spans="1:9" s="18" customFormat="1" ht="31.95" customHeight="1" x14ac:dyDescent="0.3">
      <c r="A1" s="18" t="s">
        <v>39</v>
      </c>
      <c r="B1" s="18" t="s">
        <v>568</v>
      </c>
      <c r="C1" s="18" t="s">
        <v>13</v>
      </c>
      <c r="D1" s="18" t="s">
        <v>26</v>
      </c>
      <c r="E1" s="18" t="s">
        <v>620</v>
      </c>
      <c r="F1" s="18" t="s">
        <v>621</v>
      </c>
      <c r="G1" s="18" t="s">
        <v>622</v>
      </c>
      <c r="H1" s="45" t="s">
        <v>623</v>
      </c>
      <c r="I1" s="45" t="s">
        <v>624</v>
      </c>
    </row>
    <row r="2" spans="1:9" ht="14.4" x14ac:dyDescent="0.3">
      <c r="A2" t="s">
        <v>60</v>
      </c>
      <c r="B2" t="s">
        <v>572</v>
      </c>
      <c r="C2" t="s">
        <v>59</v>
      </c>
      <c r="D2">
        <v>2000</v>
      </c>
      <c r="E2" t="s">
        <v>625</v>
      </c>
      <c r="F2" s="1" t="s">
        <v>626</v>
      </c>
      <c r="G2" t="s">
        <v>627</v>
      </c>
      <c r="I2" s="20" t="s">
        <v>628</v>
      </c>
    </row>
    <row r="3" spans="1:9" ht="14.4" x14ac:dyDescent="0.3">
      <c r="A3" t="s">
        <v>60</v>
      </c>
      <c r="B3" t="s">
        <v>572</v>
      </c>
      <c r="C3" t="s">
        <v>59</v>
      </c>
      <c r="D3">
        <v>2001</v>
      </c>
      <c r="E3" t="s">
        <v>625</v>
      </c>
      <c r="F3" t="s">
        <v>626</v>
      </c>
      <c r="G3" t="s">
        <v>627</v>
      </c>
      <c r="I3" s="20" t="s">
        <v>628</v>
      </c>
    </row>
    <row r="4" spans="1:9" ht="14.4" x14ac:dyDescent="0.3">
      <c r="A4" t="s">
        <v>60</v>
      </c>
      <c r="B4" t="s">
        <v>572</v>
      </c>
      <c r="C4" t="s">
        <v>59</v>
      </c>
      <c r="D4">
        <v>2002</v>
      </c>
      <c r="E4" t="s">
        <v>625</v>
      </c>
      <c r="F4" t="s">
        <v>626</v>
      </c>
      <c r="G4" t="s">
        <v>627</v>
      </c>
      <c r="I4" s="20" t="s">
        <v>628</v>
      </c>
    </row>
    <row r="5" spans="1:9" ht="14.4" x14ac:dyDescent="0.3">
      <c r="A5" t="s">
        <v>60</v>
      </c>
      <c r="B5" t="s">
        <v>572</v>
      </c>
      <c r="C5" t="s">
        <v>59</v>
      </c>
      <c r="D5">
        <v>2003</v>
      </c>
      <c r="E5" t="s">
        <v>625</v>
      </c>
      <c r="F5" t="s">
        <v>626</v>
      </c>
      <c r="G5" t="s">
        <v>627</v>
      </c>
      <c r="I5" s="20" t="s">
        <v>628</v>
      </c>
    </row>
    <row r="6" spans="1:9" ht="14.4" x14ac:dyDescent="0.3">
      <c r="A6" t="s">
        <v>60</v>
      </c>
      <c r="B6" t="s">
        <v>572</v>
      </c>
      <c r="C6" t="s">
        <v>59</v>
      </c>
      <c r="D6">
        <v>2004</v>
      </c>
      <c r="E6" t="s">
        <v>625</v>
      </c>
      <c r="F6" t="s">
        <v>626</v>
      </c>
      <c r="G6" t="s">
        <v>627</v>
      </c>
      <c r="I6" s="20" t="s">
        <v>628</v>
      </c>
    </row>
    <row r="7" spans="1:9" ht="14.4" x14ac:dyDescent="0.3">
      <c r="A7" t="s">
        <v>60</v>
      </c>
      <c r="B7" t="s">
        <v>572</v>
      </c>
      <c r="C7" t="s">
        <v>59</v>
      </c>
      <c r="D7">
        <v>2005</v>
      </c>
      <c r="E7" t="s">
        <v>625</v>
      </c>
      <c r="F7" t="s">
        <v>626</v>
      </c>
      <c r="G7" t="s">
        <v>627</v>
      </c>
      <c r="I7" s="20" t="s">
        <v>628</v>
      </c>
    </row>
    <row r="8" spans="1:9" ht="14.4" x14ac:dyDescent="0.3">
      <c r="A8" t="s">
        <v>60</v>
      </c>
      <c r="B8" t="s">
        <v>572</v>
      </c>
      <c r="C8" t="s">
        <v>59</v>
      </c>
      <c r="D8">
        <v>2006</v>
      </c>
      <c r="E8" t="s">
        <v>625</v>
      </c>
      <c r="F8" t="s">
        <v>626</v>
      </c>
      <c r="G8" t="s">
        <v>627</v>
      </c>
      <c r="I8" s="20" t="s">
        <v>628</v>
      </c>
    </row>
    <row r="9" spans="1:9" ht="14.4" x14ac:dyDescent="0.3">
      <c r="A9" t="s">
        <v>60</v>
      </c>
      <c r="B9" t="s">
        <v>572</v>
      </c>
      <c r="C9" t="s">
        <v>59</v>
      </c>
      <c r="D9">
        <v>2007</v>
      </c>
      <c r="E9" t="s">
        <v>625</v>
      </c>
      <c r="F9" t="s">
        <v>626</v>
      </c>
      <c r="G9" t="s">
        <v>627</v>
      </c>
      <c r="I9" s="20" t="s">
        <v>628</v>
      </c>
    </row>
    <row r="10" spans="1:9" ht="14.4" x14ac:dyDescent="0.3">
      <c r="A10" t="s">
        <v>60</v>
      </c>
      <c r="B10" t="s">
        <v>572</v>
      </c>
      <c r="C10" t="s">
        <v>59</v>
      </c>
      <c r="D10">
        <v>2008</v>
      </c>
      <c r="E10" t="s">
        <v>625</v>
      </c>
      <c r="F10" t="s">
        <v>626</v>
      </c>
      <c r="G10" t="s">
        <v>627</v>
      </c>
      <c r="I10" s="20" t="s">
        <v>628</v>
      </c>
    </row>
    <row r="11" spans="1:9" ht="14.4" x14ac:dyDescent="0.3">
      <c r="A11" t="s">
        <v>60</v>
      </c>
      <c r="B11" t="s">
        <v>572</v>
      </c>
      <c r="C11" t="s">
        <v>59</v>
      </c>
      <c r="D11">
        <v>2009</v>
      </c>
      <c r="E11" t="s">
        <v>625</v>
      </c>
      <c r="F11" t="s">
        <v>626</v>
      </c>
      <c r="G11" t="s">
        <v>627</v>
      </c>
      <c r="I11" s="20" t="s">
        <v>628</v>
      </c>
    </row>
    <row r="12" spans="1:9" ht="14.4" x14ac:dyDescent="0.3">
      <c r="A12" t="s">
        <v>60</v>
      </c>
      <c r="B12" t="s">
        <v>572</v>
      </c>
      <c r="C12" t="s">
        <v>59</v>
      </c>
      <c r="D12">
        <v>2010</v>
      </c>
      <c r="E12" t="s">
        <v>625</v>
      </c>
      <c r="F12" t="s">
        <v>626</v>
      </c>
      <c r="G12" t="s">
        <v>627</v>
      </c>
      <c r="I12" s="20" t="s">
        <v>628</v>
      </c>
    </row>
    <row r="13" spans="1:9" ht="14.4" x14ac:dyDescent="0.3">
      <c r="A13" t="s">
        <v>60</v>
      </c>
      <c r="B13" t="s">
        <v>572</v>
      </c>
      <c r="C13" t="s">
        <v>59</v>
      </c>
      <c r="D13">
        <v>2011</v>
      </c>
      <c r="E13" t="s">
        <v>625</v>
      </c>
      <c r="F13" t="s">
        <v>626</v>
      </c>
      <c r="G13" t="s">
        <v>627</v>
      </c>
      <c r="I13" s="20" t="s">
        <v>628</v>
      </c>
    </row>
    <row r="14" spans="1:9" ht="14.4" x14ac:dyDescent="0.3">
      <c r="A14" t="s">
        <v>60</v>
      </c>
      <c r="B14" t="s">
        <v>572</v>
      </c>
      <c r="C14" t="s">
        <v>59</v>
      </c>
      <c r="D14">
        <v>2012</v>
      </c>
      <c r="E14" t="s">
        <v>625</v>
      </c>
      <c r="F14" t="s">
        <v>626</v>
      </c>
      <c r="G14" t="s">
        <v>627</v>
      </c>
      <c r="I14" s="20" t="s">
        <v>628</v>
      </c>
    </row>
    <row r="15" spans="1:9" ht="14.4" x14ac:dyDescent="0.3">
      <c r="A15" t="s">
        <v>60</v>
      </c>
      <c r="B15" t="s">
        <v>572</v>
      </c>
      <c r="C15" t="s">
        <v>59</v>
      </c>
      <c r="D15">
        <v>2013</v>
      </c>
      <c r="E15" t="s">
        <v>625</v>
      </c>
      <c r="F15" t="s">
        <v>626</v>
      </c>
      <c r="G15" t="s">
        <v>627</v>
      </c>
      <c r="I15" s="20" t="s">
        <v>628</v>
      </c>
    </row>
    <row r="16" spans="1:9" ht="14.4" x14ac:dyDescent="0.3">
      <c r="A16" t="s">
        <v>60</v>
      </c>
      <c r="B16" t="s">
        <v>572</v>
      </c>
      <c r="C16" t="s">
        <v>59</v>
      </c>
      <c r="D16">
        <v>2014</v>
      </c>
      <c r="E16" t="s">
        <v>625</v>
      </c>
      <c r="F16" t="s">
        <v>626</v>
      </c>
      <c r="G16" t="s">
        <v>627</v>
      </c>
      <c r="I16" s="20" t="s">
        <v>628</v>
      </c>
    </row>
    <row r="17" spans="1:9" ht="14.4" x14ac:dyDescent="0.3">
      <c r="A17" t="s">
        <v>60</v>
      </c>
      <c r="B17" t="s">
        <v>572</v>
      </c>
      <c r="C17" t="s">
        <v>59</v>
      </c>
      <c r="D17">
        <v>2015</v>
      </c>
      <c r="E17" t="s">
        <v>625</v>
      </c>
      <c r="F17" t="s">
        <v>626</v>
      </c>
      <c r="G17" t="s">
        <v>627</v>
      </c>
      <c r="I17" s="20" t="s">
        <v>628</v>
      </c>
    </row>
    <row r="18" spans="1:9" ht="14.4" x14ac:dyDescent="0.3">
      <c r="A18" t="s">
        <v>60</v>
      </c>
      <c r="B18" t="s">
        <v>572</v>
      </c>
      <c r="C18" t="s">
        <v>59</v>
      </c>
      <c r="D18">
        <v>2016</v>
      </c>
      <c r="E18" t="s">
        <v>625</v>
      </c>
      <c r="F18" t="s">
        <v>626</v>
      </c>
      <c r="G18" t="s">
        <v>627</v>
      </c>
      <c r="I18" s="20" t="s">
        <v>628</v>
      </c>
    </row>
    <row r="19" spans="1:9" ht="14.4" x14ac:dyDescent="0.3">
      <c r="A19" t="s">
        <v>60</v>
      </c>
      <c r="B19" t="s">
        <v>572</v>
      </c>
      <c r="C19" t="s">
        <v>59</v>
      </c>
      <c r="D19">
        <v>2017</v>
      </c>
      <c r="E19" t="s">
        <v>625</v>
      </c>
      <c r="F19" t="s">
        <v>626</v>
      </c>
      <c r="G19" t="s">
        <v>627</v>
      </c>
      <c r="I19" s="20" t="s">
        <v>628</v>
      </c>
    </row>
    <row r="20" spans="1:9" ht="14.4" x14ac:dyDescent="0.3">
      <c r="A20" t="s">
        <v>60</v>
      </c>
      <c r="B20" t="s">
        <v>572</v>
      </c>
      <c r="C20" t="s">
        <v>59</v>
      </c>
      <c r="D20">
        <v>2018</v>
      </c>
      <c r="E20" t="s">
        <v>625</v>
      </c>
      <c r="F20" t="s">
        <v>626</v>
      </c>
      <c r="G20" t="s">
        <v>627</v>
      </c>
      <c r="I20" s="20" t="s">
        <v>628</v>
      </c>
    </row>
    <row r="21" spans="1:9" ht="14.4" x14ac:dyDescent="0.3">
      <c r="A21" t="s">
        <v>60</v>
      </c>
      <c r="B21" t="s">
        <v>572</v>
      </c>
      <c r="C21" t="s">
        <v>59</v>
      </c>
      <c r="D21">
        <v>2019</v>
      </c>
      <c r="E21" t="s">
        <v>625</v>
      </c>
      <c r="F21" t="s">
        <v>626</v>
      </c>
      <c r="G21" t="s">
        <v>627</v>
      </c>
      <c r="I21" s="20" t="s">
        <v>628</v>
      </c>
    </row>
    <row r="22" spans="1:9" ht="14.4" x14ac:dyDescent="0.3">
      <c r="A22" t="s">
        <v>60</v>
      </c>
      <c r="B22" t="s">
        <v>572</v>
      </c>
      <c r="C22" t="s">
        <v>59</v>
      </c>
      <c r="D22">
        <v>2020</v>
      </c>
      <c r="E22" t="s">
        <v>625</v>
      </c>
      <c r="F22" t="s">
        <v>626</v>
      </c>
      <c r="G22" t="s">
        <v>627</v>
      </c>
      <c r="I22" s="20" t="s">
        <v>628</v>
      </c>
    </row>
    <row r="23" spans="1:9" ht="14.4" x14ac:dyDescent="0.3">
      <c r="A23" t="s">
        <v>60</v>
      </c>
      <c r="B23" t="s">
        <v>572</v>
      </c>
      <c r="C23" t="s">
        <v>59</v>
      </c>
      <c r="D23">
        <v>2021</v>
      </c>
      <c r="E23" t="s">
        <v>625</v>
      </c>
      <c r="F23" t="s">
        <v>626</v>
      </c>
      <c r="G23" t="s">
        <v>627</v>
      </c>
      <c r="I23" s="20" t="s">
        <v>628</v>
      </c>
    </row>
    <row r="24" spans="1:9" ht="14.4" x14ac:dyDescent="0.3">
      <c r="A24" t="s">
        <v>60</v>
      </c>
      <c r="B24" t="s">
        <v>572</v>
      </c>
      <c r="C24" t="s">
        <v>59</v>
      </c>
      <c r="D24">
        <v>2022</v>
      </c>
      <c r="E24" t="s">
        <v>625</v>
      </c>
      <c r="F24" t="s">
        <v>626</v>
      </c>
      <c r="G24" t="s">
        <v>627</v>
      </c>
      <c r="I24" s="20" t="s">
        <v>628</v>
      </c>
    </row>
    <row r="25" spans="1:9" ht="14.4" x14ac:dyDescent="0.3">
      <c r="A25" t="s">
        <v>60</v>
      </c>
      <c r="B25" t="s">
        <v>572</v>
      </c>
      <c r="C25" t="s">
        <v>59</v>
      </c>
      <c r="D25">
        <v>2023</v>
      </c>
      <c r="E25" t="s">
        <v>625</v>
      </c>
      <c r="F25" s="8" t="s">
        <v>626</v>
      </c>
      <c r="G25" t="s">
        <v>627</v>
      </c>
      <c r="I25" s="20" t="s">
        <v>628</v>
      </c>
    </row>
    <row r="26" spans="1:9" ht="14.4" x14ac:dyDescent="0.3">
      <c r="A26" t="s">
        <v>66</v>
      </c>
      <c r="B26" t="s">
        <v>574</v>
      </c>
      <c r="C26" t="s">
        <v>65</v>
      </c>
      <c r="D26">
        <v>2012</v>
      </c>
      <c r="E26" s="6" t="s">
        <v>65</v>
      </c>
      <c r="F26" s="8" t="s">
        <v>629</v>
      </c>
      <c r="G26" s="8" t="s">
        <v>630</v>
      </c>
      <c r="I26" s="20" t="s">
        <v>628</v>
      </c>
    </row>
    <row r="27" spans="1:9" ht="14.4" x14ac:dyDescent="0.3">
      <c r="A27" t="s">
        <v>66</v>
      </c>
      <c r="B27" t="s">
        <v>574</v>
      </c>
      <c r="C27" t="s">
        <v>65</v>
      </c>
      <c r="D27">
        <v>2013</v>
      </c>
      <c r="E27" s="6" t="s">
        <v>65</v>
      </c>
      <c r="F27" s="8" t="s">
        <v>629</v>
      </c>
      <c r="G27" s="8" t="s">
        <v>631</v>
      </c>
      <c r="H27" t="s">
        <v>632</v>
      </c>
      <c r="I27" s="20" t="s">
        <v>628</v>
      </c>
    </row>
    <row r="28" spans="1:9" ht="14.4" x14ac:dyDescent="0.3">
      <c r="A28" t="s">
        <v>66</v>
      </c>
      <c r="B28" t="s">
        <v>574</v>
      </c>
      <c r="C28" t="s">
        <v>65</v>
      </c>
      <c r="D28">
        <v>2014</v>
      </c>
      <c r="E28" s="6" t="s">
        <v>65</v>
      </c>
      <c r="F28" s="8" t="s">
        <v>629</v>
      </c>
      <c r="G28" s="8" t="s">
        <v>633</v>
      </c>
      <c r="H28" t="s">
        <v>632</v>
      </c>
      <c r="I28" s="20" t="s">
        <v>628</v>
      </c>
    </row>
    <row r="29" spans="1:9" ht="14.4" x14ac:dyDescent="0.3">
      <c r="A29" t="s">
        <v>66</v>
      </c>
      <c r="B29" t="s">
        <v>574</v>
      </c>
      <c r="C29" t="s">
        <v>65</v>
      </c>
      <c r="D29">
        <v>2015</v>
      </c>
      <c r="E29" s="6" t="s">
        <v>65</v>
      </c>
      <c r="F29" s="8" t="s">
        <v>629</v>
      </c>
      <c r="G29" s="8" t="s">
        <v>633</v>
      </c>
      <c r="I29" s="20" t="s">
        <v>628</v>
      </c>
    </row>
    <row r="30" spans="1:9" ht="14.4" x14ac:dyDescent="0.3">
      <c r="A30" t="s">
        <v>66</v>
      </c>
      <c r="B30" t="s">
        <v>574</v>
      </c>
      <c r="C30" t="s">
        <v>65</v>
      </c>
      <c r="D30">
        <v>2016</v>
      </c>
      <c r="E30" s="6" t="s">
        <v>65</v>
      </c>
      <c r="F30" s="8" t="s">
        <v>629</v>
      </c>
      <c r="G30" s="8" t="s">
        <v>633</v>
      </c>
      <c r="I30" s="20" t="s">
        <v>628</v>
      </c>
    </row>
    <row r="31" spans="1:9" ht="14.4" x14ac:dyDescent="0.3">
      <c r="A31" t="s">
        <v>66</v>
      </c>
      <c r="B31" t="s">
        <v>574</v>
      </c>
      <c r="C31" t="s">
        <v>65</v>
      </c>
      <c r="D31">
        <v>2017</v>
      </c>
      <c r="E31" s="6" t="s">
        <v>65</v>
      </c>
      <c r="F31" s="8" t="s">
        <v>629</v>
      </c>
      <c r="G31" s="8" t="s">
        <v>634</v>
      </c>
      <c r="I31" s="20" t="s">
        <v>628</v>
      </c>
    </row>
    <row r="32" spans="1:9" ht="14.4" x14ac:dyDescent="0.3">
      <c r="A32" t="s">
        <v>66</v>
      </c>
      <c r="B32" t="s">
        <v>574</v>
      </c>
      <c r="C32" t="s">
        <v>65</v>
      </c>
      <c r="D32">
        <v>2018</v>
      </c>
      <c r="E32" s="6" t="s">
        <v>65</v>
      </c>
      <c r="F32" s="8" t="s">
        <v>629</v>
      </c>
      <c r="G32" s="8" t="s">
        <v>635</v>
      </c>
      <c r="I32" s="20" t="s">
        <v>628</v>
      </c>
    </row>
    <row r="33" spans="1:9" ht="14.4" x14ac:dyDescent="0.3">
      <c r="A33" t="s">
        <v>66</v>
      </c>
      <c r="B33" t="s">
        <v>574</v>
      </c>
      <c r="C33" t="s">
        <v>65</v>
      </c>
      <c r="D33">
        <v>2019</v>
      </c>
      <c r="E33" s="6" t="s">
        <v>65</v>
      </c>
      <c r="F33" s="8" t="s">
        <v>629</v>
      </c>
      <c r="G33" s="8" t="s">
        <v>636</v>
      </c>
      <c r="I33" s="20" t="s">
        <v>628</v>
      </c>
    </row>
    <row r="34" spans="1:9" ht="14.4" x14ac:dyDescent="0.3">
      <c r="A34" t="s">
        <v>66</v>
      </c>
      <c r="B34" t="s">
        <v>574</v>
      </c>
      <c r="C34" t="s">
        <v>65</v>
      </c>
      <c r="D34">
        <v>2020</v>
      </c>
      <c r="E34" s="6" t="s">
        <v>65</v>
      </c>
      <c r="F34" s="8" t="s">
        <v>629</v>
      </c>
      <c r="G34" s="8" t="s">
        <v>637</v>
      </c>
      <c r="I34" s="20" t="s">
        <v>628</v>
      </c>
    </row>
    <row r="35" spans="1:9" ht="14.4" x14ac:dyDescent="0.3">
      <c r="A35" t="s">
        <v>66</v>
      </c>
      <c r="B35" t="s">
        <v>574</v>
      </c>
      <c r="C35" t="s">
        <v>65</v>
      </c>
      <c r="D35">
        <v>2021</v>
      </c>
      <c r="E35" s="6" t="s">
        <v>65</v>
      </c>
      <c r="F35" s="8" t="s">
        <v>629</v>
      </c>
      <c r="G35" s="8" t="s">
        <v>638</v>
      </c>
      <c r="I35" s="20" t="s">
        <v>628</v>
      </c>
    </row>
    <row r="36" spans="1:9" ht="14.4" x14ac:dyDescent="0.3">
      <c r="A36" t="s">
        <v>66</v>
      </c>
      <c r="B36" t="s">
        <v>574</v>
      </c>
      <c r="C36" t="s">
        <v>65</v>
      </c>
      <c r="D36">
        <v>2022</v>
      </c>
      <c r="E36" s="6" t="s">
        <v>65</v>
      </c>
      <c r="F36" s="8" t="s">
        <v>629</v>
      </c>
      <c r="G36" s="8" t="s">
        <v>639</v>
      </c>
      <c r="H36" t="s">
        <v>632</v>
      </c>
      <c r="I36" s="20" t="s">
        <v>628</v>
      </c>
    </row>
    <row r="37" spans="1:9" ht="14.4" x14ac:dyDescent="0.3">
      <c r="A37" t="s">
        <v>66</v>
      </c>
      <c r="B37" t="s">
        <v>574</v>
      </c>
      <c r="C37" t="s">
        <v>65</v>
      </c>
      <c r="D37">
        <v>2023</v>
      </c>
      <c r="E37" s="6" t="s">
        <v>65</v>
      </c>
      <c r="F37" s="8" t="s">
        <v>629</v>
      </c>
      <c r="G37" s="8" t="s">
        <v>639</v>
      </c>
      <c r="I37" s="20" t="s">
        <v>628</v>
      </c>
    </row>
    <row r="38" spans="1:9" ht="14.4" x14ac:dyDescent="0.3">
      <c r="A38" t="s">
        <v>66</v>
      </c>
      <c r="B38" t="s">
        <v>574</v>
      </c>
      <c r="C38" t="s">
        <v>65</v>
      </c>
      <c r="D38">
        <v>2024</v>
      </c>
      <c r="E38" s="6" t="s">
        <v>65</v>
      </c>
      <c r="F38" s="8" t="s">
        <v>629</v>
      </c>
      <c r="G38" s="8" t="s">
        <v>640</v>
      </c>
      <c r="I38" s="20" t="s">
        <v>628</v>
      </c>
    </row>
    <row r="39" spans="1:9" ht="14.4" x14ac:dyDescent="0.3">
      <c r="A39" t="s">
        <v>76</v>
      </c>
      <c r="B39" t="s">
        <v>575</v>
      </c>
      <c r="C39" t="s">
        <v>75</v>
      </c>
      <c r="D39">
        <v>2006</v>
      </c>
      <c r="E39" s="6" t="s">
        <v>641</v>
      </c>
      <c r="F39" s="8" t="s">
        <v>642</v>
      </c>
      <c r="G39" s="8" t="s">
        <v>643</v>
      </c>
      <c r="I39" s="25" t="s">
        <v>644</v>
      </c>
    </row>
    <row r="40" spans="1:9" ht="14.4" x14ac:dyDescent="0.3">
      <c r="A40" t="s">
        <v>76</v>
      </c>
      <c r="B40" t="s">
        <v>575</v>
      </c>
      <c r="C40" t="s">
        <v>75</v>
      </c>
      <c r="D40">
        <v>2007</v>
      </c>
      <c r="E40" s="6" t="s">
        <v>641</v>
      </c>
      <c r="F40" s="8" t="s">
        <v>642</v>
      </c>
      <c r="G40" s="8" t="s">
        <v>643</v>
      </c>
      <c r="I40" s="25" t="s">
        <v>644</v>
      </c>
    </row>
    <row r="41" spans="1:9" ht="14.4" x14ac:dyDescent="0.3">
      <c r="A41" t="s">
        <v>76</v>
      </c>
      <c r="B41" t="s">
        <v>575</v>
      </c>
      <c r="C41" t="s">
        <v>75</v>
      </c>
      <c r="D41">
        <v>2008</v>
      </c>
      <c r="E41" s="6" t="s">
        <v>641</v>
      </c>
      <c r="F41" s="8" t="s">
        <v>642</v>
      </c>
      <c r="G41" s="8" t="s">
        <v>645</v>
      </c>
      <c r="H41" t="s">
        <v>632</v>
      </c>
      <c r="I41" s="25" t="s">
        <v>644</v>
      </c>
    </row>
    <row r="42" spans="1:9" ht="14.4" x14ac:dyDescent="0.3">
      <c r="A42" t="s">
        <v>76</v>
      </c>
      <c r="B42" t="s">
        <v>575</v>
      </c>
      <c r="C42" t="s">
        <v>75</v>
      </c>
      <c r="D42">
        <v>2009</v>
      </c>
      <c r="E42" s="6" t="s">
        <v>641</v>
      </c>
      <c r="F42" s="8" t="s">
        <v>642</v>
      </c>
      <c r="G42" s="8" t="s">
        <v>645</v>
      </c>
      <c r="I42" s="25" t="s">
        <v>644</v>
      </c>
    </row>
    <row r="43" spans="1:9" ht="14.4" x14ac:dyDescent="0.3">
      <c r="A43" t="s">
        <v>76</v>
      </c>
      <c r="B43" t="s">
        <v>575</v>
      </c>
      <c r="C43" t="s">
        <v>75</v>
      </c>
      <c r="D43">
        <v>2010</v>
      </c>
      <c r="E43" s="6" t="s">
        <v>641</v>
      </c>
      <c r="F43" s="8" t="s">
        <v>642</v>
      </c>
      <c r="G43" s="8" t="s">
        <v>646</v>
      </c>
      <c r="I43" s="25" t="s">
        <v>644</v>
      </c>
    </row>
    <row r="44" spans="1:9" ht="14.4" x14ac:dyDescent="0.3">
      <c r="A44" t="s">
        <v>76</v>
      </c>
      <c r="B44" t="s">
        <v>575</v>
      </c>
      <c r="C44" t="s">
        <v>75</v>
      </c>
      <c r="D44">
        <v>2011</v>
      </c>
      <c r="E44" s="6" t="s">
        <v>641</v>
      </c>
      <c r="F44" s="8" t="s">
        <v>642</v>
      </c>
      <c r="G44" s="8" t="s">
        <v>646</v>
      </c>
      <c r="H44" t="s">
        <v>632</v>
      </c>
      <c r="I44" s="25" t="s">
        <v>644</v>
      </c>
    </row>
    <row r="45" spans="1:9" ht="14.4" x14ac:dyDescent="0.3">
      <c r="A45" t="s">
        <v>76</v>
      </c>
      <c r="B45" t="s">
        <v>575</v>
      </c>
      <c r="C45" t="s">
        <v>75</v>
      </c>
      <c r="D45">
        <v>2012</v>
      </c>
      <c r="E45" s="6" t="s">
        <v>641</v>
      </c>
      <c r="F45" s="8" t="s">
        <v>642</v>
      </c>
      <c r="G45" s="8" t="s">
        <v>647</v>
      </c>
      <c r="I45" s="25" t="s">
        <v>644</v>
      </c>
    </row>
    <row r="46" spans="1:9" ht="14.4" x14ac:dyDescent="0.3">
      <c r="A46" t="s">
        <v>76</v>
      </c>
      <c r="B46" t="s">
        <v>575</v>
      </c>
      <c r="C46" t="s">
        <v>75</v>
      </c>
      <c r="D46">
        <v>2013</v>
      </c>
      <c r="E46" s="6" t="s">
        <v>641</v>
      </c>
      <c r="F46" s="8" t="s">
        <v>642</v>
      </c>
      <c r="G46" s="8" t="s">
        <v>648</v>
      </c>
      <c r="I46" s="25" t="s">
        <v>644</v>
      </c>
    </row>
    <row r="47" spans="1:9" ht="14.4" x14ac:dyDescent="0.3">
      <c r="A47" t="s">
        <v>76</v>
      </c>
      <c r="B47" t="s">
        <v>575</v>
      </c>
      <c r="C47" t="s">
        <v>75</v>
      </c>
      <c r="D47">
        <v>2014</v>
      </c>
      <c r="E47" s="6" t="s">
        <v>641</v>
      </c>
      <c r="F47" s="8" t="s">
        <v>642</v>
      </c>
      <c r="G47" s="8" t="s">
        <v>649</v>
      </c>
      <c r="H47" t="s">
        <v>632</v>
      </c>
      <c r="I47" s="25" t="s">
        <v>644</v>
      </c>
    </row>
    <row r="48" spans="1:9" ht="14.4" x14ac:dyDescent="0.3">
      <c r="A48" t="s">
        <v>76</v>
      </c>
      <c r="B48" t="s">
        <v>575</v>
      </c>
      <c r="C48" t="s">
        <v>75</v>
      </c>
      <c r="D48">
        <v>2015</v>
      </c>
      <c r="E48" s="6" t="s">
        <v>641</v>
      </c>
      <c r="F48" s="8" t="s">
        <v>642</v>
      </c>
      <c r="G48" s="8" t="s">
        <v>649</v>
      </c>
      <c r="I48" s="25" t="s">
        <v>644</v>
      </c>
    </row>
    <row r="49" spans="1:9" ht="14.4" x14ac:dyDescent="0.3">
      <c r="A49" t="s">
        <v>76</v>
      </c>
      <c r="B49" t="s">
        <v>575</v>
      </c>
      <c r="C49" t="s">
        <v>75</v>
      </c>
      <c r="D49">
        <v>2016</v>
      </c>
      <c r="E49" s="6" t="s">
        <v>641</v>
      </c>
      <c r="F49" s="8" t="s">
        <v>642</v>
      </c>
      <c r="G49" s="8" t="s">
        <v>650</v>
      </c>
      <c r="I49" s="25" t="s">
        <v>644</v>
      </c>
    </row>
    <row r="50" spans="1:9" ht="14.4" x14ac:dyDescent="0.3">
      <c r="A50" t="s">
        <v>76</v>
      </c>
      <c r="B50" t="s">
        <v>575</v>
      </c>
      <c r="C50" t="s">
        <v>75</v>
      </c>
      <c r="D50">
        <v>2017</v>
      </c>
      <c r="E50" s="6" t="s">
        <v>641</v>
      </c>
      <c r="F50" s="8" t="s">
        <v>642</v>
      </c>
      <c r="G50" s="8" t="s">
        <v>651</v>
      </c>
      <c r="I50" s="25" t="s">
        <v>644</v>
      </c>
    </row>
    <row r="51" spans="1:9" ht="14.4" x14ac:dyDescent="0.3">
      <c r="A51" t="s">
        <v>76</v>
      </c>
      <c r="B51" t="s">
        <v>575</v>
      </c>
      <c r="C51" t="s">
        <v>75</v>
      </c>
      <c r="D51">
        <v>2018</v>
      </c>
      <c r="E51" s="6" t="s">
        <v>641</v>
      </c>
      <c r="F51" s="8" t="s">
        <v>642</v>
      </c>
      <c r="G51" s="8" t="s">
        <v>652</v>
      </c>
      <c r="I51" s="25" t="s">
        <v>644</v>
      </c>
    </row>
    <row r="52" spans="1:9" ht="14.4" x14ac:dyDescent="0.3">
      <c r="A52" t="s">
        <v>76</v>
      </c>
      <c r="B52" t="s">
        <v>575</v>
      </c>
      <c r="C52" t="s">
        <v>75</v>
      </c>
      <c r="D52">
        <v>2019</v>
      </c>
      <c r="E52" s="6" t="s">
        <v>641</v>
      </c>
      <c r="F52" s="8" t="s">
        <v>642</v>
      </c>
      <c r="G52" s="8" t="s">
        <v>653</v>
      </c>
      <c r="I52" s="25" t="s">
        <v>644</v>
      </c>
    </row>
    <row r="53" spans="1:9" ht="14.4" x14ac:dyDescent="0.3">
      <c r="A53" t="s">
        <v>76</v>
      </c>
      <c r="B53" t="s">
        <v>575</v>
      </c>
      <c r="C53" t="s">
        <v>75</v>
      </c>
      <c r="D53">
        <v>2020</v>
      </c>
      <c r="E53" s="6" t="s">
        <v>641</v>
      </c>
      <c r="F53" s="8" t="s">
        <v>642</v>
      </c>
      <c r="G53" s="8" t="s">
        <v>654</v>
      </c>
      <c r="H53" t="s">
        <v>632</v>
      </c>
      <c r="I53" s="25" t="s">
        <v>644</v>
      </c>
    </row>
    <row r="54" spans="1:9" ht="14.4" x14ac:dyDescent="0.3">
      <c r="A54" t="s">
        <v>76</v>
      </c>
      <c r="B54" t="s">
        <v>575</v>
      </c>
      <c r="C54" t="s">
        <v>75</v>
      </c>
      <c r="D54">
        <v>2021</v>
      </c>
      <c r="E54" s="6" t="s">
        <v>641</v>
      </c>
      <c r="F54" s="8" t="s">
        <v>642</v>
      </c>
      <c r="G54" s="8" t="s">
        <v>654</v>
      </c>
      <c r="I54" s="25" t="s">
        <v>644</v>
      </c>
    </row>
    <row r="55" spans="1:9" ht="14.4" x14ac:dyDescent="0.3">
      <c r="A55" t="s">
        <v>76</v>
      </c>
      <c r="B55" t="s">
        <v>575</v>
      </c>
      <c r="C55" t="s">
        <v>75</v>
      </c>
      <c r="D55">
        <v>2022</v>
      </c>
      <c r="E55" s="6" t="s">
        <v>641</v>
      </c>
      <c r="F55" s="8" t="s">
        <v>642</v>
      </c>
      <c r="G55" s="8" t="s">
        <v>655</v>
      </c>
      <c r="I55" s="25" t="s">
        <v>644</v>
      </c>
    </row>
    <row r="56" spans="1:9" ht="14.4" x14ac:dyDescent="0.3">
      <c r="A56" t="s">
        <v>76</v>
      </c>
      <c r="B56" t="s">
        <v>575</v>
      </c>
      <c r="C56" t="s">
        <v>75</v>
      </c>
      <c r="D56">
        <v>2023</v>
      </c>
      <c r="E56" s="6" t="s">
        <v>641</v>
      </c>
      <c r="F56" s="8" t="s">
        <v>642</v>
      </c>
      <c r="G56" s="8" t="s">
        <v>656</v>
      </c>
      <c r="I56" s="25" t="s">
        <v>644</v>
      </c>
    </row>
    <row r="57" spans="1:9" ht="14.4" x14ac:dyDescent="0.3">
      <c r="A57" t="s">
        <v>76</v>
      </c>
      <c r="B57" t="s">
        <v>575</v>
      </c>
      <c r="C57" t="s">
        <v>75</v>
      </c>
      <c r="D57">
        <v>2024</v>
      </c>
      <c r="E57" s="6" t="s">
        <v>641</v>
      </c>
      <c r="F57" s="8" t="s">
        <v>642</v>
      </c>
      <c r="G57" s="8" t="s">
        <v>657</v>
      </c>
      <c r="I57" s="25" t="s">
        <v>644</v>
      </c>
    </row>
    <row r="58" spans="1:9" ht="14.4" x14ac:dyDescent="0.3">
      <c r="A58" t="s">
        <v>82</v>
      </c>
      <c r="B58" t="s">
        <v>576</v>
      </c>
      <c r="C58" t="s">
        <v>81</v>
      </c>
      <c r="D58">
        <v>2017</v>
      </c>
      <c r="E58" s="19" t="s">
        <v>658</v>
      </c>
      <c r="F58" s="1" t="s">
        <v>659</v>
      </c>
      <c r="G58" s="1" t="s">
        <v>660</v>
      </c>
      <c r="I58" s="20" t="s">
        <v>628</v>
      </c>
    </row>
    <row r="59" spans="1:9" ht="14.4" x14ac:dyDescent="0.3">
      <c r="A59" t="s">
        <v>82</v>
      </c>
      <c r="B59" t="s">
        <v>576</v>
      </c>
      <c r="C59" t="s">
        <v>81</v>
      </c>
      <c r="D59">
        <v>2018</v>
      </c>
      <c r="E59" s="19" t="s">
        <v>658</v>
      </c>
      <c r="F59" s="1" t="s">
        <v>659</v>
      </c>
      <c r="G59" s="1" t="s">
        <v>660</v>
      </c>
      <c r="I59" s="20" t="s">
        <v>628</v>
      </c>
    </row>
    <row r="60" spans="1:9" ht="14.4" x14ac:dyDescent="0.3">
      <c r="A60" t="s">
        <v>82</v>
      </c>
      <c r="B60" t="s">
        <v>576</v>
      </c>
      <c r="C60" t="s">
        <v>81</v>
      </c>
      <c r="D60">
        <v>2019</v>
      </c>
      <c r="E60" s="19" t="s">
        <v>658</v>
      </c>
      <c r="F60" s="1" t="s">
        <v>659</v>
      </c>
      <c r="G60" s="1" t="s">
        <v>660</v>
      </c>
      <c r="I60" s="20" t="s">
        <v>628</v>
      </c>
    </row>
    <row r="61" spans="1:9" ht="14.4" x14ac:dyDescent="0.3">
      <c r="A61" t="s">
        <v>82</v>
      </c>
      <c r="B61" t="s">
        <v>576</v>
      </c>
      <c r="C61" t="s">
        <v>81</v>
      </c>
      <c r="D61">
        <v>2020</v>
      </c>
      <c r="E61" s="19" t="s">
        <v>658</v>
      </c>
      <c r="F61" s="1" t="s">
        <v>659</v>
      </c>
      <c r="G61" s="1" t="s">
        <v>661</v>
      </c>
      <c r="I61" s="20" t="s">
        <v>628</v>
      </c>
    </row>
    <row r="62" spans="1:9" ht="14.4" x14ac:dyDescent="0.3">
      <c r="A62" t="s">
        <v>82</v>
      </c>
      <c r="B62" t="s">
        <v>576</v>
      </c>
      <c r="C62" t="s">
        <v>81</v>
      </c>
      <c r="D62">
        <v>2021</v>
      </c>
      <c r="E62" s="19" t="s">
        <v>658</v>
      </c>
      <c r="F62" s="1" t="s">
        <v>659</v>
      </c>
      <c r="G62" s="1" t="s">
        <v>662</v>
      </c>
      <c r="I62" s="20" t="s">
        <v>628</v>
      </c>
    </row>
    <row r="63" spans="1:9" ht="14.4" x14ac:dyDescent="0.3">
      <c r="A63" t="s">
        <v>82</v>
      </c>
      <c r="B63" t="s">
        <v>576</v>
      </c>
      <c r="C63" t="s">
        <v>81</v>
      </c>
      <c r="D63">
        <v>2022</v>
      </c>
      <c r="E63" s="19" t="s">
        <v>658</v>
      </c>
      <c r="F63" s="1" t="s">
        <v>659</v>
      </c>
      <c r="G63" s="1" t="s">
        <v>663</v>
      </c>
      <c r="I63" s="20" t="s">
        <v>628</v>
      </c>
    </row>
    <row r="64" spans="1:9" ht="14.4" x14ac:dyDescent="0.3">
      <c r="A64" t="s">
        <v>82</v>
      </c>
      <c r="B64" t="s">
        <v>576</v>
      </c>
      <c r="C64" t="s">
        <v>81</v>
      </c>
      <c r="D64">
        <v>2023</v>
      </c>
      <c r="E64" s="19" t="s">
        <v>658</v>
      </c>
      <c r="F64" s="1" t="s">
        <v>659</v>
      </c>
      <c r="G64" t="s">
        <v>664</v>
      </c>
      <c r="I64" s="20" t="s">
        <v>628</v>
      </c>
    </row>
    <row r="65" spans="1:9" ht="14.4" x14ac:dyDescent="0.3">
      <c r="A65" t="s">
        <v>82</v>
      </c>
      <c r="B65" t="s">
        <v>576</v>
      </c>
      <c r="C65" t="s">
        <v>81</v>
      </c>
      <c r="D65">
        <v>2024</v>
      </c>
      <c r="E65" s="19" t="s">
        <v>658</v>
      </c>
      <c r="F65" s="1" t="s">
        <v>659</v>
      </c>
      <c r="G65" t="s">
        <v>664</v>
      </c>
      <c r="I65" s="20" t="s">
        <v>628</v>
      </c>
    </row>
    <row r="66" spans="1:9" ht="14.4" x14ac:dyDescent="0.3">
      <c r="A66" t="s">
        <v>87</v>
      </c>
      <c r="B66" t="s">
        <v>577</v>
      </c>
      <c r="C66" t="s">
        <v>86</v>
      </c>
      <c r="D66">
        <v>2001</v>
      </c>
      <c r="E66" s="6" t="s">
        <v>665</v>
      </c>
      <c r="F66" s="8" t="s">
        <v>666</v>
      </c>
      <c r="G66" s="8" t="s">
        <v>667</v>
      </c>
      <c r="H66" t="s">
        <v>668</v>
      </c>
      <c r="I66" s="20">
        <v>45667</v>
      </c>
    </row>
    <row r="67" spans="1:9" ht="13.5" customHeight="1" x14ac:dyDescent="0.3">
      <c r="A67" t="s">
        <v>87</v>
      </c>
      <c r="B67" t="s">
        <v>577</v>
      </c>
      <c r="C67" t="s">
        <v>86</v>
      </c>
      <c r="D67">
        <v>2002</v>
      </c>
      <c r="E67" s="6" t="s">
        <v>665</v>
      </c>
      <c r="F67" s="8" t="s">
        <v>666</v>
      </c>
      <c r="G67" s="8" t="s">
        <v>667</v>
      </c>
      <c r="H67" s="3" t="s">
        <v>669</v>
      </c>
      <c r="I67" s="20">
        <v>45667</v>
      </c>
    </row>
    <row r="68" spans="1:9" ht="14.4" x14ac:dyDescent="0.3">
      <c r="A68" t="s">
        <v>87</v>
      </c>
      <c r="B68" t="s">
        <v>577</v>
      </c>
      <c r="C68" t="s">
        <v>86</v>
      </c>
      <c r="D68">
        <v>2003</v>
      </c>
      <c r="E68" s="6" t="s">
        <v>665</v>
      </c>
      <c r="F68" s="8" t="s">
        <v>666</v>
      </c>
      <c r="G68" s="8" t="s">
        <v>670</v>
      </c>
      <c r="I68" s="20">
        <v>45667</v>
      </c>
    </row>
    <row r="69" spans="1:9" ht="14.4" x14ac:dyDescent="0.3">
      <c r="A69" t="s">
        <v>87</v>
      </c>
      <c r="B69" t="s">
        <v>577</v>
      </c>
      <c r="C69" t="s">
        <v>86</v>
      </c>
      <c r="D69">
        <v>2004</v>
      </c>
      <c r="E69" s="6" t="s">
        <v>665</v>
      </c>
      <c r="F69" t="s">
        <v>666</v>
      </c>
      <c r="G69" s="8" t="s">
        <v>671</v>
      </c>
      <c r="I69" s="20">
        <v>45667</v>
      </c>
    </row>
    <row r="70" spans="1:9" ht="14.4" x14ac:dyDescent="0.3">
      <c r="A70" t="s">
        <v>87</v>
      </c>
      <c r="B70" t="s">
        <v>577</v>
      </c>
      <c r="C70" t="s">
        <v>86</v>
      </c>
      <c r="D70">
        <v>2005</v>
      </c>
      <c r="E70" s="6" t="s">
        <v>665</v>
      </c>
      <c r="F70" t="s">
        <v>666</v>
      </c>
      <c r="G70" s="8" t="s">
        <v>672</v>
      </c>
      <c r="I70" s="20">
        <v>45667</v>
      </c>
    </row>
    <row r="71" spans="1:9" ht="14.4" x14ac:dyDescent="0.3">
      <c r="A71" t="s">
        <v>87</v>
      </c>
      <c r="B71" t="s">
        <v>577</v>
      </c>
      <c r="C71" t="s">
        <v>86</v>
      </c>
      <c r="D71">
        <v>2006</v>
      </c>
      <c r="E71" s="6" t="s">
        <v>665</v>
      </c>
      <c r="F71" t="s">
        <v>666</v>
      </c>
      <c r="G71" s="8" t="s">
        <v>673</v>
      </c>
      <c r="I71" s="20">
        <v>45667</v>
      </c>
    </row>
    <row r="72" spans="1:9" ht="14.4" x14ac:dyDescent="0.3">
      <c r="A72" t="s">
        <v>87</v>
      </c>
      <c r="B72" t="s">
        <v>577</v>
      </c>
      <c r="C72" t="s">
        <v>86</v>
      </c>
      <c r="D72">
        <v>2007</v>
      </c>
      <c r="E72" s="6" t="s">
        <v>665</v>
      </c>
      <c r="F72" t="s">
        <v>666</v>
      </c>
      <c r="G72" s="8" t="s">
        <v>674</v>
      </c>
      <c r="I72" s="20">
        <v>45667</v>
      </c>
    </row>
    <row r="73" spans="1:9" ht="14.4" x14ac:dyDescent="0.3">
      <c r="A73" t="s">
        <v>87</v>
      </c>
      <c r="B73" t="s">
        <v>577</v>
      </c>
      <c r="C73" t="s">
        <v>86</v>
      </c>
      <c r="D73">
        <v>2008</v>
      </c>
      <c r="E73" s="6" t="s">
        <v>665</v>
      </c>
      <c r="F73" t="s">
        <v>666</v>
      </c>
      <c r="G73" t="s">
        <v>675</v>
      </c>
      <c r="I73" s="20">
        <v>45667</v>
      </c>
    </row>
    <row r="74" spans="1:9" ht="14.4" x14ac:dyDescent="0.3">
      <c r="A74" t="s">
        <v>87</v>
      </c>
      <c r="B74" t="s">
        <v>577</v>
      </c>
      <c r="C74" t="s">
        <v>86</v>
      </c>
      <c r="D74">
        <v>2009</v>
      </c>
      <c r="E74" s="6" t="s">
        <v>665</v>
      </c>
      <c r="F74" t="s">
        <v>666</v>
      </c>
      <c r="G74" t="s">
        <v>676</v>
      </c>
      <c r="I74" s="20">
        <v>45667</v>
      </c>
    </row>
    <row r="75" spans="1:9" ht="14.4" x14ac:dyDescent="0.3">
      <c r="A75" t="s">
        <v>87</v>
      </c>
      <c r="B75" t="s">
        <v>577</v>
      </c>
      <c r="C75" t="s">
        <v>86</v>
      </c>
      <c r="D75">
        <v>2010</v>
      </c>
      <c r="E75" s="6" t="s">
        <v>665</v>
      </c>
      <c r="F75" t="s">
        <v>666</v>
      </c>
      <c r="G75" t="s">
        <v>677</v>
      </c>
      <c r="I75" s="20">
        <v>45667</v>
      </c>
    </row>
    <row r="76" spans="1:9" ht="14.4" x14ac:dyDescent="0.3">
      <c r="A76" t="s">
        <v>87</v>
      </c>
      <c r="B76" t="s">
        <v>577</v>
      </c>
      <c r="C76" t="s">
        <v>86</v>
      </c>
      <c r="D76">
        <v>2011</v>
      </c>
      <c r="E76" s="6" t="s">
        <v>665</v>
      </c>
      <c r="F76" t="s">
        <v>666</v>
      </c>
      <c r="G76" t="s">
        <v>678</v>
      </c>
      <c r="I76" s="20">
        <v>45667</v>
      </c>
    </row>
    <row r="77" spans="1:9" ht="14.4" x14ac:dyDescent="0.3">
      <c r="A77" t="s">
        <v>87</v>
      </c>
      <c r="B77" t="s">
        <v>577</v>
      </c>
      <c r="C77" t="s">
        <v>86</v>
      </c>
      <c r="D77">
        <v>2012</v>
      </c>
      <c r="E77" s="6" t="s">
        <v>665</v>
      </c>
      <c r="F77" t="s">
        <v>666</v>
      </c>
      <c r="G77" t="s">
        <v>679</v>
      </c>
      <c r="I77" s="20">
        <v>45667</v>
      </c>
    </row>
    <row r="78" spans="1:9" ht="14.4" x14ac:dyDescent="0.3">
      <c r="A78" t="s">
        <v>87</v>
      </c>
      <c r="B78" t="s">
        <v>577</v>
      </c>
      <c r="C78" t="s">
        <v>86</v>
      </c>
      <c r="D78">
        <v>2013</v>
      </c>
      <c r="E78" s="6" t="s">
        <v>665</v>
      </c>
      <c r="F78" t="s">
        <v>666</v>
      </c>
      <c r="G78" t="s">
        <v>680</v>
      </c>
      <c r="I78" s="20">
        <v>45667</v>
      </c>
    </row>
    <row r="79" spans="1:9" ht="14.4" x14ac:dyDescent="0.3">
      <c r="A79" t="s">
        <v>87</v>
      </c>
      <c r="B79" t="s">
        <v>577</v>
      </c>
      <c r="C79" t="s">
        <v>86</v>
      </c>
      <c r="D79">
        <v>2014</v>
      </c>
      <c r="E79" s="6" t="s">
        <v>665</v>
      </c>
      <c r="F79" t="s">
        <v>666</v>
      </c>
      <c r="G79" t="s">
        <v>681</v>
      </c>
      <c r="I79" s="20">
        <v>45667</v>
      </c>
    </row>
    <row r="80" spans="1:9" ht="14.4" x14ac:dyDescent="0.3">
      <c r="A80" t="s">
        <v>87</v>
      </c>
      <c r="B80" t="s">
        <v>577</v>
      </c>
      <c r="C80" t="s">
        <v>86</v>
      </c>
      <c r="D80">
        <v>2015</v>
      </c>
      <c r="E80" s="6" t="s">
        <v>665</v>
      </c>
      <c r="F80" t="s">
        <v>666</v>
      </c>
      <c r="G80" s="8" t="s">
        <v>682</v>
      </c>
      <c r="I80" s="20">
        <v>45667</v>
      </c>
    </row>
    <row r="81" spans="1:9" ht="14.4" x14ac:dyDescent="0.3">
      <c r="A81" t="s">
        <v>87</v>
      </c>
      <c r="B81" t="s">
        <v>577</v>
      </c>
      <c r="C81" t="s">
        <v>86</v>
      </c>
      <c r="D81">
        <v>2016</v>
      </c>
      <c r="E81" s="6" t="s">
        <v>665</v>
      </c>
      <c r="F81" t="s">
        <v>666</v>
      </c>
      <c r="G81" t="s">
        <v>683</v>
      </c>
      <c r="I81" s="20">
        <v>45667</v>
      </c>
    </row>
    <row r="82" spans="1:9" ht="14.4" x14ac:dyDescent="0.3">
      <c r="A82" t="s">
        <v>87</v>
      </c>
      <c r="B82" t="s">
        <v>577</v>
      </c>
      <c r="C82" t="s">
        <v>86</v>
      </c>
      <c r="D82">
        <v>2017</v>
      </c>
      <c r="E82" s="6" t="s">
        <v>665</v>
      </c>
      <c r="F82" t="s">
        <v>666</v>
      </c>
      <c r="G82" t="s">
        <v>684</v>
      </c>
      <c r="I82" s="20">
        <v>45667</v>
      </c>
    </row>
    <row r="83" spans="1:9" ht="14.4" x14ac:dyDescent="0.3">
      <c r="A83" t="s">
        <v>87</v>
      </c>
      <c r="B83" t="s">
        <v>577</v>
      </c>
      <c r="C83" t="s">
        <v>86</v>
      </c>
      <c r="D83">
        <v>2018</v>
      </c>
      <c r="E83" s="6" t="s">
        <v>665</v>
      </c>
      <c r="F83" t="s">
        <v>666</v>
      </c>
      <c r="G83" t="s">
        <v>685</v>
      </c>
      <c r="I83" s="20">
        <v>45667</v>
      </c>
    </row>
    <row r="84" spans="1:9" ht="14.4" x14ac:dyDescent="0.3">
      <c r="A84" t="s">
        <v>87</v>
      </c>
      <c r="B84" t="s">
        <v>577</v>
      </c>
      <c r="C84" t="s">
        <v>86</v>
      </c>
      <c r="D84">
        <v>2019</v>
      </c>
      <c r="E84" s="6" t="s">
        <v>665</v>
      </c>
      <c r="F84" t="s">
        <v>666</v>
      </c>
      <c r="G84" s="8" t="s">
        <v>686</v>
      </c>
      <c r="I84" s="20">
        <v>45667</v>
      </c>
    </row>
    <row r="85" spans="1:9" ht="14.4" x14ac:dyDescent="0.3">
      <c r="A85" t="s">
        <v>87</v>
      </c>
      <c r="B85" t="s">
        <v>577</v>
      </c>
      <c r="C85" t="s">
        <v>86</v>
      </c>
      <c r="D85">
        <v>2020</v>
      </c>
      <c r="E85" s="6" t="s">
        <v>665</v>
      </c>
      <c r="F85" t="s">
        <v>666</v>
      </c>
      <c r="G85" t="s">
        <v>687</v>
      </c>
      <c r="I85" s="20">
        <v>45667</v>
      </c>
    </row>
    <row r="86" spans="1:9" ht="14.4" x14ac:dyDescent="0.3">
      <c r="A86" t="s">
        <v>87</v>
      </c>
      <c r="B86" t="s">
        <v>577</v>
      </c>
      <c r="C86" t="s">
        <v>86</v>
      </c>
      <c r="D86">
        <v>2021</v>
      </c>
      <c r="E86" s="6" t="s">
        <v>665</v>
      </c>
      <c r="F86" t="s">
        <v>666</v>
      </c>
      <c r="G86" t="s">
        <v>688</v>
      </c>
      <c r="I86" s="20">
        <v>45667</v>
      </c>
    </row>
    <row r="87" spans="1:9" ht="14.4" x14ac:dyDescent="0.3">
      <c r="A87" t="s">
        <v>87</v>
      </c>
      <c r="B87" t="s">
        <v>577</v>
      </c>
      <c r="C87" t="s">
        <v>86</v>
      </c>
      <c r="D87">
        <v>2022</v>
      </c>
      <c r="E87" s="6" t="s">
        <v>665</v>
      </c>
      <c r="F87" t="s">
        <v>666</v>
      </c>
      <c r="G87" t="s">
        <v>689</v>
      </c>
      <c r="I87" s="20">
        <v>45667</v>
      </c>
    </row>
    <row r="88" spans="1:9" ht="14.4" x14ac:dyDescent="0.3">
      <c r="A88" t="s">
        <v>87</v>
      </c>
      <c r="B88" t="s">
        <v>577</v>
      </c>
      <c r="C88" t="s">
        <v>86</v>
      </c>
      <c r="D88">
        <v>2023</v>
      </c>
      <c r="E88" s="6" t="s">
        <v>665</v>
      </c>
      <c r="F88" t="s">
        <v>666</v>
      </c>
      <c r="G88" t="s">
        <v>690</v>
      </c>
      <c r="I88" s="20">
        <v>45667</v>
      </c>
    </row>
    <row r="89" spans="1:9" ht="14.4" x14ac:dyDescent="0.3">
      <c r="A89" t="s">
        <v>87</v>
      </c>
      <c r="B89" t="s">
        <v>577</v>
      </c>
      <c r="C89" t="s">
        <v>86</v>
      </c>
      <c r="D89">
        <v>2024</v>
      </c>
      <c r="E89" s="6" t="s">
        <v>665</v>
      </c>
      <c r="F89" t="s">
        <v>666</v>
      </c>
      <c r="G89" t="s">
        <v>691</v>
      </c>
      <c r="I89" s="20">
        <v>45667</v>
      </c>
    </row>
    <row r="90" spans="1:9" ht="14.4" x14ac:dyDescent="0.3">
      <c r="A90" t="s">
        <v>97</v>
      </c>
      <c r="B90" t="s">
        <v>692</v>
      </c>
      <c r="C90" t="s">
        <v>102</v>
      </c>
      <c r="D90">
        <v>2006</v>
      </c>
      <c r="E90" t="s">
        <v>693</v>
      </c>
      <c r="F90" s="1" t="s">
        <v>694</v>
      </c>
      <c r="G90" s="1" t="s">
        <v>695</v>
      </c>
      <c r="H90" t="s">
        <v>696</v>
      </c>
      <c r="I90" s="20">
        <v>45669</v>
      </c>
    </row>
    <row r="91" spans="1:9" ht="14.4" x14ac:dyDescent="0.3">
      <c r="A91" t="s">
        <v>97</v>
      </c>
      <c r="B91" t="s">
        <v>692</v>
      </c>
      <c r="C91" t="s">
        <v>102</v>
      </c>
      <c r="D91">
        <v>2007</v>
      </c>
      <c r="E91" t="s">
        <v>693</v>
      </c>
      <c r="F91" s="1" t="s">
        <v>694</v>
      </c>
      <c r="G91" s="1" t="s">
        <v>695</v>
      </c>
      <c r="I91" s="20">
        <v>45669</v>
      </c>
    </row>
    <row r="92" spans="1:9" ht="14.4" x14ac:dyDescent="0.3">
      <c r="A92" t="s">
        <v>97</v>
      </c>
      <c r="B92" t="s">
        <v>692</v>
      </c>
      <c r="C92" t="s">
        <v>102</v>
      </c>
      <c r="D92">
        <v>2008</v>
      </c>
      <c r="E92" t="s">
        <v>693</v>
      </c>
      <c r="F92" s="1" t="s">
        <v>694</v>
      </c>
      <c r="G92" s="1" t="s">
        <v>697</v>
      </c>
      <c r="I92" s="20">
        <v>45669</v>
      </c>
    </row>
    <row r="93" spans="1:9" ht="14.4" x14ac:dyDescent="0.3">
      <c r="A93" t="s">
        <v>97</v>
      </c>
      <c r="B93" t="s">
        <v>692</v>
      </c>
      <c r="C93" t="s">
        <v>102</v>
      </c>
      <c r="D93">
        <v>2009</v>
      </c>
      <c r="E93" t="s">
        <v>693</v>
      </c>
      <c r="F93" s="1" t="s">
        <v>694</v>
      </c>
      <c r="G93" s="1" t="s">
        <v>697</v>
      </c>
      <c r="I93" s="20">
        <v>45669</v>
      </c>
    </row>
    <row r="94" spans="1:9" ht="14.4" x14ac:dyDescent="0.3">
      <c r="A94" t="s">
        <v>97</v>
      </c>
      <c r="B94" t="s">
        <v>692</v>
      </c>
      <c r="C94" t="s">
        <v>102</v>
      </c>
      <c r="D94">
        <v>2010</v>
      </c>
      <c r="E94" t="s">
        <v>693</v>
      </c>
      <c r="F94" s="1" t="s">
        <v>694</v>
      </c>
      <c r="G94" s="1" t="s">
        <v>698</v>
      </c>
      <c r="I94" s="20">
        <v>45669</v>
      </c>
    </row>
    <row r="95" spans="1:9" ht="14.4" x14ac:dyDescent="0.3">
      <c r="A95" t="s">
        <v>97</v>
      </c>
      <c r="B95" t="s">
        <v>692</v>
      </c>
      <c r="C95" t="s">
        <v>102</v>
      </c>
      <c r="D95">
        <v>2011</v>
      </c>
      <c r="E95" t="s">
        <v>693</v>
      </c>
      <c r="F95" s="1" t="s">
        <v>694</v>
      </c>
      <c r="G95" s="1" t="s">
        <v>699</v>
      </c>
      <c r="I95" s="20">
        <v>45669</v>
      </c>
    </row>
    <row r="96" spans="1:9" ht="14.4" x14ac:dyDescent="0.3">
      <c r="A96" t="s">
        <v>97</v>
      </c>
      <c r="B96" t="s">
        <v>692</v>
      </c>
      <c r="C96" t="s">
        <v>102</v>
      </c>
      <c r="D96">
        <v>2012</v>
      </c>
      <c r="E96" t="s">
        <v>693</v>
      </c>
      <c r="F96" s="1" t="s">
        <v>694</v>
      </c>
      <c r="G96" s="1" t="s">
        <v>700</v>
      </c>
      <c r="I96" s="20">
        <v>45669</v>
      </c>
    </row>
    <row r="97" spans="1:9" ht="14.4" x14ac:dyDescent="0.3">
      <c r="A97" t="s">
        <v>97</v>
      </c>
      <c r="B97" t="s">
        <v>692</v>
      </c>
      <c r="C97" t="s">
        <v>102</v>
      </c>
      <c r="D97">
        <v>2013</v>
      </c>
      <c r="E97" t="s">
        <v>693</v>
      </c>
      <c r="F97" s="1" t="s">
        <v>694</v>
      </c>
      <c r="G97" s="1" t="s">
        <v>701</v>
      </c>
      <c r="I97" s="20">
        <v>45669</v>
      </c>
    </row>
    <row r="98" spans="1:9" ht="14.4" x14ac:dyDescent="0.3">
      <c r="A98" t="s">
        <v>97</v>
      </c>
      <c r="B98" t="s">
        <v>692</v>
      </c>
      <c r="C98" t="s">
        <v>102</v>
      </c>
      <c r="D98">
        <v>2014</v>
      </c>
      <c r="E98" t="s">
        <v>693</v>
      </c>
      <c r="F98" s="1" t="s">
        <v>694</v>
      </c>
      <c r="G98" s="1" t="s">
        <v>702</v>
      </c>
      <c r="I98" s="20">
        <v>45669</v>
      </c>
    </row>
    <row r="99" spans="1:9" ht="14.4" x14ac:dyDescent="0.3">
      <c r="A99" t="s">
        <v>97</v>
      </c>
      <c r="B99" t="s">
        <v>692</v>
      </c>
      <c r="C99" t="s">
        <v>102</v>
      </c>
      <c r="D99">
        <v>2015</v>
      </c>
      <c r="E99" t="s">
        <v>693</v>
      </c>
      <c r="F99" s="1" t="s">
        <v>694</v>
      </c>
      <c r="G99" s="1" t="s">
        <v>703</v>
      </c>
      <c r="I99" s="20">
        <v>45669</v>
      </c>
    </row>
    <row r="100" spans="1:9" ht="14.4" x14ac:dyDescent="0.3">
      <c r="A100" t="s">
        <v>97</v>
      </c>
      <c r="B100" t="s">
        <v>692</v>
      </c>
      <c r="C100" t="s">
        <v>102</v>
      </c>
      <c r="D100">
        <v>2016</v>
      </c>
      <c r="E100" t="s">
        <v>693</v>
      </c>
      <c r="F100" s="1" t="s">
        <v>694</v>
      </c>
      <c r="G100" s="1" t="s">
        <v>704</v>
      </c>
      <c r="I100" s="20">
        <v>45669</v>
      </c>
    </row>
    <row r="101" spans="1:9" ht="14.4" x14ac:dyDescent="0.3">
      <c r="A101" t="s">
        <v>97</v>
      </c>
      <c r="B101" t="s">
        <v>692</v>
      </c>
      <c r="C101" t="s">
        <v>102</v>
      </c>
      <c r="D101">
        <v>2017</v>
      </c>
      <c r="E101" t="s">
        <v>693</v>
      </c>
      <c r="F101" s="1" t="s">
        <v>694</v>
      </c>
      <c r="G101" s="1" t="s">
        <v>705</v>
      </c>
      <c r="I101" s="20">
        <v>45669</v>
      </c>
    </row>
    <row r="102" spans="1:9" ht="14.4" x14ac:dyDescent="0.3">
      <c r="A102" t="s">
        <v>97</v>
      </c>
      <c r="B102" t="s">
        <v>692</v>
      </c>
      <c r="C102" t="s">
        <v>102</v>
      </c>
      <c r="D102">
        <v>2018</v>
      </c>
      <c r="E102" t="s">
        <v>693</v>
      </c>
      <c r="F102" s="1" t="s">
        <v>694</v>
      </c>
      <c r="G102" s="1" t="s">
        <v>706</v>
      </c>
      <c r="I102" s="20">
        <v>45669</v>
      </c>
    </row>
    <row r="103" spans="1:9" ht="14.4" x14ac:dyDescent="0.3">
      <c r="A103" t="s">
        <v>97</v>
      </c>
      <c r="B103" t="s">
        <v>692</v>
      </c>
      <c r="C103" t="s">
        <v>102</v>
      </c>
      <c r="D103">
        <v>2019</v>
      </c>
      <c r="E103" t="s">
        <v>693</v>
      </c>
      <c r="F103" s="1" t="s">
        <v>694</v>
      </c>
      <c r="G103" s="1" t="s">
        <v>707</v>
      </c>
      <c r="I103" s="20">
        <v>45669</v>
      </c>
    </row>
    <row r="104" spans="1:9" ht="14.4" x14ac:dyDescent="0.3">
      <c r="A104" t="s">
        <v>97</v>
      </c>
      <c r="B104" t="s">
        <v>692</v>
      </c>
      <c r="C104" t="s">
        <v>102</v>
      </c>
      <c r="D104">
        <v>2020</v>
      </c>
      <c r="E104" t="s">
        <v>693</v>
      </c>
      <c r="F104" s="1" t="s">
        <v>694</v>
      </c>
      <c r="G104" s="1" t="s">
        <v>708</v>
      </c>
      <c r="I104" s="20">
        <v>45669</v>
      </c>
    </row>
    <row r="105" spans="1:9" ht="14.4" x14ac:dyDescent="0.3">
      <c r="A105" t="s">
        <v>97</v>
      </c>
      <c r="B105" t="s">
        <v>692</v>
      </c>
      <c r="C105" t="s">
        <v>102</v>
      </c>
      <c r="D105">
        <v>2021</v>
      </c>
      <c r="E105" t="s">
        <v>693</v>
      </c>
      <c r="F105" s="1" t="s">
        <v>694</v>
      </c>
      <c r="G105" s="1" t="s">
        <v>709</v>
      </c>
      <c r="I105" s="20">
        <v>45669</v>
      </c>
    </row>
    <row r="106" spans="1:9" ht="14.4" x14ac:dyDescent="0.3">
      <c r="A106" t="s">
        <v>97</v>
      </c>
      <c r="B106" t="s">
        <v>692</v>
      </c>
      <c r="C106" t="s">
        <v>102</v>
      </c>
      <c r="D106">
        <v>2022</v>
      </c>
      <c r="E106" t="s">
        <v>693</v>
      </c>
      <c r="F106" s="1" t="s">
        <v>694</v>
      </c>
      <c r="G106" s="1" t="s">
        <v>710</v>
      </c>
      <c r="I106" s="20">
        <v>45669</v>
      </c>
    </row>
    <row r="107" spans="1:9" ht="14.4" x14ac:dyDescent="0.3">
      <c r="A107" t="s">
        <v>97</v>
      </c>
      <c r="B107" t="s">
        <v>692</v>
      </c>
      <c r="C107" t="s">
        <v>102</v>
      </c>
      <c r="D107">
        <v>2023</v>
      </c>
      <c r="E107" t="s">
        <v>693</v>
      </c>
      <c r="F107" s="1" t="s">
        <v>694</v>
      </c>
      <c r="G107" s="1" t="s">
        <v>711</v>
      </c>
      <c r="I107" s="20">
        <v>45669</v>
      </c>
    </row>
    <row r="108" spans="1:9" ht="14.4" x14ac:dyDescent="0.3">
      <c r="A108" t="s">
        <v>97</v>
      </c>
      <c r="B108" t="s">
        <v>692</v>
      </c>
      <c r="C108" t="s">
        <v>102</v>
      </c>
      <c r="D108">
        <v>2024</v>
      </c>
      <c r="E108" t="s">
        <v>693</v>
      </c>
      <c r="F108" s="1" t="s">
        <v>694</v>
      </c>
      <c r="G108" s="1" t="s">
        <v>711</v>
      </c>
      <c r="I108" s="20">
        <v>45669</v>
      </c>
    </row>
    <row r="109" spans="1:9" ht="14.4" x14ac:dyDescent="0.3">
      <c r="A109" t="s">
        <v>107</v>
      </c>
      <c r="B109" t="s">
        <v>578</v>
      </c>
      <c r="C109" t="s">
        <v>106</v>
      </c>
      <c r="D109">
        <v>2006</v>
      </c>
      <c r="E109" s="6" t="s">
        <v>712</v>
      </c>
      <c r="F109" s="8" t="s">
        <v>713</v>
      </c>
      <c r="G109" s="1" t="s">
        <v>714</v>
      </c>
      <c r="H109" t="s">
        <v>632</v>
      </c>
      <c r="I109" s="25" t="s">
        <v>715</v>
      </c>
    </row>
    <row r="110" spans="1:9" ht="14.4" x14ac:dyDescent="0.3">
      <c r="A110" t="s">
        <v>107</v>
      </c>
      <c r="B110" t="s">
        <v>578</v>
      </c>
      <c r="C110" t="s">
        <v>106</v>
      </c>
      <c r="D110">
        <v>2007</v>
      </c>
      <c r="E110" s="6" t="s">
        <v>712</v>
      </c>
      <c r="F110" s="8" t="s">
        <v>713</v>
      </c>
      <c r="G110" s="1" t="s">
        <v>716</v>
      </c>
      <c r="H110" t="s">
        <v>632</v>
      </c>
      <c r="I110" s="25" t="s">
        <v>715</v>
      </c>
    </row>
    <row r="111" spans="1:9" ht="14.4" x14ac:dyDescent="0.3">
      <c r="A111" t="s">
        <v>107</v>
      </c>
      <c r="B111" t="s">
        <v>578</v>
      </c>
      <c r="C111" t="s">
        <v>106</v>
      </c>
      <c r="D111">
        <v>2008</v>
      </c>
      <c r="E111" s="6" t="s">
        <v>712</v>
      </c>
      <c r="F111" s="8" t="s">
        <v>713</v>
      </c>
      <c r="G111" s="1" t="s">
        <v>716</v>
      </c>
      <c r="H111" t="s">
        <v>1381</v>
      </c>
      <c r="I111" s="25" t="s">
        <v>715</v>
      </c>
    </row>
    <row r="112" spans="1:9" ht="14.4" x14ac:dyDescent="0.3">
      <c r="A112" t="s">
        <v>107</v>
      </c>
      <c r="B112" t="s">
        <v>578</v>
      </c>
      <c r="C112" t="s">
        <v>106</v>
      </c>
      <c r="D112">
        <v>2009</v>
      </c>
      <c r="E112" s="6" t="s">
        <v>712</v>
      </c>
      <c r="F112" s="8" t="s">
        <v>713</v>
      </c>
      <c r="G112" s="1" t="s">
        <v>718</v>
      </c>
      <c r="H112" t="s">
        <v>717</v>
      </c>
      <c r="I112" s="25" t="s">
        <v>715</v>
      </c>
    </row>
    <row r="113" spans="1:9" ht="14.4" x14ac:dyDescent="0.3">
      <c r="A113" t="s">
        <v>107</v>
      </c>
      <c r="B113" t="s">
        <v>578</v>
      </c>
      <c r="C113" t="s">
        <v>106</v>
      </c>
      <c r="D113">
        <v>2010</v>
      </c>
      <c r="E113" s="6" t="s">
        <v>712</v>
      </c>
      <c r="F113" s="8" t="s">
        <v>713</v>
      </c>
      <c r="G113" s="1" t="s">
        <v>719</v>
      </c>
      <c r="H113" t="s">
        <v>717</v>
      </c>
      <c r="I113" s="25" t="s">
        <v>715</v>
      </c>
    </row>
    <row r="114" spans="1:9" ht="14.4" x14ac:dyDescent="0.3">
      <c r="A114" t="s">
        <v>107</v>
      </c>
      <c r="B114" t="s">
        <v>578</v>
      </c>
      <c r="C114" t="s">
        <v>106</v>
      </c>
      <c r="D114">
        <v>2011</v>
      </c>
      <c r="E114" s="6" t="s">
        <v>712</v>
      </c>
      <c r="F114" s="8" t="s">
        <v>713</v>
      </c>
      <c r="G114" s="1" t="s">
        <v>720</v>
      </c>
      <c r="H114" t="s">
        <v>717</v>
      </c>
      <c r="I114" s="25" t="s">
        <v>715</v>
      </c>
    </row>
    <row r="115" spans="1:9" ht="14.4" x14ac:dyDescent="0.3">
      <c r="A115" t="s">
        <v>107</v>
      </c>
      <c r="B115" t="s">
        <v>578</v>
      </c>
      <c r="C115" t="s">
        <v>106</v>
      </c>
      <c r="D115">
        <v>2012</v>
      </c>
      <c r="E115" s="6" t="s">
        <v>712</v>
      </c>
      <c r="F115" s="8" t="s">
        <v>713</v>
      </c>
      <c r="G115" s="1" t="s">
        <v>720</v>
      </c>
      <c r="H115" t="s">
        <v>717</v>
      </c>
      <c r="I115" s="25" t="s">
        <v>715</v>
      </c>
    </row>
    <row r="116" spans="1:9" ht="14.4" x14ac:dyDescent="0.3">
      <c r="A116" t="s">
        <v>107</v>
      </c>
      <c r="B116" t="s">
        <v>578</v>
      </c>
      <c r="C116" t="s">
        <v>106</v>
      </c>
      <c r="D116">
        <v>2013</v>
      </c>
      <c r="E116" s="6" t="s">
        <v>712</v>
      </c>
      <c r="F116" s="8" t="s">
        <v>713</v>
      </c>
      <c r="G116" s="1" t="s">
        <v>721</v>
      </c>
      <c r="H116" t="s">
        <v>717</v>
      </c>
      <c r="I116" s="25" t="s">
        <v>715</v>
      </c>
    </row>
    <row r="117" spans="1:9" ht="14.4" x14ac:dyDescent="0.3">
      <c r="A117" t="s">
        <v>107</v>
      </c>
      <c r="B117" t="s">
        <v>578</v>
      </c>
      <c r="C117" t="s">
        <v>106</v>
      </c>
      <c r="D117">
        <v>2014</v>
      </c>
      <c r="E117" s="6" t="s">
        <v>712</v>
      </c>
      <c r="F117" s="8" t="s">
        <v>713</v>
      </c>
      <c r="G117" s="1" t="s">
        <v>722</v>
      </c>
      <c r="H117" t="s">
        <v>717</v>
      </c>
      <c r="I117" s="25" t="s">
        <v>715</v>
      </c>
    </row>
    <row r="118" spans="1:9" ht="14.4" x14ac:dyDescent="0.3">
      <c r="A118" t="s">
        <v>107</v>
      </c>
      <c r="B118" t="s">
        <v>578</v>
      </c>
      <c r="C118" t="s">
        <v>106</v>
      </c>
      <c r="D118">
        <v>2015</v>
      </c>
      <c r="E118" s="6" t="s">
        <v>712</v>
      </c>
      <c r="F118" s="8" t="s">
        <v>713</v>
      </c>
      <c r="G118" s="1" t="s">
        <v>723</v>
      </c>
      <c r="H118" t="s">
        <v>717</v>
      </c>
      <c r="I118" s="25" t="s">
        <v>715</v>
      </c>
    </row>
    <row r="119" spans="1:9" ht="14.4" x14ac:dyDescent="0.3">
      <c r="A119" t="s">
        <v>107</v>
      </c>
      <c r="B119" t="s">
        <v>578</v>
      </c>
      <c r="C119" t="s">
        <v>106</v>
      </c>
      <c r="D119">
        <v>2016</v>
      </c>
      <c r="E119" s="6" t="s">
        <v>712</v>
      </c>
      <c r="F119" s="8" t="s">
        <v>713</v>
      </c>
      <c r="G119" s="1" t="s">
        <v>724</v>
      </c>
      <c r="H119" t="s">
        <v>717</v>
      </c>
      <c r="I119" s="25" t="s">
        <v>715</v>
      </c>
    </row>
    <row r="120" spans="1:9" ht="14.4" x14ac:dyDescent="0.3">
      <c r="A120" t="s">
        <v>107</v>
      </c>
      <c r="B120" t="s">
        <v>578</v>
      </c>
      <c r="C120" t="s">
        <v>106</v>
      </c>
      <c r="D120">
        <v>2017</v>
      </c>
      <c r="E120" s="6" t="s">
        <v>712</v>
      </c>
      <c r="F120" s="8" t="s">
        <v>713</v>
      </c>
      <c r="G120" s="1" t="s">
        <v>725</v>
      </c>
      <c r="H120" t="s">
        <v>717</v>
      </c>
      <c r="I120" s="25" t="s">
        <v>715</v>
      </c>
    </row>
    <row r="121" spans="1:9" ht="14.4" x14ac:dyDescent="0.3">
      <c r="A121" t="s">
        <v>107</v>
      </c>
      <c r="B121" t="s">
        <v>578</v>
      </c>
      <c r="C121" t="s">
        <v>106</v>
      </c>
      <c r="D121">
        <v>2018</v>
      </c>
      <c r="E121" s="6" t="s">
        <v>712</v>
      </c>
      <c r="F121" s="8" t="s">
        <v>713</v>
      </c>
      <c r="G121" s="1" t="s">
        <v>726</v>
      </c>
      <c r="H121" t="s">
        <v>717</v>
      </c>
      <c r="I121" s="25" t="s">
        <v>715</v>
      </c>
    </row>
    <row r="122" spans="1:9" ht="14.4" x14ac:dyDescent="0.3">
      <c r="A122" t="s">
        <v>107</v>
      </c>
      <c r="B122" t="s">
        <v>578</v>
      </c>
      <c r="C122" t="s">
        <v>106</v>
      </c>
      <c r="D122">
        <v>2019</v>
      </c>
      <c r="E122" s="6" t="s">
        <v>712</v>
      </c>
      <c r="F122" s="8" t="s">
        <v>713</v>
      </c>
      <c r="G122" t="s">
        <v>727</v>
      </c>
      <c r="H122" t="s">
        <v>717</v>
      </c>
      <c r="I122" s="25" t="s">
        <v>715</v>
      </c>
    </row>
    <row r="123" spans="1:9" ht="14.4" x14ac:dyDescent="0.3">
      <c r="A123" t="s">
        <v>107</v>
      </c>
      <c r="B123" t="s">
        <v>578</v>
      </c>
      <c r="C123" t="s">
        <v>106</v>
      </c>
      <c r="D123">
        <v>2020</v>
      </c>
      <c r="E123" s="6" t="s">
        <v>712</v>
      </c>
      <c r="F123" s="8" t="s">
        <v>713</v>
      </c>
      <c r="G123" t="s">
        <v>728</v>
      </c>
      <c r="H123" t="s">
        <v>717</v>
      </c>
      <c r="I123" s="25" t="s">
        <v>715</v>
      </c>
    </row>
    <row r="124" spans="1:9" ht="14.4" x14ac:dyDescent="0.3">
      <c r="A124" t="s">
        <v>107</v>
      </c>
      <c r="B124" t="s">
        <v>578</v>
      </c>
      <c r="C124" t="s">
        <v>106</v>
      </c>
      <c r="D124">
        <v>2021</v>
      </c>
      <c r="E124" s="6" t="s">
        <v>712</v>
      </c>
      <c r="F124" s="8" t="s">
        <v>713</v>
      </c>
      <c r="G124" t="s">
        <v>729</v>
      </c>
      <c r="H124" t="s">
        <v>717</v>
      </c>
      <c r="I124" s="25" t="s">
        <v>715</v>
      </c>
    </row>
    <row r="125" spans="1:9" ht="14.4" x14ac:dyDescent="0.3">
      <c r="A125" t="s">
        <v>107</v>
      </c>
      <c r="B125" t="s">
        <v>578</v>
      </c>
      <c r="C125" t="s">
        <v>106</v>
      </c>
      <c r="D125">
        <v>2022</v>
      </c>
      <c r="E125" s="6" t="s">
        <v>712</v>
      </c>
      <c r="F125" s="8" t="s">
        <v>713</v>
      </c>
      <c r="G125" t="s">
        <v>730</v>
      </c>
      <c r="H125" t="s">
        <v>717</v>
      </c>
      <c r="I125" s="25" t="s">
        <v>715</v>
      </c>
    </row>
    <row r="126" spans="1:9" ht="14.4" x14ac:dyDescent="0.3">
      <c r="A126" t="s">
        <v>107</v>
      </c>
      <c r="B126" t="s">
        <v>578</v>
      </c>
      <c r="C126" t="s">
        <v>106</v>
      </c>
      <c r="D126">
        <v>2023</v>
      </c>
      <c r="E126" s="6" t="s">
        <v>712</v>
      </c>
      <c r="F126" s="8" t="s">
        <v>713</v>
      </c>
      <c r="G126" s="1" t="s">
        <v>730</v>
      </c>
      <c r="H126" t="s">
        <v>717</v>
      </c>
      <c r="I126" s="25" t="s">
        <v>715</v>
      </c>
    </row>
    <row r="127" spans="1:9" ht="14.4" x14ac:dyDescent="0.3">
      <c r="A127" t="s">
        <v>107</v>
      </c>
      <c r="B127" t="s">
        <v>578</v>
      </c>
      <c r="C127" t="s">
        <v>106</v>
      </c>
      <c r="D127">
        <v>2024</v>
      </c>
      <c r="E127" s="6" t="s">
        <v>712</v>
      </c>
      <c r="F127" s="8" t="s">
        <v>713</v>
      </c>
      <c r="G127" s="1" t="s">
        <v>731</v>
      </c>
      <c r="H127" t="s">
        <v>717</v>
      </c>
      <c r="I127" s="25" t="s">
        <v>715</v>
      </c>
    </row>
    <row r="128" spans="1:9" ht="14.4" x14ac:dyDescent="0.3">
      <c r="A128" t="s">
        <v>132</v>
      </c>
      <c r="B128" t="s">
        <v>579</v>
      </c>
      <c r="C128" t="s">
        <v>131</v>
      </c>
      <c r="D128">
        <v>2008</v>
      </c>
      <c r="E128" s="6" t="s">
        <v>732</v>
      </c>
      <c r="F128" s="8" t="s">
        <v>733</v>
      </c>
      <c r="G128" s="8" t="s">
        <v>734</v>
      </c>
      <c r="H128" t="s">
        <v>735</v>
      </c>
      <c r="I128" s="25" t="s">
        <v>736</v>
      </c>
    </row>
    <row r="129" spans="1:9" ht="14.4" x14ac:dyDescent="0.3">
      <c r="A129" t="s">
        <v>132</v>
      </c>
      <c r="B129" t="s">
        <v>579</v>
      </c>
      <c r="C129" t="s">
        <v>131</v>
      </c>
      <c r="D129">
        <v>2009</v>
      </c>
      <c r="E129" s="6" t="s">
        <v>732</v>
      </c>
      <c r="F129" s="8" t="s">
        <v>733</v>
      </c>
      <c r="G129" t="s">
        <v>737</v>
      </c>
      <c r="H129" t="s">
        <v>735</v>
      </c>
      <c r="I129" s="25" t="s">
        <v>736</v>
      </c>
    </row>
    <row r="130" spans="1:9" ht="14.4" x14ac:dyDescent="0.3">
      <c r="A130" t="s">
        <v>132</v>
      </c>
      <c r="B130" t="s">
        <v>579</v>
      </c>
      <c r="C130" t="s">
        <v>131</v>
      </c>
      <c r="D130">
        <v>2010</v>
      </c>
      <c r="E130" s="6" t="s">
        <v>732</v>
      </c>
      <c r="F130" s="8" t="s">
        <v>733</v>
      </c>
      <c r="G130" t="s">
        <v>738</v>
      </c>
      <c r="H130" t="s">
        <v>735</v>
      </c>
      <c r="I130" s="25" t="s">
        <v>736</v>
      </c>
    </row>
    <row r="131" spans="1:9" ht="14.4" x14ac:dyDescent="0.3">
      <c r="A131" t="s">
        <v>132</v>
      </c>
      <c r="B131" t="s">
        <v>579</v>
      </c>
      <c r="C131" t="s">
        <v>131</v>
      </c>
      <c r="D131">
        <v>2011</v>
      </c>
      <c r="E131" s="6" t="s">
        <v>732</v>
      </c>
      <c r="F131" s="8" t="s">
        <v>733</v>
      </c>
      <c r="G131" t="s">
        <v>739</v>
      </c>
      <c r="H131" t="s">
        <v>735</v>
      </c>
      <c r="I131" s="25" t="s">
        <v>736</v>
      </c>
    </row>
    <row r="132" spans="1:9" ht="14.4" x14ac:dyDescent="0.3">
      <c r="A132" t="s">
        <v>132</v>
      </c>
      <c r="B132" t="s">
        <v>579</v>
      </c>
      <c r="C132" t="s">
        <v>131</v>
      </c>
      <c r="D132">
        <v>2012</v>
      </c>
      <c r="E132" s="6" t="s">
        <v>732</v>
      </c>
      <c r="F132" s="8" t="s">
        <v>733</v>
      </c>
      <c r="G132" t="s">
        <v>740</v>
      </c>
      <c r="H132" t="s">
        <v>735</v>
      </c>
      <c r="I132" s="25" t="s">
        <v>736</v>
      </c>
    </row>
    <row r="133" spans="1:9" ht="14.4" x14ac:dyDescent="0.3">
      <c r="A133" t="s">
        <v>132</v>
      </c>
      <c r="B133" t="s">
        <v>579</v>
      </c>
      <c r="C133" t="s">
        <v>131</v>
      </c>
      <c r="D133">
        <v>2013</v>
      </c>
      <c r="E133" s="6" t="s">
        <v>732</v>
      </c>
      <c r="F133" s="8" t="s">
        <v>733</v>
      </c>
      <c r="G133" t="s">
        <v>741</v>
      </c>
      <c r="H133" t="s">
        <v>735</v>
      </c>
      <c r="I133" s="25" t="s">
        <v>736</v>
      </c>
    </row>
    <row r="134" spans="1:9" ht="14.4" x14ac:dyDescent="0.3">
      <c r="A134" t="s">
        <v>132</v>
      </c>
      <c r="B134" t="s">
        <v>579</v>
      </c>
      <c r="C134" t="s">
        <v>131</v>
      </c>
      <c r="D134">
        <v>2014</v>
      </c>
      <c r="E134" s="6" t="s">
        <v>732</v>
      </c>
      <c r="F134" s="8" t="s">
        <v>733</v>
      </c>
      <c r="G134" t="s">
        <v>742</v>
      </c>
      <c r="H134" t="s">
        <v>735</v>
      </c>
      <c r="I134" s="25" t="s">
        <v>736</v>
      </c>
    </row>
    <row r="135" spans="1:9" ht="14.4" x14ac:dyDescent="0.3">
      <c r="A135" t="s">
        <v>132</v>
      </c>
      <c r="B135" t="s">
        <v>579</v>
      </c>
      <c r="C135" t="s">
        <v>131</v>
      </c>
      <c r="D135">
        <v>2015</v>
      </c>
      <c r="E135" s="6" t="s">
        <v>732</v>
      </c>
      <c r="F135" s="8" t="s">
        <v>733</v>
      </c>
      <c r="G135" t="s">
        <v>743</v>
      </c>
      <c r="H135" t="s">
        <v>735</v>
      </c>
      <c r="I135" s="25" t="s">
        <v>736</v>
      </c>
    </row>
    <row r="136" spans="1:9" ht="14.4" x14ac:dyDescent="0.3">
      <c r="A136" t="s">
        <v>132</v>
      </c>
      <c r="B136" t="s">
        <v>579</v>
      </c>
      <c r="C136" t="s">
        <v>131</v>
      </c>
      <c r="D136">
        <v>2016</v>
      </c>
      <c r="E136" s="6" t="s">
        <v>732</v>
      </c>
      <c r="F136" s="8" t="s">
        <v>733</v>
      </c>
      <c r="G136" s="8" t="s">
        <v>744</v>
      </c>
      <c r="I136" s="25" t="s">
        <v>736</v>
      </c>
    </row>
    <row r="137" spans="1:9" ht="14.4" x14ac:dyDescent="0.3">
      <c r="A137" t="s">
        <v>132</v>
      </c>
      <c r="B137" t="s">
        <v>579</v>
      </c>
      <c r="C137" t="s">
        <v>131</v>
      </c>
      <c r="D137">
        <v>2017</v>
      </c>
      <c r="E137" s="6" t="s">
        <v>732</v>
      </c>
      <c r="F137" s="8" t="s">
        <v>745</v>
      </c>
      <c r="G137" s="8" t="s">
        <v>746</v>
      </c>
      <c r="I137" s="25" t="s">
        <v>736</v>
      </c>
    </row>
    <row r="138" spans="1:9" ht="14.4" x14ac:dyDescent="0.3">
      <c r="A138" t="s">
        <v>132</v>
      </c>
      <c r="B138" t="s">
        <v>579</v>
      </c>
      <c r="C138" t="s">
        <v>131</v>
      </c>
      <c r="D138">
        <v>2018</v>
      </c>
      <c r="E138" s="6" t="s">
        <v>732</v>
      </c>
      <c r="F138" s="8" t="s">
        <v>745</v>
      </c>
      <c r="G138" s="8" t="s">
        <v>1382</v>
      </c>
      <c r="H138" t="s">
        <v>747</v>
      </c>
      <c r="I138" s="25" t="s">
        <v>736</v>
      </c>
    </row>
    <row r="139" spans="1:9" ht="14.4" x14ac:dyDescent="0.3">
      <c r="A139" t="s">
        <v>138</v>
      </c>
      <c r="B139" t="s">
        <v>580</v>
      </c>
      <c r="C139" t="s">
        <v>137</v>
      </c>
      <c r="D139">
        <v>2021</v>
      </c>
      <c r="E139" s="6" t="s">
        <v>748</v>
      </c>
      <c r="F139" s="8" t="s">
        <v>749</v>
      </c>
      <c r="G139" s="8" t="s">
        <v>750</v>
      </c>
      <c r="H139" t="s">
        <v>751</v>
      </c>
      <c r="I139" s="25" t="s">
        <v>736</v>
      </c>
    </row>
    <row r="140" spans="1:9" ht="14.4" x14ac:dyDescent="0.3">
      <c r="A140" t="s">
        <v>138</v>
      </c>
      <c r="B140" t="s">
        <v>580</v>
      </c>
      <c r="C140" t="s">
        <v>137</v>
      </c>
      <c r="D140">
        <v>2022</v>
      </c>
      <c r="E140" s="6" t="s">
        <v>748</v>
      </c>
      <c r="F140" s="8" t="s">
        <v>749</v>
      </c>
      <c r="G140" s="8" t="s">
        <v>750</v>
      </c>
      <c r="I140" s="25" t="s">
        <v>736</v>
      </c>
    </row>
    <row r="141" spans="1:9" ht="14.4" x14ac:dyDescent="0.3">
      <c r="A141" t="s">
        <v>138</v>
      </c>
      <c r="B141" t="s">
        <v>580</v>
      </c>
      <c r="C141" t="s">
        <v>137</v>
      </c>
      <c r="D141">
        <v>2023</v>
      </c>
      <c r="E141" s="6" t="s">
        <v>748</v>
      </c>
      <c r="F141" s="8" t="s">
        <v>749</v>
      </c>
      <c r="G141" s="8" t="s">
        <v>750</v>
      </c>
      <c r="I141" s="25" t="s">
        <v>736</v>
      </c>
    </row>
    <row r="142" spans="1:9" ht="14.4" x14ac:dyDescent="0.3">
      <c r="A142" t="s">
        <v>138</v>
      </c>
      <c r="B142" t="s">
        <v>580</v>
      </c>
      <c r="C142" t="s">
        <v>137</v>
      </c>
      <c r="D142">
        <v>2024</v>
      </c>
      <c r="E142" s="6" t="s">
        <v>748</v>
      </c>
      <c r="F142" s="8" t="s">
        <v>749</v>
      </c>
      <c r="G142" s="8" t="s">
        <v>752</v>
      </c>
      <c r="I142" s="25" t="s">
        <v>736</v>
      </c>
    </row>
    <row r="143" spans="1:9" ht="14.4" x14ac:dyDescent="0.3">
      <c r="A143" t="s">
        <v>144</v>
      </c>
      <c r="B143" t="s">
        <v>581</v>
      </c>
      <c r="C143" t="s">
        <v>143</v>
      </c>
      <c r="D143">
        <v>2006</v>
      </c>
      <c r="E143" s="6" t="s">
        <v>753</v>
      </c>
      <c r="F143" s="8" t="s">
        <v>754</v>
      </c>
      <c r="G143" s="8" t="s">
        <v>755</v>
      </c>
      <c r="H143" t="s">
        <v>756</v>
      </c>
      <c r="I143" s="25" t="s">
        <v>757</v>
      </c>
    </row>
    <row r="144" spans="1:9" ht="14.4" x14ac:dyDescent="0.3">
      <c r="A144" t="s">
        <v>144</v>
      </c>
      <c r="B144" t="s">
        <v>581</v>
      </c>
      <c r="C144" t="s">
        <v>143</v>
      </c>
      <c r="D144">
        <v>2007</v>
      </c>
      <c r="E144" s="6" t="s">
        <v>753</v>
      </c>
      <c r="F144" s="8" t="s">
        <v>754</v>
      </c>
      <c r="G144" t="s">
        <v>758</v>
      </c>
      <c r="H144" t="s">
        <v>756</v>
      </c>
      <c r="I144" s="25" t="s">
        <v>757</v>
      </c>
    </row>
    <row r="145" spans="1:9" ht="14.4" x14ac:dyDescent="0.3">
      <c r="A145" t="s">
        <v>144</v>
      </c>
      <c r="B145" t="s">
        <v>581</v>
      </c>
      <c r="C145" t="s">
        <v>143</v>
      </c>
      <c r="D145">
        <v>2008</v>
      </c>
      <c r="E145" s="6" t="s">
        <v>753</v>
      </c>
      <c r="F145" s="8" t="s">
        <v>754</v>
      </c>
      <c r="G145" t="s">
        <v>759</v>
      </c>
      <c r="H145" t="s">
        <v>756</v>
      </c>
      <c r="I145" s="25" t="s">
        <v>757</v>
      </c>
    </row>
    <row r="146" spans="1:9" ht="14.4" x14ac:dyDescent="0.3">
      <c r="A146" t="s">
        <v>144</v>
      </c>
      <c r="B146" t="s">
        <v>581</v>
      </c>
      <c r="C146" t="s">
        <v>143</v>
      </c>
      <c r="D146">
        <v>2009</v>
      </c>
      <c r="E146" s="6" t="s">
        <v>753</v>
      </c>
      <c r="F146" s="8" t="s">
        <v>754</v>
      </c>
      <c r="G146" t="s">
        <v>760</v>
      </c>
      <c r="H146" t="s">
        <v>756</v>
      </c>
      <c r="I146" s="25" t="s">
        <v>757</v>
      </c>
    </row>
    <row r="147" spans="1:9" ht="14.4" x14ac:dyDescent="0.3">
      <c r="A147" t="s">
        <v>144</v>
      </c>
      <c r="B147" t="s">
        <v>581</v>
      </c>
      <c r="C147" t="s">
        <v>143</v>
      </c>
      <c r="D147">
        <v>2010</v>
      </c>
      <c r="E147" s="6" t="s">
        <v>753</v>
      </c>
      <c r="F147" s="15" t="s">
        <v>761</v>
      </c>
      <c r="G147" s="8" t="s">
        <v>762</v>
      </c>
      <c r="H147" t="s">
        <v>668</v>
      </c>
      <c r="I147" s="25" t="s">
        <v>757</v>
      </c>
    </row>
    <row r="148" spans="1:9" ht="14.4" x14ac:dyDescent="0.3">
      <c r="A148" t="s">
        <v>144</v>
      </c>
      <c r="B148" t="s">
        <v>581</v>
      </c>
      <c r="C148" t="s">
        <v>143</v>
      </c>
      <c r="D148">
        <v>2011</v>
      </c>
      <c r="E148" s="6" t="s">
        <v>753</v>
      </c>
      <c r="F148" s="15" t="s">
        <v>761</v>
      </c>
      <c r="G148" s="8" t="s">
        <v>762</v>
      </c>
      <c r="H148" t="s">
        <v>668</v>
      </c>
      <c r="I148" s="25" t="s">
        <v>757</v>
      </c>
    </row>
    <row r="149" spans="1:9" ht="14.4" x14ac:dyDescent="0.3">
      <c r="A149" t="s">
        <v>144</v>
      </c>
      <c r="B149" t="s">
        <v>581</v>
      </c>
      <c r="C149" t="s">
        <v>143</v>
      </c>
      <c r="D149">
        <v>2012</v>
      </c>
      <c r="E149" s="6" t="s">
        <v>753</v>
      </c>
      <c r="F149" s="15" t="s">
        <v>761</v>
      </c>
      <c r="G149" s="15" t="s">
        <v>763</v>
      </c>
      <c r="H149" s="21"/>
      <c r="I149" s="25" t="s">
        <v>757</v>
      </c>
    </row>
    <row r="150" spans="1:9" ht="14.4" x14ac:dyDescent="0.3">
      <c r="A150" t="s">
        <v>144</v>
      </c>
      <c r="B150" t="s">
        <v>581</v>
      </c>
      <c r="C150" t="s">
        <v>143</v>
      </c>
      <c r="D150">
        <v>2013</v>
      </c>
      <c r="E150" s="6" t="s">
        <v>753</v>
      </c>
      <c r="F150" s="15" t="s">
        <v>761</v>
      </c>
      <c r="G150" t="s">
        <v>764</v>
      </c>
      <c r="H150" s="21"/>
      <c r="I150" s="25" t="s">
        <v>757</v>
      </c>
    </row>
    <row r="151" spans="1:9" ht="14.4" x14ac:dyDescent="0.3">
      <c r="A151" t="s">
        <v>144</v>
      </c>
      <c r="B151" t="s">
        <v>581</v>
      </c>
      <c r="C151" t="s">
        <v>143</v>
      </c>
      <c r="D151">
        <v>2014</v>
      </c>
      <c r="E151" s="6" t="s">
        <v>753</v>
      </c>
      <c r="F151" s="15" t="s">
        <v>761</v>
      </c>
      <c r="G151" t="s">
        <v>765</v>
      </c>
      <c r="H151" s="21"/>
      <c r="I151" s="25" t="s">
        <v>757</v>
      </c>
    </row>
    <row r="152" spans="1:9" ht="14.4" x14ac:dyDescent="0.3">
      <c r="A152" t="s">
        <v>144</v>
      </c>
      <c r="B152" t="s">
        <v>581</v>
      </c>
      <c r="C152" t="s">
        <v>143</v>
      </c>
      <c r="D152">
        <v>2015</v>
      </c>
      <c r="E152" s="6" t="s">
        <v>753</v>
      </c>
      <c r="F152" s="15" t="s">
        <v>761</v>
      </c>
      <c r="G152" s="15" t="s">
        <v>766</v>
      </c>
      <c r="H152" s="21"/>
      <c r="I152" s="25" t="s">
        <v>757</v>
      </c>
    </row>
    <row r="153" spans="1:9" ht="14.4" x14ac:dyDescent="0.3">
      <c r="A153" t="s">
        <v>144</v>
      </c>
      <c r="B153" t="s">
        <v>581</v>
      </c>
      <c r="C153" t="s">
        <v>143</v>
      </c>
      <c r="D153">
        <v>2016</v>
      </c>
      <c r="E153" s="6" t="s">
        <v>753</v>
      </c>
      <c r="F153" s="15" t="s">
        <v>761</v>
      </c>
      <c r="G153" t="s">
        <v>767</v>
      </c>
      <c r="H153" s="21"/>
      <c r="I153" s="25" t="s">
        <v>757</v>
      </c>
    </row>
    <row r="154" spans="1:9" ht="14.4" x14ac:dyDescent="0.3">
      <c r="A154" t="s">
        <v>144</v>
      </c>
      <c r="B154" t="s">
        <v>581</v>
      </c>
      <c r="C154" t="s">
        <v>143</v>
      </c>
      <c r="D154">
        <v>2017</v>
      </c>
      <c r="E154" s="6" t="s">
        <v>753</v>
      </c>
      <c r="F154" s="15" t="s">
        <v>761</v>
      </c>
      <c r="G154" s="15" t="s">
        <v>768</v>
      </c>
      <c r="H154" s="21"/>
      <c r="I154" s="25" t="s">
        <v>757</v>
      </c>
    </row>
    <row r="155" spans="1:9" ht="14.4" x14ac:dyDescent="0.3">
      <c r="A155" t="s">
        <v>144</v>
      </c>
      <c r="B155" t="s">
        <v>581</v>
      </c>
      <c r="C155" t="s">
        <v>143</v>
      </c>
      <c r="D155">
        <v>2018</v>
      </c>
      <c r="E155" s="6" t="s">
        <v>753</v>
      </c>
      <c r="F155" s="15" t="s">
        <v>761</v>
      </c>
      <c r="G155" t="s">
        <v>769</v>
      </c>
      <c r="H155" s="21"/>
      <c r="I155" s="25" t="s">
        <v>757</v>
      </c>
    </row>
    <row r="156" spans="1:9" ht="14.4" x14ac:dyDescent="0.3">
      <c r="A156" t="s">
        <v>144</v>
      </c>
      <c r="B156" t="s">
        <v>581</v>
      </c>
      <c r="C156" t="s">
        <v>143</v>
      </c>
      <c r="D156">
        <v>2019</v>
      </c>
      <c r="E156" s="6" t="s">
        <v>753</v>
      </c>
      <c r="F156" s="15" t="s">
        <v>761</v>
      </c>
      <c r="G156" t="s">
        <v>769</v>
      </c>
      <c r="H156" s="21"/>
      <c r="I156" s="25" t="s">
        <v>757</v>
      </c>
    </row>
    <row r="157" spans="1:9" ht="14.4" x14ac:dyDescent="0.3">
      <c r="A157" t="s">
        <v>144</v>
      </c>
      <c r="B157" t="s">
        <v>581</v>
      </c>
      <c r="C157" t="s">
        <v>143</v>
      </c>
      <c r="D157">
        <v>2020</v>
      </c>
      <c r="E157" s="6" t="s">
        <v>753</v>
      </c>
      <c r="F157" s="15" t="s">
        <v>761</v>
      </c>
      <c r="G157" s="15" t="s">
        <v>770</v>
      </c>
      <c r="H157" s="21"/>
      <c r="I157" s="25" t="s">
        <v>757</v>
      </c>
    </row>
    <row r="158" spans="1:9" ht="14.4" x14ac:dyDescent="0.3">
      <c r="A158" t="s">
        <v>144</v>
      </c>
      <c r="B158" t="s">
        <v>581</v>
      </c>
      <c r="C158" t="s">
        <v>143</v>
      </c>
      <c r="D158">
        <v>2021</v>
      </c>
      <c r="E158" s="6" t="s">
        <v>753</v>
      </c>
      <c r="F158" s="15" t="s">
        <v>761</v>
      </c>
      <c r="G158" t="s">
        <v>771</v>
      </c>
      <c r="H158" s="21"/>
      <c r="I158" s="25" t="s">
        <v>757</v>
      </c>
    </row>
    <row r="159" spans="1:9" ht="14.4" x14ac:dyDescent="0.3">
      <c r="A159" t="s">
        <v>144</v>
      </c>
      <c r="B159" t="s">
        <v>581</v>
      </c>
      <c r="C159" t="s">
        <v>143</v>
      </c>
      <c r="D159">
        <v>2022</v>
      </c>
      <c r="E159" s="6" t="s">
        <v>753</v>
      </c>
      <c r="F159" s="15" t="s">
        <v>761</v>
      </c>
      <c r="G159" t="s">
        <v>772</v>
      </c>
      <c r="H159" s="21"/>
      <c r="I159" s="25" t="s">
        <v>757</v>
      </c>
    </row>
    <row r="160" spans="1:9" ht="14.4" x14ac:dyDescent="0.3">
      <c r="A160" t="s">
        <v>144</v>
      </c>
      <c r="B160" t="s">
        <v>581</v>
      </c>
      <c r="C160" t="s">
        <v>143</v>
      </c>
      <c r="D160">
        <v>2023</v>
      </c>
      <c r="E160" s="6" t="s">
        <v>753</v>
      </c>
      <c r="F160" s="15" t="s">
        <v>761</v>
      </c>
      <c r="G160" t="s">
        <v>773</v>
      </c>
      <c r="H160" s="21"/>
      <c r="I160" s="25" t="s">
        <v>757</v>
      </c>
    </row>
    <row r="161" spans="1:9" ht="14.4" x14ac:dyDescent="0.3">
      <c r="A161" t="s">
        <v>144</v>
      </c>
      <c r="B161" t="s">
        <v>581</v>
      </c>
      <c r="C161" t="s">
        <v>143</v>
      </c>
      <c r="D161">
        <v>2024</v>
      </c>
      <c r="E161" s="6" t="s">
        <v>753</v>
      </c>
      <c r="F161" s="16" t="s">
        <v>754</v>
      </c>
      <c r="G161" s="9" t="s">
        <v>755</v>
      </c>
      <c r="H161" t="s">
        <v>756</v>
      </c>
      <c r="I161" s="25" t="s">
        <v>757</v>
      </c>
    </row>
    <row r="162" spans="1:9" ht="14.4" x14ac:dyDescent="0.3">
      <c r="A162" t="s">
        <v>144</v>
      </c>
      <c r="B162" t="s">
        <v>581</v>
      </c>
      <c r="C162" t="s">
        <v>148</v>
      </c>
      <c r="D162">
        <v>2007</v>
      </c>
      <c r="E162" s="6" t="s">
        <v>753</v>
      </c>
      <c r="F162" s="15" t="s">
        <v>774</v>
      </c>
      <c r="G162" s="8" t="s">
        <v>775</v>
      </c>
      <c r="H162" t="s">
        <v>756</v>
      </c>
      <c r="I162" s="25" t="s">
        <v>757</v>
      </c>
    </row>
    <row r="163" spans="1:9" ht="14.4" x14ac:dyDescent="0.3">
      <c r="A163" t="s">
        <v>144</v>
      </c>
      <c r="B163" t="s">
        <v>581</v>
      </c>
      <c r="C163" t="s">
        <v>148</v>
      </c>
      <c r="D163">
        <v>2008</v>
      </c>
      <c r="E163" s="6" t="s">
        <v>753</v>
      </c>
      <c r="F163" s="15" t="s">
        <v>774</v>
      </c>
      <c r="G163" s="8" t="s">
        <v>776</v>
      </c>
      <c r="H163" t="s">
        <v>756</v>
      </c>
      <c r="I163" s="25" t="s">
        <v>757</v>
      </c>
    </row>
    <row r="164" spans="1:9" ht="14.4" x14ac:dyDescent="0.3">
      <c r="A164" t="s">
        <v>144</v>
      </c>
      <c r="B164" t="s">
        <v>581</v>
      </c>
      <c r="C164" t="s">
        <v>148</v>
      </c>
      <c r="D164">
        <v>2009</v>
      </c>
      <c r="E164" s="6" t="s">
        <v>753</v>
      </c>
      <c r="F164" s="15" t="s">
        <v>774</v>
      </c>
      <c r="G164" s="8" t="s">
        <v>777</v>
      </c>
      <c r="H164" t="s">
        <v>756</v>
      </c>
      <c r="I164" s="25" t="s">
        <v>757</v>
      </c>
    </row>
    <row r="165" spans="1:9" ht="14.4" x14ac:dyDescent="0.3">
      <c r="A165" t="s">
        <v>144</v>
      </c>
      <c r="B165" t="s">
        <v>581</v>
      </c>
      <c r="C165" t="s">
        <v>148</v>
      </c>
      <c r="D165">
        <v>2010</v>
      </c>
      <c r="E165" s="6" t="s">
        <v>753</v>
      </c>
      <c r="F165" s="15" t="s">
        <v>761</v>
      </c>
      <c r="G165" t="s">
        <v>762</v>
      </c>
      <c r="H165" t="s">
        <v>778</v>
      </c>
      <c r="I165" s="25" t="s">
        <v>757</v>
      </c>
    </row>
    <row r="166" spans="1:9" ht="14.4" x14ac:dyDescent="0.3">
      <c r="A166" t="s">
        <v>144</v>
      </c>
      <c r="B166" t="s">
        <v>581</v>
      </c>
      <c r="C166" t="s">
        <v>148</v>
      </c>
      <c r="D166">
        <v>2011</v>
      </c>
      <c r="E166" s="6" t="s">
        <v>753</v>
      </c>
      <c r="F166" s="15" t="s">
        <v>761</v>
      </c>
      <c r="G166" s="8" t="s">
        <v>762</v>
      </c>
      <c r="H166" t="s">
        <v>778</v>
      </c>
      <c r="I166" s="25" t="s">
        <v>757</v>
      </c>
    </row>
    <row r="167" spans="1:9" ht="14.4" x14ac:dyDescent="0.3">
      <c r="A167" t="s">
        <v>144</v>
      </c>
      <c r="B167" t="s">
        <v>581</v>
      </c>
      <c r="C167" t="s">
        <v>148</v>
      </c>
      <c r="D167">
        <v>2012</v>
      </c>
      <c r="E167" s="6" t="s">
        <v>753</v>
      </c>
      <c r="F167" s="15" t="s">
        <v>761</v>
      </c>
      <c r="G167" s="15" t="s">
        <v>763</v>
      </c>
      <c r="H167" s="21"/>
      <c r="I167" s="25" t="s">
        <v>757</v>
      </c>
    </row>
    <row r="168" spans="1:9" ht="14.4" x14ac:dyDescent="0.3">
      <c r="A168" t="s">
        <v>144</v>
      </c>
      <c r="B168" t="s">
        <v>581</v>
      </c>
      <c r="C168" t="s">
        <v>148</v>
      </c>
      <c r="D168">
        <v>2013</v>
      </c>
      <c r="E168" s="6" t="s">
        <v>753</v>
      </c>
      <c r="F168" s="15" t="s">
        <v>761</v>
      </c>
      <c r="G168" t="s">
        <v>764</v>
      </c>
      <c r="H168" s="21"/>
      <c r="I168" s="25" t="s">
        <v>757</v>
      </c>
    </row>
    <row r="169" spans="1:9" ht="14.4" x14ac:dyDescent="0.3">
      <c r="A169" t="s">
        <v>144</v>
      </c>
      <c r="B169" t="s">
        <v>581</v>
      </c>
      <c r="C169" t="s">
        <v>148</v>
      </c>
      <c r="D169">
        <v>2014</v>
      </c>
      <c r="E169" s="6" t="s">
        <v>753</v>
      </c>
      <c r="F169" s="15" t="s">
        <v>761</v>
      </c>
      <c r="G169" t="s">
        <v>765</v>
      </c>
      <c r="H169" s="21"/>
      <c r="I169" s="25" t="s">
        <v>757</v>
      </c>
    </row>
    <row r="170" spans="1:9" ht="14.4" x14ac:dyDescent="0.3">
      <c r="A170" t="s">
        <v>144</v>
      </c>
      <c r="B170" t="s">
        <v>581</v>
      </c>
      <c r="C170" t="s">
        <v>148</v>
      </c>
      <c r="D170">
        <v>2015</v>
      </c>
      <c r="E170" s="6" t="s">
        <v>753</v>
      </c>
      <c r="F170" s="15" t="s">
        <v>761</v>
      </c>
      <c r="G170" s="15" t="s">
        <v>766</v>
      </c>
      <c r="H170" s="21"/>
      <c r="I170" s="25" t="s">
        <v>757</v>
      </c>
    </row>
    <row r="171" spans="1:9" ht="14.4" x14ac:dyDescent="0.3">
      <c r="A171" t="s">
        <v>144</v>
      </c>
      <c r="B171" t="s">
        <v>581</v>
      </c>
      <c r="C171" t="s">
        <v>148</v>
      </c>
      <c r="D171">
        <v>2016</v>
      </c>
      <c r="E171" s="6" t="s">
        <v>753</v>
      </c>
      <c r="F171" s="15" t="s">
        <v>761</v>
      </c>
      <c r="G171" t="s">
        <v>767</v>
      </c>
      <c r="H171" s="21"/>
      <c r="I171" s="25" t="s">
        <v>757</v>
      </c>
    </row>
    <row r="172" spans="1:9" ht="14.4" x14ac:dyDescent="0.3">
      <c r="A172" t="s">
        <v>144</v>
      </c>
      <c r="B172" t="s">
        <v>581</v>
      </c>
      <c r="C172" t="s">
        <v>148</v>
      </c>
      <c r="D172">
        <v>2017</v>
      </c>
      <c r="E172" s="6" t="s">
        <v>753</v>
      </c>
      <c r="F172" s="15" t="s">
        <v>761</v>
      </c>
      <c r="G172" s="15" t="s">
        <v>768</v>
      </c>
      <c r="H172" s="21"/>
      <c r="I172" s="25" t="s">
        <v>757</v>
      </c>
    </row>
    <row r="173" spans="1:9" ht="14.4" x14ac:dyDescent="0.3">
      <c r="A173" t="s">
        <v>144</v>
      </c>
      <c r="B173" t="s">
        <v>581</v>
      </c>
      <c r="C173" t="s">
        <v>148</v>
      </c>
      <c r="D173">
        <v>2018</v>
      </c>
      <c r="E173" s="6" t="s">
        <v>753</v>
      </c>
      <c r="F173" s="15" t="s">
        <v>761</v>
      </c>
      <c r="G173" t="s">
        <v>769</v>
      </c>
      <c r="H173" s="21"/>
      <c r="I173" s="25" t="s">
        <v>757</v>
      </c>
    </row>
    <row r="174" spans="1:9" ht="14.4" x14ac:dyDescent="0.3">
      <c r="A174" t="s">
        <v>144</v>
      </c>
      <c r="B174" t="s">
        <v>581</v>
      </c>
      <c r="C174" t="s">
        <v>148</v>
      </c>
      <c r="D174">
        <v>2019</v>
      </c>
      <c r="E174" s="6" t="s">
        <v>753</v>
      </c>
      <c r="F174" s="15" t="s">
        <v>761</v>
      </c>
      <c r="G174" t="s">
        <v>769</v>
      </c>
      <c r="H174" s="21"/>
      <c r="I174" s="25" t="s">
        <v>757</v>
      </c>
    </row>
    <row r="175" spans="1:9" ht="14.4" x14ac:dyDescent="0.3">
      <c r="A175" t="s">
        <v>144</v>
      </c>
      <c r="B175" t="s">
        <v>581</v>
      </c>
      <c r="C175" t="s">
        <v>148</v>
      </c>
      <c r="D175">
        <v>2020</v>
      </c>
      <c r="E175" s="6" t="s">
        <v>753</v>
      </c>
      <c r="F175" s="15" t="s">
        <v>761</v>
      </c>
      <c r="G175" s="15" t="s">
        <v>770</v>
      </c>
      <c r="H175" s="21"/>
      <c r="I175" s="25" t="s">
        <v>757</v>
      </c>
    </row>
    <row r="176" spans="1:9" ht="14.4" x14ac:dyDescent="0.3">
      <c r="A176" t="s">
        <v>144</v>
      </c>
      <c r="B176" t="s">
        <v>581</v>
      </c>
      <c r="C176" t="s">
        <v>148</v>
      </c>
      <c r="D176">
        <v>2021</v>
      </c>
      <c r="E176" s="6" t="s">
        <v>753</v>
      </c>
      <c r="F176" s="15" t="s">
        <v>761</v>
      </c>
      <c r="G176" t="s">
        <v>771</v>
      </c>
      <c r="H176" s="21"/>
      <c r="I176" s="25" t="s">
        <v>757</v>
      </c>
    </row>
    <row r="177" spans="1:9" ht="14.4" x14ac:dyDescent="0.3">
      <c r="A177" t="s">
        <v>144</v>
      </c>
      <c r="B177" t="s">
        <v>581</v>
      </c>
      <c r="C177" t="s">
        <v>148</v>
      </c>
      <c r="D177">
        <v>2022</v>
      </c>
      <c r="E177" s="6" t="s">
        <v>753</v>
      </c>
      <c r="F177" s="15" t="s">
        <v>761</v>
      </c>
      <c r="G177" t="s">
        <v>772</v>
      </c>
      <c r="H177" s="21"/>
      <c r="I177" s="25" t="s">
        <v>757</v>
      </c>
    </row>
    <row r="178" spans="1:9" ht="14.4" x14ac:dyDescent="0.3">
      <c r="A178" t="s">
        <v>144</v>
      </c>
      <c r="B178" t="s">
        <v>581</v>
      </c>
      <c r="C178" t="s">
        <v>148</v>
      </c>
      <c r="D178">
        <v>2023</v>
      </c>
      <c r="E178" s="6" t="s">
        <v>753</v>
      </c>
      <c r="F178" s="15" t="s">
        <v>761</v>
      </c>
      <c r="G178" t="s">
        <v>773</v>
      </c>
      <c r="H178" s="21"/>
      <c r="I178" s="25" t="s">
        <v>757</v>
      </c>
    </row>
    <row r="179" spans="1:9" ht="14.4" x14ac:dyDescent="0.3">
      <c r="A179" t="s">
        <v>144</v>
      </c>
      <c r="B179" t="s">
        <v>581</v>
      </c>
      <c r="C179" t="s">
        <v>148</v>
      </c>
      <c r="D179">
        <v>2024</v>
      </c>
      <c r="E179" s="6" t="s">
        <v>753</v>
      </c>
      <c r="F179" s="16" t="s">
        <v>774</v>
      </c>
      <c r="G179" s="16" t="s">
        <v>775</v>
      </c>
      <c r="H179" t="s">
        <v>756</v>
      </c>
      <c r="I179" s="25" t="s">
        <v>757</v>
      </c>
    </row>
    <row r="180" spans="1:9" ht="14.4" x14ac:dyDescent="0.3">
      <c r="A180" t="s">
        <v>153</v>
      </c>
      <c r="B180" t="s">
        <v>582</v>
      </c>
      <c r="C180" t="s">
        <v>158</v>
      </c>
      <c r="D180">
        <v>2007</v>
      </c>
      <c r="E180" s="6" t="s">
        <v>158</v>
      </c>
      <c r="F180" s="8" t="s">
        <v>158</v>
      </c>
      <c r="H180" t="s">
        <v>779</v>
      </c>
      <c r="I180" s="25" t="s">
        <v>780</v>
      </c>
    </row>
    <row r="181" spans="1:9" ht="14.4" x14ac:dyDescent="0.3">
      <c r="A181" t="s">
        <v>153</v>
      </c>
      <c r="B181" t="s">
        <v>582</v>
      </c>
      <c r="C181" t="s">
        <v>158</v>
      </c>
      <c r="D181">
        <v>2008</v>
      </c>
      <c r="E181" s="6" t="s">
        <v>158</v>
      </c>
      <c r="F181" s="8" t="s">
        <v>158</v>
      </c>
      <c r="G181" s="8" t="s">
        <v>781</v>
      </c>
      <c r="I181" s="25" t="s">
        <v>780</v>
      </c>
    </row>
    <row r="182" spans="1:9" ht="14.4" x14ac:dyDescent="0.3">
      <c r="A182" t="s">
        <v>153</v>
      </c>
      <c r="B182" t="s">
        <v>582</v>
      </c>
      <c r="C182" t="s">
        <v>158</v>
      </c>
      <c r="D182">
        <v>2009</v>
      </c>
      <c r="E182" s="6" t="s">
        <v>158</v>
      </c>
      <c r="F182" s="8" t="s">
        <v>158</v>
      </c>
      <c r="G182" s="8" t="s">
        <v>782</v>
      </c>
      <c r="I182" s="25" t="s">
        <v>780</v>
      </c>
    </row>
    <row r="183" spans="1:9" ht="14.4" x14ac:dyDescent="0.3">
      <c r="A183" t="s">
        <v>153</v>
      </c>
      <c r="B183" t="s">
        <v>582</v>
      </c>
      <c r="C183" t="s">
        <v>158</v>
      </c>
      <c r="D183">
        <v>2010</v>
      </c>
      <c r="E183" s="6" t="s">
        <v>158</v>
      </c>
      <c r="F183" s="8" t="s">
        <v>158</v>
      </c>
      <c r="G183" s="8" t="s">
        <v>783</v>
      </c>
      <c r="I183" s="25" t="s">
        <v>780</v>
      </c>
    </row>
    <row r="184" spans="1:9" ht="14.4" x14ac:dyDescent="0.3">
      <c r="A184" t="s">
        <v>153</v>
      </c>
      <c r="B184" t="s">
        <v>582</v>
      </c>
      <c r="C184" t="s">
        <v>158</v>
      </c>
      <c r="D184">
        <v>2011</v>
      </c>
      <c r="E184" s="6" t="s">
        <v>158</v>
      </c>
      <c r="F184" s="8" t="s">
        <v>158</v>
      </c>
      <c r="G184" s="8" t="s">
        <v>784</v>
      </c>
      <c r="I184" s="25" t="s">
        <v>780</v>
      </c>
    </row>
    <row r="185" spans="1:9" ht="14.4" x14ac:dyDescent="0.3">
      <c r="A185" t="s">
        <v>153</v>
      </c>
      <c r="B185" t="s">
        <v>582</v>
      </c>
      <c r="C185" t="s">
        <v>158</v>
      </c>
      <c r="D185">
        <v>2012</v>
      </c>
      <c r="E185" s="6" t="s">
        <v>158</v>
      </c>
      <c r="F185" s="8" t="s">
        <v>158</v>
      </c>
      <c r="G185" s="8" t="s">
        <v>785</v>
      </c>
      <c r="I185" s="25" t="s">
        <v>780</v>
      </c>
    </row>
    <row r="186" spans="1:9" ht="14.4" x14ac:dyDescent="0.3">
      <c r="A186" t="s">
        <v>153</v>
      </c>
      <c r="B186" t="s">
        <v>582</v>
      </c>
      <c r="C186" t="s">
        <v>158</v>
      </c>
      <c r="D186">
        <v>2013</v>
      </c>
      <c r="E186" s="6" t="s">
        <v>158</v>
      </c>
      <c r="F186" s="8" t="s">
        <v>158</v>
      </c>
      <c r="G186" s="8" t="s">
        <v>786</v>
      </c>
      <c r="H186" t="s">
        <v>632</v>
      </c>
      <c r="I186" s="25" t="s">
        <v>780</v>
      </c>
    </row>
    <row r="187" spans="1:9" ht="14.4" x14ac:dyDescent="0.3">
      <c r="A187" t="s">
        <v>153</v>
      </c>
      <c r="B187" t="s">
        <v>582</v>
      </c>
      <c r="C187" t="s">
        <v>158</v>
      </c>
      <c r="D187">
        <v>2014</v>
      </c>
      <c r="E187" s="6" t="s">
        <v>158</v>
      </c>
      <c r="F187" s="8" t="s">
        <v>158</v>
      </c>
      <c r="G187" s="8" t="s">
        <v>786</v>
      </c>
      <c r="I187" s="25" t="s">
        <v>780</v>
      </c>
    </row>
    <row r="188" spans="1:9" ht="14.4" x14ac:dyDescent="0.3">
      <c r="A188" t="s">
        <v>153</v>
      </c>
      <c r="B188" t="s">
        <v>582</v>
      </c>
      <c r="C188" t="s">
        <v>158</v>
      </c>
      <c r="D188">
        <v>2015</v>
      </c>
      <c r="E188" s="6" t="s">
        <v>158</v>
      </c>
      <c r="F188" s="8" t="s">
        <v>158</v>
      </c>
      <c r="G188" s="8" t="s">
        <v>787</v>
      </c>
      <c r="I188" s="25" t="s">
        <v>780</v>
      </c>
    </row>
    <row r="189" spans="1:9" ht="14.4" x14ac:dyDescent="0.3">
      <c r="A189" t="s">
        <v>153</v>
      </c>
      <c r="B189" t="s">
        <v>582</v>
      </c>
      <c r="C189" t="s">
        <v>158</v>
      </c>
      <c r="D189">
        <v>2016</v>
      </c>
      <c r="E189" s="6" t="s">
        <v>158</v>
      </c>
      <c r="F189" s="8" t="s">
        <v>158</v>
      </c>
      <c r="G189" s="8" t="s">
        <v>788</v>
      </c>
      <c r="I189" s="25" t="s">
        <v>780</v>
      </c>
    </row>
    <row r="190" spans="1:9" ht="14.4" x14ac:dyDescent="0.3">
      <c r="A190" t="s">
        <v>153</v>
      </c>
      <c r="B190" t="s">
        <v>582</v>
      </c>
      <c r="C190" t="s">
        <v>158</v>
      </c>
      <c r="D190">
        <v>2017</v>
      </c>
      <c r="E190" s="6" t="s">
        <v>158</v>
      </c>
      <c r="F190" s="8" t="s">
        <v>158</v>
      </c>
      <c r="G190" s="8" t="s">
        <v>789</v>
      </c>
      <c r="I190" s="25" t="s">
        <v>780</v>
      </c>
    </row>
    <row r="191" spans="1:9" ht="14.4" x14ac:dyDescent="0.3">
      <c r="A191" t="s">
        <v>153</v>
      </c>
      <c r="B191" t="s">
        <v>582</v>
      </c>
      <c r="C191" t="s">
        <v>158</v>
      </c>
      <c r="D191">
        <v>2018</v>
      </c>
      <c r="E191" s="6" t="s">
        <v>158</v>
      </c>
      <c r="F191" s="8" t="s">
        <v>158</v>
      </c>
      <c r="G191" s="8" t="s">
        <v>790</v>
      </c>
      <c r="I191" s="25" t="s">
        <v>780</v>
      </c>
    </row>
    <row r="192" spans="1:9" ht="14.4" x14ac:dyDescent="0.3">
      <c r="A192" t="s">
        <v>153</v>
      </c>
      <c r="B192" t="s">
        <v>582</v>
      </c>
      <c r="C192" t="s">
        <v>158</v>
      </c>
      <c r="D192">
        <v>2019</v>
      </c>
      <c r="E192" s="6" t="s">
        <v>158</v>
      </c>
      <c r="F192" s="8" t="s">
        <v>158</v>
      </c>
      <c r="G192" s="8" t="s">
        <v>791</v>
      </c>
      <c r="I192" s="25" t="s">
        <v>780</v>
      </c>
    </row>
    <row r="193" spans="1:9" ht="14.4" x14ac:dyDescent="0.3">
      <c r="A193" t="s">
        <v>153</v>
      </c>
      <c r="B193" t="s">
        <v>582</v>
      </c>
      <c r="C193" t="s">
        <v>158</v>
      </c>
      <c r="D193">
        <v>2020</v>
      </c>
      <c r="E193" s="6" t="s">
        <v>158</v>
      </c>
      <c r="F193" s="8" t="s">
        <v>158</v>
      </c>
      <c r="G193" s="8" t="s">
        <v>792</v>
      </c>
      <c r="I193" s="25" t="s">
        <v>780</v>
      </c>
    </row>
    <row r="194" spans="1:9" ht="14.4" x14ac:dyDescent="0.3">
      <c r="A194" t="s">
        <v>153</v>
      </c>
      <c r="B194" t="s">
        <v>582</v>
      </c>
      <c r="C194" t="s">
        <v>158</v>
      </c>
      <c r="D194">
        <v>2021</v>
      </c>
      <c r="E194" s="6" t="s">
        <v>158</v>
      </c>
      <c r="F194" s="8" t="s">
        <v>158</v>
      </c>
      <c r="G194" s="8" t="s">
        <v>793</v>
      </c>
      <c r="I194" s="25" t="s">
        <v>780</v>
      </c>
    </row>
    <row r="195" spans="1:9" ht="14.4" x14ac:dyDescent="0.3">
      <c r="A195" t="s">
        <v>153</v>
      </c>
      <c r="B195" t="s">
        <v>582</v>
      </c>
      <c r="C195" t="s">
        <v>158</v>
      </c>
      <c r="D195">
        <v>2022</v>
      </c>
      <c r="E195" s="6" t="s">
        <v>158</v>
      </c>
      <c r="F195" s="8" t="s">
        <v>158</v>
      </c>
      <c r="G195" s="8" t="s">
        <v>794</v>
      </c>
      <c r="I195" s="25" t="s">
        <v>780</v>
      </c>
    </row>
    <row r="196" spans="1:9" ht="14.4" x14ac:dyDescent="0.3">
      <c r="A196" t="s">
        <v>153</v>
      </c>
      <c r="B196" t="s">
        <v>582</v>
      </c>
      <c r="C196" t="s">
        <v>158</v>
      </c>
      <c r="D196">
        <v>2023</v>
      </c>
      <c r="E196" s="6" t="s">
        <v>158</v>
      </c>
      <c r="F196" s="8" t="s">
        <v>158</v>
      </c>
      <c r="G196" s="8" t="s">
        <v>795</v>
      </c>
      <c r="I196" s="25" t="s">
        <v>780</v>
      </c>
    </row>
    <row r="197" spans="1:9" ht="14.4" x14ac:dyDescent="0.3">
      <c r="A197" t="s">
        <v>153</v>
      </c>
      <c r="B197" t="s">
        <v>582</v>
      </c>
      <c r="C197" t="s">
        <v>158</v>
      </c>
      <c r="D197">
        <v>2024</v>
      </c>
      <c r="E197" s="6" t="s">
        <v>158</v>
      </c>
      <c r="F197" s="8" t="s">
        <v>158</v>
      </c>
      <c r="G197" s="1" t="s">
        <v>796</v>
      </c>
    </row>
    <row r="198" spans="1:9" ht="14.4" x14ac:dyDescent="0.3">
      <c r="A198" t="s">
        <v>162</v>
      </c>
      <c r="B198" t="s">
        <v>583</v>
      </c>
      <c r="C198" t="s">
        <v>167</v>
      </c>
      <c r="D198">
        <v>2019</v>
      </c>
      <c r="E198" s="6" t="s">
        <v>753</v>
      </c>
      <c r="F198" s="8" t="s">
        <v>797</v>
      </c>
      <c r="G198" t="s">
        <v>798</v>
      </c>
      <c r="I198" s="25" t="s">
        <v>799</v>
      </c>
    </row>
    <row r="199" spans="1:9" ht="14.4" x14ac:dyDescent="0.3">
      <c r="A199" t="s">
        <v>162</v>
      </c>
      <c r="B199" t="s">
        <v>583</v>
      </c>
      <c r="C199" t="s">
        <v>167</v>
      </c>
      <c r="D199">
        <v>2020</v>
      </c>
      <c r="E199" s="6" t="s">
        <v>753</v>
      </c>
      <c r="F199" s="8" t="s">
        <v>797</v>
      </c>
      <c r="G199" s="8" t="s">
        <v>800</v>
      </c>
      <c r="I199" s="25" t="s">
        <v>799</v>
      </c>
    </row>
    <row r="200" spans="1:9" ht="14.4" x14ac:dyDescent="0.3">
      <c r="A200" t="s">
        <v>162</v>
      </c>
      <c r="B200" t="s">
        <v>583</v>
      </c>
      <c r="C200" t="s">
        <v>167</v>
      </c>
      <c r="D200">
        <v>2021</v>
      </c>
      <c r="E200" s="6" t="s">
        <v>753</v>
      </c>
      <c r="F200" s="8" t="s">
        <v>797</v>
      </c>
      <c r="G200" s="8" t="s">
        <v>801</v>
      </c>
      <c r="I200" s="25" t="s">
        <v>799</v>
      </c>
    </row>
    <row r="201" spans="1:9" ht="14.4" x14ac:dyDescent="0.3">
      <c r="A201" t="s">
        <v>162</v>
      </c>
      <c r="B201" t="s">
        <v>583</v>
      </c>
      <c r="C201" t="s">
        <v>167</v>
      </c>
      <c r="D201">
        <v>2022</v>
      </c>
      <c r="E201" s="6" t="s">
        <v>753</v>
      </c>
      <c r="F201" s="8" t="s">
        <v>797</v>
      </c>
      <c r="G201" s="8" t="s">
        <v>802</v>
      </c>
      <c r="I201" s="25" t="s">
        <v>799</v>
      </c>
    </row>
    <row r="202" spans="1:9" ht="14.4" x14ac:dyDescent="0.3">
      <c r="A202" t="s">
        <v>162</v>
      </c>
      <c r="B202" t="s">
        <v>583</v>
      </c>
      <c r="C202" t="s">
        <v>167</v>
      </c>
      <c r="D202">
        <v>2023</v>
      </c>
      <c r="E202" s="6" t="s">
        <v>753</v>
      </c>
      <c r="F202" s="8" t="s">
        <v>797</v>
      </c>
      <c r="G202" s="8" t="s">
        <v>803</v>
      </c>
      <c r="I202" s="25" t="s">
        <v>799</v>
      </c>
    </row>
    <row r="203" spans="1:9" ht="14.4" x14ac:dyDescent="0.3">
      <c r="A203" t="s">
        <v>162</v>
      </c>
      <c r="B203" t="s">
        <v>583</v>
      </c>
      <c r="C203" t="s">
        <v>167</v>
      </c>
      <c r="D203">
        <v>2024</v>
      </c>
      <c r="E203" s="6" t="s">
        <v>753</v>
      </c>
      <c r="F203" s="8" t="s">
        <v>797</v>
      </c>
      <c r="G203" s="8" t="s">
        <v>804</v>
      </c>
      <c r="I203" s="25" t="s">
        <v>799</v>
      </c>
    </row>
    <row r="204" spans="1:9" ht="14.4" x14ac:dyDescent="0.3">
      <c r="A204" t="s">
        <v>162</v>
      </c>
      <c r="B204" t="s">
        <v>583</v>
      </c>
      <c r="C204" t="s">
        <v>161</v>
      </c>
      <c r="D204">
        <v>2010</v>
      </c>
      <c r="E204" s="6" t="s">
        <v>805</v>
      </c>
      <c r="F204" s="1" t="s">
        <v>806</v>
      </c>
      <c r="G204" t="s">
        <v>807</v>
      </c>
      <c r="I204" s="25" t="s">
        <v>799</v>
      </c>
    </row>
    <row r="205" spans="1:9" ht="14.4" x14ac:dyDescent="0.3">
      <c r="A205" t="s">
        <v>162</v>
      </c>
      <c r="B205" t="s">
        <v>583</v>
      </c>
      <c r="C205" t="s">
        <v>161</v>
      </c>
      <c r="D205">
        <v>2011</v>
      </c>
      <c r="E205" s="6" t="s">
        <v>805</v>
      </c>
      <c r="F205" t="s">
        <v>806</v>
      </c>
      <c r="G205" t="s">
        <v>807</v>
      </c>
      <c r="I205" s="25" t="s">
        <v>799</v>
      </c>
    </row>
    <row r="206" spans="1:9" ht="14.4" x14ac:dyDescent="0.3">
      <c r="A206" t="s">
        <v>162</v>
      </c>
      <c r="B206" t="s">
        <v>583</v>
      </c>
      <c r="C206" t="s">
        <v>161</v>
      </c>
      <c r="D206">
        <v>2012</v>
      </c>
      <c r="E206" s="6" t="s">
        <v>805</v>
      </c>
      <c r="F206" t="s">
        <v>806</v>
      </c>
      <c r="G206" t="s">
        <v>807</v>
      </c>
      <c r="I206" s="25" t="s">
        <v>799</v>
      </c>
    </row>
    <row r="207" spans="1:9" ht="14.4" x14ac:dyDescent="0.3">
      <c r="A207" t="s">
        <v>162</v>
      </c>
      <c r="B207" t="s">
        <v>583</v>
      </c>
      <c r="C207" t="s">
        <v>161</v>
      </c>
      <c r="D207">
        <v>2013</v>
      </c>
      <c r="E207" s="6" t="s">
        <v>805</v>
      </c>
      <c r="F207" t="s">
        <v>806</v>
      </c>
      <c r="G207" t="s">
        <v>807</v>
      </c>
      <c r="I207" s="25" t="s">
        <v>799</v>
      </c>
    </row>
    <row r="208" spans="1:9" ht="14.4" x14ac:dyDescent="0.3">
      <c r="A208" t="s">
        <v>162</v>
      </c>
      <c r="B208" t="s">
        <v>583</v>
      </c>
      <c r="C208" t="s">
        <v>161</v>
      </c>
      <c r="D208">
        <v>2014</v>
      </c>
      <c r="E208" s="6" t="s">
        <v>805</v>
      </c>
      <c r="F208" t="s">
        <v>806</v>
      </c>
      <c r="G208" t="s">
        <v>807</v>
      </c>
      <c r="I208" s="25" t="s">
        <v>799</v>
      </c>
    </row>
    <row r="209" spans="1:9" ht="14.4" x14ac:dyDescent="0.3">
      <c r="A209" t="s">
        <v>162</v>
      </c>
      <c r="B209" t="s">
        <v>583</v>
      </c>
      <c r="C209" t="s">
        <v>161</v>
      </c>
      <c r="D209">
        <v>2015</v>
      </c>
      <c r="E209" s="6" t="s">
        <v>805</v>
      </c>
      <c r="F209" t="s">
        <v>806</v>
      </c>
      <c r="G209" t="s">
        <v>807</v>
      </c>
      <c r="I209" s="25" t="s">
        <v>799</v>
      </c>
    </row>
    <row r="210" spans="1:9" ht="14.4" x14ac:dyDescent="0.3">
      <c r="A210" t="s">
        <v>162</v>
      </c>
      <c r="B210" t="s">
        <v>583</v>
      </c>
      <c r="C210" t="s">
        <v>161</v>
      </c>
      <c r="D210">
        <v>2016</v>
      </c>
      <c r="E210" s="6" t="s">
        <v>805</v>
      </c>
      <c r="F210" t="s">
        <v>806</v>
      </c>
      <c r="G210" t="s">
        <v>807</v>
      </c>
      <c r="I210" s="25" t="s">
        <v>799</v>
      </c>
    </row>
    <row r="211" spans="1:9" ht="14.4" x14ac:dyDescent="0.3">
      <c r="A211" t="s">
        <v>162</v>
      </c>
      <c r="B211" t="s">
        <v>583</v>
      </c>
      <c r="C211" t="s">
        <v>161</v>
      </c>
      <c r="D211">
        <v>2017</v>
      </c>
      <c r="E211" s="6" t="s">
        <v>805</v>
      </c>
      <c r="F211" t="s">
        <v>806</v>
      </c>
      <c r="G211" t="s">
        <v>807</v>
      </c>
      <c r="I211" s="25" t="s">
        <v>799</v>
      </c>
    </row>
    <row r="212" spans="1:9" ht="14.4" x14ac:dyDescent="0.3">
      <c r="A212" t="s">
        <v>162</v>
      </c>
      <c r="B212" t="s">
        <v>583</v>
      </c>
      <c r="C212" t="s">
        <v>161</v>
      </c>
      <c r="D212">
        <v>2018</v>
      </c>
      <c r="E212" s="6" t="s">
        <v>805</v>
      </c>
      <c r="F212" t="s">
        <v>806</v>
      </c>
      <c r="G212" t="s">
        <v>807</v>
      </c>
      <c r="I212" s="25" t="s">
        <v>799</v>
      </c>
    </row>
    <row r="213" spans="1:9" ht="14.4" x14ac:dyDescent="0.3">
      <c r="A213" t="s">
        <v>162</v>
      </c>
      <c r="B213" t="s">
        <v>583</v>
      </c>
      <c r="C213" t="s">
        <v>161</v>
      </c>
      <c r="D213">
        <v>2019</v>
      </c>
      <c r="E213" s="6" t="s">
        <v>805</v>
      </c>
      <c r="F213" t="s">
        <v>806</v>
      </c>
      <c r="G213" t="s">
        <v>807</v>
      </c>
      <c r="H213" s="23" t="s">
        <v>808</v>
      </c>
      <c r="I213" s="25" t="s">
        <v>799</v>
      </c>
    </row>
    <row r="214" spans="1:9" ht="14.4" x14ac:dyDescent="0.3">
      <c r="A214" t="s">
        <v>177</v>
      </c>
      <c r="B214" t="s">
        <v>809</v>
      </c>
      <c r="C214" t="s">
        <v>176</v>
      </c>
      <c r="D214">
        <v>2018</v>
      </c>
      <c r="E214" s="6" t="s">
        <v>810</v>
      </c>
      <c r="F214" s="1" t="s">
        <v>811</v>
      </c>
      <c r="G214" s="1" t="s">
        <v>812</v>
      </c>
      <c r="I214" s="20">
        <v>45728</v>
      </c>
    </row>
    <row r="215" spans="1:9" ht="14.4" x14ac:dyDescent="0.3">
      <c r="A215" t="s">
        <v>177</v>
      </c>
      <c r="B215" t="s">
        <v>809</v>
      </c>
      <c r="C215" t="s">
        <v>176</v>
      </c>
      <c r="D215">
        <v>2019</v>
      </c>
      <c r="E215" s="6" t="s">
        <v>810</v>
      </c>
      <c r="F215" s="1" t="s">
        <v>811</v>
      </c>
      <c r="G215" s="1" t="s">
        <v>812</v>
      </c>
      <c r="I215" s="20">
        <v>45728</v>
      </c>
    </row>
    <row r="216" spans="1:9" ht="14.4" x14ac:dyDescent="0.3">
      <c r="A216" t="s">
        <v>177</v>
      </c>
      <c r="B216" t="s">
        <v>809</v>
      </c>
      <c r="C216" t="s">
        <v>176</v>
      </c>
      <c r="D216">
        <v>2020</v>
      </c>
      <c r="E216" s="6" t="s">
        <v>810</v>
      </c>
      <c r="F216" s="1" t="s">
        <v>811</v>
      </c>
      <c r="G216" s="1" t="s">
        <v>812</v>
      </c>
      <c r="I216" s="20">
        <v>45728</v>
      </c>
    </row>
    <row r="217" spans="1:9" ht="14.4" x14ac:dyDescent="0.3">
      <c r="A217" t="s">
        <v>177</v>
      </c>
      <c r="B217" t="s">
        <v>809</v>
      </c>
      <c r="C217" t="s">
        <v>176</v>
      </c>
      <c r="D217">
        <v>2021</v>
      </c>
      <c r="E217" s="6" t="s">
        <v>810</v>
      </c>
      <c r="F217" s="1" t="s">
        <v>811</v>
      </c>
      <c r="G217" s="1" t="s">
        <v>812</v>
      </c>
      <c r="I217" s="20">
        <v>45728</v>
      </c>
    </row>
    <row r="218" spans="1:9" ht="14.4" x14ac:dyDescent="0.3">
      <c r="A218" t="s">
        <v>177</v>
      </c>
      <c r="B218" t="s">
        <v>809</v>
      </c>
      <c r="C218" t="s">
        <v>176</v>
      </c>
      <c r="D218">
        <v>2022</v>
      </c>
      <c r="E218" s="6" t="s">
        <v>810</v>
      </c>
      <c r="F218" s="1" t="s">
        <v>811</v>
      </c>
      <c r="G218" s="1" t="s">
        <v>812</v>
      </c>
      <c r="I218" s="20">
        <v>45728</v>
      </c>
    </row>
    <row r="219" spans="1:9" ht="14.4" x14ac:dyDescent="0.3">
      <c r="A219" t="s">
        <v>177</v>
      </c>
      <c r="B219" t="s">
        <v>809</v>
      </c>
      <c r="C219" t="s">
        <v>176</v>
      </c>
      <c r="D219">
        <v>2023</v>
      </c>
      <c r="E219" s="6" t="s">
        <v>810</v>
      </c>
      <c r="F219" s="1" t="s">
        <v>813</v>
      </c>
      <c r="G219" s="1" t="s">
        <v>814</v>
      </c>
      <c r="I219" s="20">
        <v>45728</v>
      </c>
    </row>
    <row r="220" spans="1:9" ht="14.4" x14ac:dyDescent="0.3">
      <c r="A220" t="s">
        <v>177</v>
      </c>
      <c r="B220" t="s">
        <v>809</v>
      </c>
      <c r="C220" t="s">
        <v>176</v>
      </c>
      <c r="D220">
        <v>2024</v>
      </c>
      <c r="E220" s="6" t="s">
        <v>810</v>
      </c>
      <c r="F220" s="1" t="s">
        <v>815</v>
      </c>
      <c r="G220" s="1" t="s">
        <v>814</v>
      </c>
      <c r="I220" s="20">
        <v>45728</v>
      </c>
    </row>
    <row r="221" spans="1:9" ht="14.4" x14ac:dyDescent="0.3">
      <c r="A221" t="s">
        <v>203</v>
      </c>
      <c r="B221" t="s">
        <v>584</v>
      </c>
      <c r="C221" t="s">
        <v>208</v>
      </c>
      <c r="D221">
        <v>2014</v>
      </c>
      <c r="E221" s="6" t="s">
        <v>816</v>
      </c>
      <c r="F221" s="1" t="s">
        <v>817</v>
      </c>
      <c r="G221" s="1" t="s">
        <v>818</v>
      </c>
      <c r="H221" s="13"/>
      <c r="I221" s="25" t="s">
        <v>819</v>
      </c>
    </row>
    <row r="222" spans="1:9" ht="14.4" x14ac:dyDescent="0.3">
      <c r="A222" t="s">
        <v>203</v>
      </c>
      <c r="B222" t="s">
        <v>584</v>
      </c>
      <c r="C222" t="s">
        <v>208</v>
      </c>
      <c r="D222">
        <v>2015</v>
      </c>
      <c r="E222" s="6" t="s">
        <v>816</v>
      </c>
      <c r="F222" s="1" t="s">
        <v>817</v>
      </c>
      <c r="G222" s="1" t="s">
        <v>820</v>
      </c>
      <c r="H222" s="13"/>
      <c r="I222" s="25" t="s">
        <v>819</v>
      </c>
    </row>
    <row r="223" spans="1:9" ht="14.4" x14ac:dyDescent="0.3">
      <c r="A223" t="s">
        <v>203</v>
      </c>
      <c r="B223" t="s">
        <v>584</v>
      </c>
      <c r="C223" t="s">
        <v>208</v>
      </c>
      <c r="D223">
        <v>2016</v>
      </c>
      <c r="E223" s="6" t="s">
        <v>816</v>
      </c>
      <c r="F223" s="1" t="s">
        <v>817</v>
      </c>
      <c r="G223" t="s">
        <v>821</v>
      </c>
      <c r="H223" s="13"/>
      <c r="I223" s="25" t="s">
        <v>819</v>
      </c>
    </row>
    <row r="224" spans="1:9" ht="14.4" x14ac:dyDescent="0.3">
      <c r="A224" t="s">
        <v>203</v>
      </c>
      <c r="B224" t="s">
        <v>584</v>
      </c>
      <c r="C224" t="s">
        <v>208</v>
      </c>
      <c r="D224">
        <v>2017</v>
      </c>
      <c r="E224" s="6" t="s">
        <v>816</v>
      </c>
      <c r="F224" s="1" t="s">
        <v>817</v>
      </c>
      <c r="G224" t="s">
        <v>822</v>
      </c>
      <c r="H224" s="13"/>
      <c r="I224" s="25" t="s">
        <v>819</v>
      </c>
    </row>
    <row r="225" spans="1:9" ht="14.4" x14ac:dyDescent="0.3">
      <c r="A225" t="s">
        <v>203</v>
      </c>
      <c r="B225" t="s">
        <v>584</v>
      </c>
      <c r="C225" t="s">
        <v>208</v>
      </c>
      <c r="D225">
        <v>2018</v>
      </c>
      <c r="E225" s="6" t="s">
        <v>816</v>
      </c>
      <c r="F225" s="1" t="s">
        <v>817</v>
      </c>
      <c r="G225" t="s">
        <v>823</v>
      </c>
      <c r="H225" s="13"/>
      <c r="I225" s="25" t="s">
        <v>819</v>
      </c>
    </row>
    <row r="226" spans="1:9" ht="14.4" x14ac:dyDescent="0.3">
      <c r="A226" t="s">
        <v>203</v>
      </c>
      <c r="B226" t="s">
        <v>584</v>
      </c>
      <c r="C226" t="s">
        <v>208</v>
      </c>
      <c r="D226">
        <v>2019</v>
      </c>
      <c r="E226" s="6" t="s">
        <v>816</v>
      </c>
      <c r="F226" s="1" t="s">
        <v>817</v>
      </c>
      <c r="G226" s="1" t="s">
        <v>824</v>
      </c>
      <c r="H226" s="13"/>
      <c r="I226" s="25" t="s">
        <v>819</v>
      </c>
    </row>
    <row r="227" spans="1:9" ht="14.4" x14ac:dyDescent="0.3">
      <c r="A227" t="s">
        <v>203</v>
      </c>
      <c r="B227" t="s">
        <v>584</v>
      </c>
      <c r="C227" t="s">
        <v>208</v>
      </c>
      <c r="D227">
        <v>2020</v>
      </c>
      <c r="E227" s="6" t="s">
        <v>816</v>
      </c>
      <c r="F227" s="1" t="s">
        <v>817</v>
      </c>
      <c r="G227" s="1" t="s">
        <v>825</v>
      </c>
      <c r="H227" s="13"/>
      <c r="I227" s="25" t="s">
        <v>819</v>
      </c>
    </row>
    <row r="228" spans="1:9" ht="14.4" x14ac:dyDescent="0.3">
      <c r="A228" t="s">
        <v>203</v>
      </c>
      <c r="B228" t="s">
        <v>584</v>
      </c>
      <c r="C228" t="s">
        <v>208</v>
      </c>
      <c r="D228">
        <v>2021</v>
      </c>
      <c r="E228" s="6" t="s">
        <v>816</v>
      </c>
      <c r="F228" s="8" t="s">
        <v>817</v>
      </c>
      <c r="G228" s="1" t="s">
        <v>826</v>
      </c>
      <c r="I228" s="25" t="s">
        <v>819</v>
      </c>
    </row>
    <row r="229" spans="1:9" ht="14.4" x14ac:dyDescent="0.3">
      <c r="A229" t="s">
        <v>203</v>
      </c>
      <c r="B229" t="s">
        <v>584</v>
      </c>
      <c r="C229" t="s">
        <v>208</v>
      </c>
      <c r="D229">
        <v>2022</v>
      </c>
      <c r="E229" s="6" t="s">
        <v>816</v>
      </c>
      <c r="F229" s="8" t="s">
        <v>817</v>
      </c>
      <c r="G229" t="s">
        <v>827</v>
      </c>
      <c r="I229" s="25" t="s">
        <v>819</v>
      </c>
    </row>
    <row r="230" spans="1:9" ht="14.4" x14ac:dyDescent="0.3">
      <c r="A230" t="s">
        <v>203</v>
      </c>
      <c r="B230" t="s">
        <v>584</v>
      </c>
      <c r="C230" t="s">
        <v>208</v>
      </c>
      <c r="D230">
        <v>2023</v>
      </c>
      <c r="E230" s="6" t="s">
        <v>816</v>
      </c>
      <c r="F230" s="8" t="s">
        <v>817</v>
      </c>
      <c r="G230" t="s">
        <v>828</v>
      </c>
      <c r="I230" s="25" t="s">
        <v>819</v>
      </c>
    </row>
    <row r="231" spans="1:9" ht="14.4" x14ac:dyDescent="0.3">
      <c r="A231" t="s">
        <v>203</v>
      </c>
      <c r="B231" t="s">
        <v>584</v>
      </c>
      <c r="C231" t="s">
        <v>208</v>
      </c>
      <c r="D231">
        <v>2024</v>
      </c>
      <c r="E231" s="6" t="s">
        <v>816</v>
      </c>
      <c r="F231" s="8" t="s">
        <v>817</v>
      </c>
      <c r="G231" t="s">
        <v>829</v>
      </c>
      <c r="I231" s="25" t="s">
        <v>819</v>
      </c>
    </row>
    <row r="232" spans="1:9" ht="14.4" x14ac:dyDescent="0.3">
      <c r="A232" t="s">
        <v>212</v>
      </c>
      <c r="B232" t="s">
        <v>830</v>
      </c>
      <c r="C232" t="s">
        <v>211</v>
      </c>
      <c r="D232">
        <v>2012</v>
      </c>
      <c r="E232" t="s">
        <v>831</v>
      </c>
      <c r="F232" s="1" t="s">
        <v>832</v>
      </c>
      <c r="G232" s="1" t="s">
        <v>833</v>
      </c>
      <c r="I232" s="20">
        <v>45669</v>
      </c>
    </row>
    <row r="233" spans="1:9" ht="14.4" x14ac:dyDescent="0.3">
      <c r="A233" t="s">
        <v>212</v>
      </c>
      <c r="B233" t="s">
        <v>830</v>
      </c>
      <c r="C233" t="s">
        <v>211</v>
      </c>
      <c r="D233">
        <v>2013</v>
      </c>
      <c r="E233" t="s">
        <v>831</v>
      </c>
      <c r="F233" s="1" t="s">
        <v>832</v>
      </c>
      <c r="G233" s="1" t="s">
        <v>833</v>
      </c>
      <c r="I233" s="20">
        <v>45669</v>
      </c>
    </row>
    <row r="234" spans="1:9" ht="14.4" x14ac:dyDescent="0.3">
      <c r="A234" t="s">
        <v>212</v>
      </c>
      <c r="B234" t="s">
        <v>830</v>
      </c>
      <c r="C234" t="s">
        <v>211</v>
      </c>
      <c r="D234">
        <v>2014</v>
      </c>
      <c r="E234" t="s">
        <v>831</v>
      </c>
      <c r="F234" s="1" t="s">
        <v>832</v>
      </c>
      <c r="G234" s="1" t="s">
        <v>833</v>
      </c>
      <c r="I234" s="20">
        <v>45669</v>
      </c>
    </row>
    <row r="235" spans="1:9" ht="14.4" x14ac:dyDescent="0.3">
      <c r="A235" t="s">
        <v>212</v>
      </c>
      <c r="B235" t="s">
        <v>830</v>
      </c>
      <c r="C235" t="s">
        <v>211</v>
      </c>
      <c r="D235">
        <v>2015</v>
      </c>
      <c r="E235" t="s">
        <v>831</v>
      </c>
      <c r="F235" s="1" t="s">
        <v>832</v>
      </c>
      <c r="G235" s="1" t="s">
        <v>833</v>
      </c>
      <c r="I235" s="20">
        <v>45669</v>
      </c>
    </row>
    <row r="236" spans="1:9" ht="14.4" x14ac:dyDescent="0.3">
      <c r="A236" t="s">
        <v>212</v>
      </c>
      <c r="B236" t="s">
        <v>830</v>
      </c>
      <c r="C236" t="s">
        <v>211</v>
      </c>
      <c r="D236">
        <v>2016</v>
      </c>
      <c r="E236" t="s">
        <v>831</v>
      </c>
      <c r="F236" s="1" t="s">
        <v>832</v>
      </c>
      <c r="G236" s="1" t="s">
        <v>833</v>
      </c>
      <c r="I236" s="20">
        <v>45669</v>
      </c>
    </row>
    <row r="237" spans="1:9" ht="14.4" x14ac:dyDescent="0.3">
      <c r="A237" t="s">
        <v>212</v>
      </c>
      <c r="B237" t="s">
        <v>830</v>
      </c>
      <c r="C237" t="s">
        <v>211</v>
      </c>
      <c r="D237">
        <v>2017</v>
      </c>
      <c r="E237" t="s">
        <v>831</v>
      </c>
      <c r="F237" s="1" t="s">
        <v>832</v>
      </c>
      <c r="G237" s="1" t="s">
        <v>833</v>
      </c>
      <c r="I237" s="20">
        <v>45669</v>
      </c>
    </row>
    <row r="238" spans="1:9" ht="14.4" x14ac:dyDescent="0.3">
      <c r="A238" t="s">
        <v>212</v>
      </c>
      <c r="B238" t="s">
        <v>830</v>
      </c>
      <c r="C238" t="s">
        <v>211</v>
      </c>
      <c r="D238">
        <v>2018</v>
      </c>
      <c r="E238" t="s">
        <v>831</v>
      </c>
      <c r="F238" s="1" t="s">
        <v>832</v>
      </c>
      <c r="G238" s="1" t="s">
        <v>833</v>
      </c>
      <c r="I238" s="20">
        <v>45669</v>
      </c>
    </row>
    <row r="239" spans="1:9" ht="14.4" x14ac:dyDescent="0.3">
      <c r="A239" t="s">
        <v>212</v>
      </c>
      <c r="B239" t="s">
        <v>830</v>
      </c>
      <c r="C239" t="s">
        <v>211</v>
      </c>
      <c r="D239">
        <v>2019</v>
      </c>
      <c r="E239" t="s">
        <v>831</v>
      </c>
      <c r="F239" s="1" t="s">
        <v>832</v>
      </c>
      <c r="G239" s="1" t="s">
        <v>833</v>
      </c>
      <c r="I239" s="20">
        <v>45669</v>
      </c>
    </row>
    <row r="240" spans="1:9" ht="14.4" x14ac:dyDescent="0.3">
      <c r="A240" t="s">
        <v>212</v>
      </c>
      <c r="B240" t="s">
        <v>830</v>
      </c>
      <c r="C240" t="s">
        <v>211</v>
      </c>
      <c r="D240">
        <v>2020</v>
      </c>
      <c r="E240" t="s">
        <v>831</v>
      </c>
      <c r="F240" s="1" t="s">
        <v>832</v>
      </c>
      <c r="G240" s="1" t="s">
        <v>833</v>
      </c>
      <c r="I240" s="20">
        <v>45669</v>
      </c>
    </row>
    <row r="241" spans="1:9" ht="14.4" x14ac:dyDescent="0.3">
      <c r="A241" t="s">
        <v>212</v>
      </c>
      <c r="B241" t="s">
        <v>830</v>
      </c>
      <c r="C241" t="s">
        <v>211</v>
      </c>
      <c r="D241">
        <v>2021</v>
      </c>
      <c r="E241" t="s">
        <v>831</v>
      </c>
      <c r="F241" s="1" t="s">
        <v>832</v>
      </c>
      <c r="G241" s="1" t="s">
        <v>833</v>
      </c>
      <c r="I241" s="20">
        <v>45669</v>
      </c>
    </row>
    <row r="242" spans="1:9" ht="14.4" x14ac:dyDescent="0.3">
      <c r="A242" t="s">
        <v>212</v>
      </c>
      <c r="B242" t="s">
        <v>830</v>
      </c>
      <c r="C242" t="s">
        <v>211</v>
      </c>
      <c r="D242">
        <v>2022</v>
      </c>
      <c r="E242" t="s">
        <v>831</v>
      </c>
      <c r="F242" s="1" t="s">
        <v>832</v>
      </c>
      <c r="G242" s="1" t="s">
        <v>833</v>
      </c>
      <c r="I242" s="20">
        <v>45669</v>
      </c>
    </row>
    <row r="243" spans="1:9" ht="14.4" x14ac:dyDescent="0.3">
      <c r="A243" t="s">
        <v>212</v>
      </c>
      <c r="B243" t="s">
        <v>830</v>
      </c>
      <c r="C243" t="s">
        <v>211</v>
      </c>
      <c r="D243">
        <v>2023</v>
      </c>
      <c r="E243" t="s">
        <v>831</v>
      </c>
      <c r="F243" s="1" t="s">
        <v>832</v>
      </c>
      <c r="G243" s="1" t="s">
        <v>833</v>
      </c>
      <c r="I243" s="20">
        <v>45669</v>
      </c>
    </row>
    <row r="244" spans="1:9" ht="14.4" x14ac:dyDescent="0.3">
      <c r="A244" t="s">
        <v>212</v>
      </c>
      <c r="B244" t="s">
        <v>830</v>
      </c>
      <c r="C244" t="s">
        <v>211</v>
      </c>
      <c r="D244">
        <v>2024</v>
      </c>
      <c r="E244" t="s">
        <v>831</v>
      </c>
      <c r="F244" s="1" t="s">
        <v>832</v>
      </c>
      <c r="G244" s="1" t="s">
        <v>833</v>
      </c>
      <c r="I244" s="20">
        <v>45669</v>
      </c>
    </row>
    <row r="245" spans="1:9" ht="14.4" x14ac:dyDescent="0.3">
      <c r="A245" t="s">
        <v>195</v>
      </c>
      <c r="B245" t="s">
        <v>585</v>
      </c>
      <c r="C245" t="s">
        <v>199</v>
      </c>
      <c r="D245">
        <v>2019</v>
      </c>
      <c r="E245" s="6" t="s">
        <v>834</v>
      </c>
      <c r="F245" s="8" t="s">
        <v>835</v>
      </c>
      <c r="G245" s="8" t="s">
        <v>836</v>
      </c>
      <c r="I245" s="25" t="s">
        <v>819</v>
      </c>
    </row>
    <row r="246" spans="1:9" ht="14.4" x14ac:dyDescent="0.3">
      <c r="A246" t="s">
        <v>195</v>
      </c>
      <c r="B246" t="s">
        <v>585</v>
      </c>
      <c r="C246" t="s">
        <v>199</v>
      </c>
      <c r="D246">
        <v>2020</v>
      </c>
      <c r="E246" s="6" t="s">
        <v>834</v>
      </c>
      <c r="F246" s="8" t="s">
        <v>835</v>
      </c>
      <c r="G246" s="8" t="s">
        <v>837</v>
      </c>
      <c r="I246" s="25" t="s">
        <v>819</v>
      </c>
    </row>
    <row r="247" spans="1:9" ht="14.4" x14ac:dyDescent="0.3">
      <c r="A247" t="s">
        <v>195</v>
      </c>
      <c r="B247" t="s">
        <v>585</v>
      </c>
      <c r="C247" t="s">
        <v>199</v>
      </c>
      <c r="D247">
        <v>2021</v>
      </c>
      <c r="E247" s="6" t="s">
        <v>834</v>
      </c>
      <c r="F247" s="8" t="s">
        <v>835</v>
      </c>
      <c r="G247" s="8" t="s">
        <v>837</v>
      </c>
      <c r="I247" s="25" t="s">
        <v>819</v>
      </c>
    </row>
    <row r="248" spans="1:9" ht="14.4" x14ac:dyDescent="0.3">
      <c r="A248" t="s">
        <v>195</v>
      </c>
      <c r="B248" t="s">
        <v>585</v>
      </c>
      <c r="C248" t="s">
        <v>199</v>
      </c>
      <c r="D248">
        <v>2022</v>
      </c>
      <c r="E248" s="6" t="s">
        <v>834</v>
      </c>
      <c r="F248" s="8" t="s">
        <v>835</v>
      </c>
      <c r="G248" s="8" t="s">
        <v>837</v>
      </c>
      <c r="I248" s="25" t="s">
        <v>819</v>
      </c>
    </row>
    <row r="249" spans="1:9" ht="14.4" x14ac:dyDescent="0.3">
      <c r="A249" t="s">
        <v>195</v>
      </c>
      <c r="B249" t="s">
        <v>585</v>
      </c>
      <c r="C249" t="s">
        <v>199</v>
      </c>
      <c r="D249">
        <v>2023</v>
      </c>
      <c r="E249" s="6" t="s">
        <v>834</v>
      </c>
      <c r="F249" s="8" t="s">
        <v>835</v>
      </c>
      <c r="G249" s="8" t="s">
        <v>837</v>
      </c>
      <c r="I249" s="25" t="s">
        <v>819</v>
      </c>
    </row>
    <row r="250" spans="1:9" ht="14.4" x14ac:dyDescent="0.3">
      <c r="A250" t="s">
        <v>195</v>
      </c>
      <c r="B250" t="s">
        <v>585</v>
      </c>
      <c r="C250" t="s">
        <v>199</v>
      </c>
      <c r="D250">
        <v>2024</v>
      </c>
      <c r="E250" s="6" t="s">
        <v>834</v>
      </c>
      <c r="F250" s="8" t="s">
        <v>835</v>
      </c>
      <c r="G250" s="8" t="s">
        <v>837</v>
      </c>
      <c r="I250" s="25" t="s">
        <v>819</v>
      </c>
    </row>
    <row r="251" spans="1:9" ht="14.4" x14ac:dyDescent="0.3">
      <c r="A251" t="s">
        <v>195</v>
      </c>
      <c r="B251" t="s">
        <v>585</v>
      </c>
      <c r="C251" t="s">
        <v>194</v>
      </c>
      <c r="D251">
        <v>2009</v>
      </c>
      <c r="E251" s="6" t="s">
        <v>194</v>
      </c>
      <c r="F251" s="8" t="s">
        <v>838</v>
      </c>
      <c r="H251" t="s">
        <v>839</v>
      </c>
      <c r="I251" s="25" t="s">
        <v>840</v>
      </c>
    </row>
    <row r="252" spans="1:9" ht="14.4" x14ac:dyDescent="0.3">
      <c r="A252" t="s">
        <v>195</v>
      </c>
      <c r="B252" t="s">
        <v>585</v>
      </c>
      <c r="C252" t="s">
        <v>194</v>
      </c>
      <c r="D252">
        <v>2010</v>
      </c>
      <c r="E252" s="6" t="s">
        <v>194</v>
      </c>
      <c r="F252" t="s">
        <v>838</v>
      </c>
      <c r="H252" t="s">
        <v>839</v>
      </c>
      <c r="I252" s="25" t="s">
        <v>840</v>
      </c>
    </row>
    <row r="253" spans="1:9" ht="14.4" x14ac:dyDescent="0.3">
      <c r="A253" t="s">
        <v>195</v>
      </c>
      <c r="B253" t="s">
        <v>585</v>
      </c>
      <c r="C253" t="s">
        <v>194</v>
      </c>
      <c r="D253">
        <v>2011</v>
      </c>
      <c r="E253" s="6" t="s">
        <v>194</v>
      </c>
      <c r="F253" t="s">
        <v>838</v>
      </c>
      <c r="H253" t="s">
        <v>839</v>
      </c>
      <c r="I253" s="25" t="s">
        <v>840</v>
      </c>
    </row>
    <row r="254" spans="1:9" ht="14.4" x14ac:dyDescent="0.3">
      <c r="A254" t="s">
        <v>195</v>
      </c>
      <c r="B254" t="s">
        <v>585</v>
      </c>
      <c r="C254" t="s">
        <v>194</v>
      </c>
      <c r="D254">
        <v>2012</v>
      </c>
      <c r="E254" s="6" t="s">
        <v>194</v>
      </c>
      <c r="F254" t="s">
        <v>838</v>
      </c>
      <c r="H254" t="s">
        <v>839</v>
      </c>
      <c r="I254" s="25" t="s">
        <v>840</v>
      </c>
    </row>
    <row r="255" spans="1:9" ht="14.4" x14ac:dyDescent="0.3">
      <c r="A255" t="s">
        <v>195</v>
      </c>
      <c r="B255" t="s">
        <v>585</v>
      </c>
      <c r="C255" t="s">
        <v>194</v>
      </c>
      <c r="D255">
        <v>2013</v>
      </c>
      <c r="E255" s="6" t="s">
        <v>194</v>
      </c>
      <c r="F255" t="s">
        <v>838</v>
      </c>
      <c r="H255" t="s">
        <v>839</v>
      </c>
      <c r="I255" s="25" t="s">
        <v>840</v>
      </c>
    </row>
    <row r="256" spans="1:9" ht="14.4" x14ac:dyDescent="0.3">
      <c r="A256" t="s">
        <v>195</v>
      </c>
      <c r="B256" t="s">
        <v>585</v>
      </c>
      <c r="C256" t="s">
        <v>194</v>
      </c>
      <c r="D256">
        <v>2014</v>
      </c>
      <c r="E256" s="6" t="s">
        <v>194</v>
      </c>
      <c r="F256" t="s">
        <v>838</v>
      </c>
      <c r="H256" t="s">
        <v>839</v>
      </c>
      <c r="I256" s="25" t="s">
        <v>840</v>
      </c>
    </row>
    <row r="257" spans="1:9" ht="14.4" x14ac:dyDescent="0.3">
      <c r="A257" t="s">
        <v>195</v>
      </c>
      <c r="B257" t="s">
        <v>585</v>
      </c>
      <c r="C257" t="s">
        <v>194</v>
      </c>
      <c r="D257">
        <v>2015</v>
      </c>
      <c r="E257" s="6" t="s">
        <v>194</v>
      </c>
      <c r="F257" t="s">
        <v>838</v>
      </c>
      <c r="H257" t="s">
        <v>839</v>
      </c>
      <c r="I257" s="25" t="s">
        <v>840</v>
      </c>
    </row>
    <row r="258" spans="1:9" ht="14.4" x14ac:dyDescent="0.3">
      <c r="A258" t="s">
        <v>195</v>
      </c>
      <c r="B258" t="s">
        <v>585</v>
      </c>
      <c r="C258" t="s">
        <v>194</v>
      </c>
      <c r="D258">
        <v>2016</v>
      </c>
      <c r="E258" s="6" t="s">
        <v>194</v>
      </c>
      <c r="F258" t="s">
        <v>838</v>
      </c>
      <c r="H258" t="s">
        <v>839</v>
      </c>
      <c r="I258" s="25" t="s">
        <v>840</v>
      </c>
    </row>
    <row r="259" spans="1:9" ht="14.4" x14ac:dyDescent="0.3">
      <c r="A259" t="s">
        <v>195</v>
      </c>
      <c r="B259" t="s">
        <v>585</v>
      </c>
      <c r="C259" t="s">
        <v>194</v>
      </c>
      <c r="D259">
        <v>2017</v>
      </c>
      <c r="E259" s="6" t="s">
        <v>194</v>
      </c>
      <c r="F259" s="8" t="s">
        <v>838</v>
      </c>
      <c r="H259" t="s">
        <v>839</v>
      </c>
      <c r="I259" s="25" t="s">
        <v>840</v>
      </c>
    </row>
    <row r="260" spans="1:9" ht="14.4" x14ac:dyDescent="0.3">
      <c r="A260" t="s">
        <v>195</v>
      </c>
      <c r="B260" t="s">
        <v>585</v>
      </c>
      <c r="C260" t="s">
        <v>194</v>
      </c>
      <c r="D260">
        <v>2018</v>
      </c>
      <c r="E260" s="6" t="s">
        <v>194</v>
      </c>
      <c r="F260" t="s">
        <v>838</v>
      </c>
      <c r="H260" t="s">
        <v>839</v>
      </c>
      <c r="I260" s="25" t="s">
        <v>840</v>
      </c>
    </row>
    <row r="261" spans="1:9" ht="14.4" x14ac:dyDescent="0.3">
      <c r="A261" t="s">
        <v>195</v>
      </c>
      <c r="B261" t="s">
        <v>585</v>
      </c>
      <c r="C261" t="s">
        <v>194</v>
      </c>
      <c r="D261">
        <v>2019</v>
      </c>
      <c r="E261" s="6" t="s">
        <v>194</v>
      </c>
      <c r="F261" t="s">
        <v>838</v>
      </c>
      <c r="H261" t="s">
        <v>839</v>
      </c>
      <c r="I261" s="25" t="s">
        <v>840</v>
      </c>
    </row>
    <row r="262" spans="1:9" ht="14.4" x14ac:dyDescent="0.3">
      <c r="A262" t="s">
        <v>195</v>
      </c>
      <c r="B262" t="s">
        <v>585</v>
      </c>
      <c r="C262" t="s">
        <v>194</v>
      </c>
      <c r="D262">
        <v>2020</v>
      </c>
      <c r="E262" s="6" t="s">
        <v>194</v>
      </c>
      <c r="F262" t="s">
        <v>838</v>
      </c>
      <c r="H262" t="s">
        <v>839</v>
      </c>
      <c r="I262" s="25" t="s">
        <v>840</v>
      </c>
    </row>
    <row r="263" spans="1:9" ht="14.4" x14ac:dyDescent="0.3">
      <c r="A263" t="s">
        <v>195</v>
      </c>
      <c r="B263" t="s">
        <v>585</v>
      </c>
      <c r="C263" t="s">
        <v>194</v>
      </c>
      <c r="D263">
        <v>2021</v>
      </c>
      <c r="E263" s="6" t="s">
        <v>194</v>
      </c>
      <c r="F263" t="s">
        <v>838</v>
      </c>
      <c r="H263" t="s">
        <v>839</v>
      </c>
      <c r="I263" s="25" t="s">
        <v>840</v>
      </c>
    </row>
    <row r="264" spans="1:9" ht="14.4" x14ac:dyDescent="0.3">
      <c r="A264" t="s">
        <v>195</v>
      </c>
      <c r="B264" t="s">
        <v>585</v>
      </c>
      <c r="C264" t="s">
        <v>194</v>
      </c>
      <c r="D264">
        <v>2022</v>
      </c>
      <c r="E264" s="6" t="s">
        <v>194</v>
      </c>
      <c r="F264" t="s">
        <v>838</v>
      </c>
      <c r="H264" t="s">
        <v>839</v>
      </c>
      <c r="I264" s="25" t="s">
        <v>840</v>
      </c>
    </row>
    <row r="265" spans="1:9" ht="14.4" x14ac:dyDescent="0.3">
      <c r="A265" t="s">
        <v>195</v>
      </c>
      <c r="B265" t="s">
        <v>585</v>
      </c>
      <c r="C265" t="s">
        <v>194</v>
      </c>
      <c r="D265">
        <v>2023</v>
      </c>
      <c r="E265" s="6" t="s">
        <v>194</v>
      </c>
      <c r="F265" t="s">
        <v>838</v>
      </c>
      <c r="H265" t="s">
        <v>839</v>
      </c>
      <c r="I265" s="25" t="s">
        <v>840</v>
      </c>
    </row>
    <row r="266" spans="1:9" ht="14.4" x14ac:dyDescent="0.3">
      <c r="A266" t="s">
        <v>195</v>
      </c>
      <c r="B266" t="s">
        <v>585</v>
      </c>
      <c r="C266" t="s">
        <v>194</v>
      </c>
      <c r="D266">
        <v>2024</v>
      </c>
      <c r="E266" s="6" t="s">
        <v>194</v>
      </c>
      <c r="F266" t="s">
        <v>838</v>
      </c>
      <c r="H266" t="s">
        <v>841</v>
      </c>
      <c r="I266" s="25" t="s">
        <v>840</v>
      </c>
    </row>
    <row r="267" spans="1:9" ht="14.4" x14ac:dyDescent="0.3">
      <c r="A267" t="s">
        <v>220</v>
      </c>
      <c r="B267" t="s">
        <v>586</v>
      </c>
      <c r="C267" t="s">
        <v>219</v>
      </c>
      <c r="D267">
        <v>2011</v>
      </c>
      <c r="E267" s="6" t="s">
        <v>842</v>
      </c>
      <c r="F267" s="8" t="s">
        <v>843</v>
      </c>
      <c r="G267" s="8" t="s">
        <v>844</v>
      </c>
      <c r="I267" s="25" t="s">
        <v>799</v>
      </c>
    </row>
    <row r="268" spans="1:9" ht="14.4" x14ac:dyDescent="0.3">
      <c r="A268" t="s">
        <v>220</v>
      </c>
      <c r="B268" t="s">
        <v>586</v>
      </c>
      <c r="C268" t="s">
        <v>219</v>
      </c>
      <c r="D268">
        <v>2012</v>
      </c>
      <c r="E268" s="6" t="s">
        <v>842</v>
      </c>
      <c r="F268" s="8" t="s">
        <v>843</v>
      </c>
      <c r="G268" s="8" t="s">
        <v>844</v>
      </c>
      <c r="I268" s="25" t="s">
        <v>799</v>
      </c>
    </row>
    <row r="269" spans="1:9" ht="14.4" x14ac:dyDescent="0.3">
      <c r="A269" t="s">
        <v>220</v>
      </c>
      <c r="B269" t="s">
        <v>586</v>
      </c>
      <c r="C269" t="s">
        <v>219</v>
      </c>
      <c r="D269">
        <v>2013</v>
      </c>
      <c r="E269" s="6" t="s">
        <v>842</v>
      </c>
      <c r="F269" s="8" t="s">
        <v>843</v>
      </c>
      <c r="G269" s="8" t="s">
        <v>845</v>
      </c>
      <c r="I269" s="25" t="s">
        <v>799</v>
      </c>
    </row>
    <row r="270" spans="1:9" ht="14.4" x14ac:dyDescent="0.3">
      <c r="A270" t="s">
        <v>220</v>
      </c>
      <c r="B270" t="s">
        <v>586</v>
      </c>
      <c r="C270" t="s">
        <v>219</v>
      </c>
      <c r="D270">
        <v>2014</v>
      </c>
      <c r="E270" s="6" t="s">
        <v>842</v>
      </c>
      <c r="F270" s="8" t="s">
        <v>843</v>
      </c>
      <c r="G270" s="8" t="s">
        <v>846</v>
      </c>
      <c r="I270" s="25" t="s">
        <v>799</v>
      </c>
    </row>
    <row r="271" spans="1:9" ht="14.4" x14ac:dyDescent="0.3">
      <c r="A271" t="s">
        <v>220</v>
      </c>
      <c r="B271" t="s">
        <v>586</v>
      </c>
      <c r="C271" t="s">
        <v>219</v>
      </c>
      <c r="D271">
        <v>2015</v>
      </c>
      <c r="E271" s="6" t="s">
        <v>842</v>
      </c>
      <c r="F271" s="8" t="s">
        <v>843</v>
      </c>
      <c r="G271" s="8" t="s">
        <v>847</v>
      </c>
      <c r="I271" s="25" t="s">
        <v>799</v>
      </c>
    </row>
    <row r="272" spans="1:9" ht="14.4" x14ac:dyDescent="0.3">
      <c r="A272" t="s">
        <v>220</v>
      </c>
      <c r="B272" t="s">
        <v>586</v>
      </c>
      <c r="C272" t="s">
        <v>219</v>
      </c>
      <c r="D272">
        <v>2016</v>
      </c>
      <c r="E272" s="6" t="s">
        <v>842</v>
      </c>
      <c r="F272" s="8" t="s">
        <v>843</v>
      </c>
      <c r="G272" s="8" t="s">
        <v>848</v>
      </c>
      <c r="I272" s="25" t="s">
        <v>799</v>
      </c>
    </row>
    <row r="273" spans="1:9" ht="14.4" x14ac:dyDescent="0.3">
      <c r="A273" t="s">
        <v>220</v>
      </c>
      <c r="B273" t="s">
        <v>586</v>
      </c>
      <c r="C273" t="s">
        <v>219</v>
      </c>
      <c r="D273">
        <v>2017</v>
      </c>
      <c r="E273" s="6" t="s">
        <v>842</v>
      </c>
      <c r="F273" s="8" t="s">
        <v>843</v>
      </c>
      <c r="G273" s="8" t="s">
        <v>847</v>
      </c>
      <c r="I273" s="25" t="s">
        <v>799</v>
      </c>
    </row>
    <row r="274" spans="1:9" ht="14.4" x14ac:dyDescent="0.3">
      <c r="A274" t="s">
        <v>220</v>
      </c>
      <c r="B274" t="s">
        <v>586</v>
      </c>
      <c r="C274" t="s">
        <v>219</v>
      </c>
      <c r="D274">
        <v>2018</v>
      </c>
      <c r="E274" s="6" t="s">
        <v>842</v>
      </c>
      <c r="F274" s="8" t="s">
        <v>843</v>
      </c>
      <c r="G274" s="8" t="s">
        <v>847</v>
      </c>
      <c r="I274" s="25" t="s">
        <v>799</v>
      </c>
    </row>
    <row r="275" spans="1:9" ht="14.4" x14ac:dyDescent="0.3">
      <c r="A275" t="s">
        <v>220</v>
      </c>
      <c r="B275" t="s">
        <v>586</v>
      </c>
      <c r="C275" t="s">
        <v>219</v>
      </c>
      <c r="D275">
        <v>2019</v>
      </c>
      <c r="E275" s="6" t="s">
        <v>842</v>
      </c>
      <c r="F275" s="8" t="s">
        <v>843</v>
      </c>
      <c r="G275" s="8" t="s">
        <v>849</v>
      </c>
      <c r="H275" t="s">
        <v>632</v>
      </c>
      <c r="I275" s="25" t="s">
        <v>799</v>
      </c>
    </row>
    <row r="276" spans="1:9" ht="14.4" x14ac:dyDescent="0.3">
      <c r="A276" t="s">
        <v>220</v>
      </c>
      <c r="B276" t="s">
        <v>586</v>
      </c>
      <c r="C276" t="s">
        <v>219</v>
      </c>
      <c r="D276">
        <v>2020</v>
      </c>
      <c r="E276" s="6" t="s">
        <v>842</v>
      </c>
      <c r="F276" s="8" t="s">
        <v>843</v>
      </c>
      <c r="G276" s="8" t="s">
        <v>850</v>
      </c>
      <c r="H276" t="s">
        <v>632</v>
      </c>
      <c r="I276" s="25" t="s">
        <v>799</v>
      </c>
    </row>
    <row r="277" spans="1:9" ht="14.4" x14ac:dyDescent="0.3">
      <c r="A277" t="s">
        <v>220</v>
      </c>
      <c r="B277" t="s">
        <v>586</v>
      </c>
      <c r="C277" t="s">
        <v>219</v>
      </c>
      <c r="D277">
        <v>2021</v>
      </c>
      <c r="E277" s="6" t="s">
        <v>842</v>
      </c>
      <c r="F277" s="8" t="s">
        <v>843</v>
      </c>
      <c r="G277" s="8" t="s">
        <v>847</v>
      </c>
      <c r="H277" t="s">
        <v>632</v>
      </c>
      <c r="I277" s="25" t="s">
        <v>799</v>
      </c>
    </row>
    <row r="278" spans="1:9" ht="14.4" x14ac:dyDescent="0.3">
      <c r="A278" t="s">
        <v>220</v>
      </c>
      <c r="B278" t="s">
        <v>586</v>
      </c>
      <c r="C278" t="s">
        <v>219</v>
      </c>
      <c r="D278">
        <v>2022</v>
      </c>
      <c r="E278" s="6" t="s">
        <v>842</v>
      </c>
      <c r="F278" s="8" t="s">
        <v>843</v>
      </c>
      <c r="G278" s="8" t="s">
        <v>847</v>
      </c>
      <c r="H278" t="s">
        <v>851</v>
      </c>
      <c r="I278" s="25" t="s">
        <v>799</v>
      </c>
    </row>
    <row r="279" spans="1:9" ht="14.4" x14ac:dyDescent="0.3">
      <c r="A279" t="s">
        <v>220</v>
      </c>
      <c r="B279" t="s">
        <v>586</v>
      </c>
      <c r="C279" t="s">
        <v>219</v>
      </c>
      <c r="D279">
        <v>2023</v>
      </c>
      <c r="E279" s="6" t="s">
        <v>842</v>
      </c>
      <c r="F279" s="8" t="s">
        <v>843</v>
      </c>
      <c r="G279" s="8" t="s">
        <v>852</v>
      </c>
      <c r="H279" t="s">
        <v>632</v>
      </c>
      <c r="I279" s="25" t="s">
        <v>799</v>
      </c>
    </row>
    <row r="280" spans="1:9" ht="14.4" x14ac:dyDescent="0.3">
      <c r="A280" t="s">
        <v>220</v>
      </c>
      <c r="B280" t="s">
        <v>586</v>
      </c>
      <c r="C280" t="s">
        <v>219</v>
      </c>
      <c r="D280">
        <v>2024</v>
      </c>
      <c r="E280" s="6" t="s">
        <v>842</v>
      </c>
      <c r="F280" s="8" t="s">
        <v>843</v>
      </c>
      <c r="G280" s="8" t="s">
        <v>852</v>
      </c>
      <c r="I280" s="25" t="s">
        <v>853</v>
      </c>
    </row>
    <row r="281" spans="1:9" ht="14.4" x14ac:dyDescent="0.3">
      <c r="A281" t="s">
        <v>224</v>
      </c>
      <c r="B281" t="s">
        <v>587</v>
      </c>
      <c r="C281" t="s">
        <v>223</v>
      </c>
      <c r="D281">
        <v>2017</v>
      </c>
      <c r="E281" s="6" t="s">
        <v>854</v>
      </c>
      <c r="F281" s="1" t="s">
        <v>855</v>
      </c>
      <c r="G281" s="1" t="s">
        <v>856</v>
      </c>
      <c r="I281" s="25" t="s">
        <v>757</v>
      </c>
    </row>
    <row r="282" spans="1:9" ht="14.4" x14ac:dyDescent="0.3">
      <c r="A282" t="s">
        <v>224</v>
      </c>
      <c r="B282" t="s">
        <v>587</v>
      </c>
      <c r="C282" t="s">
        <v>223</v>
      </c>
      <c r="D282">
        <v>2018</v>
      </c>
      <c r="E282" s="6" t="s">
        <v>854</v>
      </c>
      <c r="F282" s="1" t="s">
        <v>855</v>
      </c>
      <c r="G282" t="s">
        <v>857</v>
      </c>
      <c r="I282" s="25" t="s">
        <v>757</v>
      </c>
    </row>
    <row r="283" spans="1:9" ht="14.4" x14ac:dyDescent="0.3">
      <c r="A283" t="s">
        <v>224</v>
      </c>
      <c r="B283" t="s">
        <v>587</v>
      </c>
      <c r="C283" t="s">
        <v>223</v>
      </c>
      <c r="D283">
        <v>2019</v>
      </c>
      <c r="E283" s="6" t="s">
        <v>854</v>
      </c>
      <c r="F283" s="1" t="s">
        <v>855</v>
      </c>
      <c r="G283" s="8" t="s">
        <v>858</v>
      </c>
      <c r="I283" s="25" t="s">
        <v>757</v>
      </c>
    </row>
    <row r="284" spans="1:9" ht="14.4" x14ac:dyDescent="0.3">
      <c r="A284" t="s">
        <v>224</v>
      </c>
      <c r="B284" t="s">
        <v>587</v>
      </c>
      <c r="C284" t="s">
        <v>223</v>
      </c>
      <c r="D284">
        <v>2020</v>
      </c>
      <c r="E284" s="6" t="s">
        <v>854</v>
      </c>
      <c r="F284" s="1" t="s">
        <v>855</v>
      </c>
      <c r="G284" t="s">
        <v>859</v>
      </c>
      <c r="I284" s="25" t="s">
        <v>757</v>
      </c>
    </row>
    <row r="285" spans="1:9" ht="14.4" x14ac:dyDescent="0.3">
      <c r="A285" t="s">
        <v>224</v>
      </c>
      <c r="B285" t="s">
        <v>587</v>
      </c>
      <c r="C285" t="s">
        <v>223</v>
      </c>
      <c r="D285">
        <v>2021</v>
      </c>
      <c r="E285" s="6" t="s">
        <v>854</v>
      </c>
      <c r="F285" s="1" t="s">
        <v>855</v>
      </c>
      <c r="G285" s="8" t="s">
        <v>860</v>
      </c>
      <c r="I285" s="25" t="s">
        <v>757</v>
      </c>
    </row>
    <row r="286" spans="1:9" ht="14.4" x14ac:dyDescent="0.3">
      <c r="A286" t="s">
        <v>224</v>
      </c>
      <c r="B286" t="s">
        <v>587</v>
      </c>
      <c r="C286" t="s">
        <v>223</v>
      </c>
      <c r="D286">
        <v>2022</v>
      </c>
      <c r="E286" s="6" t="s">
        <v>854</v>
      </c>
      <c r="F286" s="1" t="s">
        <v>855</v>
      </c>
      <c r="G286" t="s">
        <v>861</v>
      </c>
      <c r="I286" s="25" t="s">
        <v>757</v>
      </c>
    </row>
    <row r="287" spans="1:9" ht="14.4" x14ac:dyDescent="0.3">
      <c r="A287" t="s">
        <v>224</v>
      </c>
      <c r="B287" t="s">
        <v>587</v>
      </c>
      <c r="C287" t="s">
        <v>223</v>
      </c>
      <c r="D287">
        <v>2023</v>
      </c>
      <c r="E287" s="6" t="s">
        <v>854</v>
      </c>
      <c r="F287" s="1" t="s">
        <v>855</v>
      </c>
      <c r="G287" t="s">
        <v>862</v>
      </c>
      <c r="I287" s="25" t="s">
        <v>757</v>
      </c>
    </row>
    <row r="288" spans="1:9" ht="14.4" x14ac:dyDescent="0.3">
      <c r="A288" t="s">
        <v>224</v>
      </c>
      <c r="B288" t="s">
        <v>587</v>
      </c>
      <c r="C288" t="s">
        <v>223</v>
      </c>
      <c r="D288">
        <v>2024</v>
      </c>
      <c r="E288" s="6" t="s">
        <v>854</v>
      </c>
      <c r="F288" s="1" t="s">
        <v>855</v>
      </c>
      <c r="G288" s="8" t="s">
        <v>863</v>
      </c>
      <c r="I288" s="25" t="s">
        <v>757</v>
      </c>
    </row>
    <row r="289" spans="1:9" ht="14.4" x14ac:dyDescent="0.3">
      <c r="A289" t="s">
        <v>228</v>
      </c>
      <c r="B289" t="s">
        <v>864</v>
      </c>
      <c r="C289" t="s">
        <v>227</v>
      </c>
      <c r="D289">
        <v>2013</v>
      </c>
      <c r="E289" s="6" t="s">
        <v>865</v>
      </c>
      <c r="F289" s="1" t="s">
        <v>866</v>
      </c>
      <c r="G289" s="1" t="s">
        <v>866</v>
      </c>
      <c r="H289" s="13"/>
      <c r="I289" s="20">
        <v>45700</v>
      </c>
    </row>
    <row r="290" spans="1:9" ht="14.4" x14ac:dyDescent="0.3">
      <c r="A290" t="s">
        <v>228</v>
      </c>
      <c r="B290" t="s">
        <v>864</v>
      </c>
      <c r="C290" t="s">
        <v>227</v>
      </c>
      <c r="D290">
        <v>2014</v>
      </c>
      <c r="E290" s="6" t="s">
        <v>865</v>
      </c>
      <c r="F290" s="1" t="s">
        <v>866</v>
      </c>
      <c r="G290" s="1" t="s">
        <v>866</v>
      </c>
      <c r="H290" s="13"/>
      <c r="I290" s="20">
        <v>45700</v>
      </c>
    </row>
    <row r="291" spans="1:9" ht="14.4" x14ac:dyDescent="0.3">
      <c r="A291" t="s">
        <v>228</v>
      </c>
      <c r="B291" t="s">
        <v>864</v>
      </c>
      <c r="C291" t="s">
        <v>227</v>
      </c>
      <c r="D291">
        <v>2015</v>
      </c>
      <c r="E291" s="6" t="s">
        <v>865</v>
      </c>
      <c r="F291" s="1" t="s">
        <v>866</v>
      </c>
      <c r="G291" s="1" t="s">
        <v>866</v>
      </c>
      <c r="H291" s="13"/>
      <c r="I291" s="20">
        <v>45700</v>
      </c>
    </row>
    <row r="292" spans="1:9" ht="14.4" x14ac:dyDescent="0.3">
      <c r="A292" t="s">
        <v>228</v>
      </c>
      <c r="B292" t="s">
        <v>864</v>
      </c>
      <c r="C292" t="s">
        <v>227</v>
      </c>
      <c r="D292">
        <v>2016</v>
      </c>
      <c r="E292" s="6" t="s">
        <v>865</v>
      </c>
      <c r="F292" s="1" t="s">
        <v>866</v>
      </c>
      <c r="G292" s="1" t="s">
        <v>866</v>
      </c>
      <c r="H292" s="13"/>
      <c r="I292" s="20">
        <v>45700</v>
      </c>
    </row>
    <row r="293" spans="1:9" ht="14.4" x14ac:dyDescent="0.3">
      <c r="A293" t="s">
        <v>228</v>
      </c>
      <c r="B293" t="s">
        <v>864</v>
      </c>
      <c r="C293" t="s">
        <v>227</v>
      </c>
      <c r="D293">
        <v>2017</v>
      </c>
      <c r="E293" s="6" t="s">
        <v>865</v>
      </c>
      <c r="F293" s="1" t="s">
        <v>866</v>
      </c>
      <c r="G293" s="1" t="s">
        <v>866</v>
      </c>
      <c r="H293" t="s">
        <v>867</v>
      </c>
      <c r="I293" s="20">
        <v>45700</v>
      </c>
    </row>
    <row r="294" spans="1:9" ht="14.4" x14ac:dyDescent="0.3">
      <c r="A294" t="s">
        <v>228</v>
      </c>
      <c r="B294" t="s">
        <v>864</v>
      </c>
      <c r="C294" t="s">
        <v>227</v>
      </c>
      <c r="D294">
        <v>2018</v>
      </c>
      <c r="E294" s="6" t="s">
        <v>865</v>
      </c>
      <c r="F294" s="1" t="s">
        <v>866</v>
      </c>
      <c r="G294" s="1" t="s">
        <v>866</v>
      </c>
      <c r="I294" s="20">
        <v>45700</v>
      </c>
    </row>
    <row r="295" spans="1:9" ht="14.4" x14ac:dyDescent="0.3">
      <c r="A295" t="s">
        <v>228</v>
      </c>
      <c r="B295" t="s">
        <v>864</v>
      </c>
      <c r="C295" t="s">
        <v>227</v>
      </c>
      <c r="D295">
        <v>2019</v>
      </c>
      <c r="E295" s="6" t="s">
        <v>865</v>
      </c>
      <c r="F295" s="1" t="s">
        <v>866</v>
      </c>
      <c r="G295" s="1" t="s">
        <v>866</v>
      </c>
      <c r="I295" s="20">
        <v>45700</v>
      </c>
    </row>
    <row r="296" spans="1:9" ht="14.4" x14ac:dyDescent="0.3">
      <c r="A296" t="s">
        <v>228</v>
      </c>
      <c r="B296" t="s">
        <v>864</v>
      </c>
      <c r="C296" t="s">
        <v>227</v>
      </c>
      <c r="D296">
        <v>2020</v>
      </c>
      <c r="E296" s="6" t="s">
        <v>865</v>
      </c>
      <c r="F296" s="1" t="s">
        <v>866</v>
      </c>
      <c r="G296" s="1" t="s">
        <v>866</v>
      </c>
      <c r="I296" s="20">
        <v>45700</v>
      </c>
    </row>
    <row r="297" spans="1:9" ht="14.4" x14ac:dyDescent="0.3">
      <c r="A297" t="s">
        <v>228</v>
      </c>
      <c r="B297" t="s">
        <v>864</v>
      </c>
      <c r="C297" t="s">
        <v>227</v>
      </c>
      <c r="D297">
        <v>2021</v>
      </c>
      <c r="E297" s="6" t="s">
        <v>865</v>
      </c>
      <c r="F297" s="1" t="s">
        <v>866</v>
      </c>
      <c r="G297" s="1" t="s">
        <v>866</v>
      </c>
      <c r="I297" s="20">
        <v>45700</v>
      </c>
    </row>
    <row r="298" spans="1:9" ht="14.4" x14ac:dyDescent="0.3">
      <c r="A298" t="s">
        <v>228</v>
      </c>
      <c r="B298" t="s">
        <v>864</v>
      </c>
      <c r="C298" t="s">
        <v>227</v>
      </c>
      <c r="D298">
        <v>2022</v>
      </c>
      <c r="E298" s="6" t="s">
        <v>865</v>
      </c>
      <c r="F298" s="1" t="s">
        <v>866</v>
      </c>
      <c r="G298" s="1" t="s">
        <v>866</v>
      </c>
      <c r="I298" s="20">
        <v>45700</v>
      </c>
    </row>
    <row r="299" spans="1:9" ht="14.4" x14ac:dyDescent="0.3">
      <c r="A299" t="s">
        <v>228</v>
      </c>
      <c r="B299" t="s">
        <v>864</v>
      </c>
      <c r="C299" t="s">
        <v>227</v>
      </c>
      <c r="D299">
        <v>2023</v>
      </c>
      <c r="E299" s="6" t="s">
        <v>865</v>
      </c>
      <c r="F299" s="1" t="s">
        <v>866</v>
      </c>
      <c r="G299" s="1" t="s">
        <v>866</v>
      </c>
      <c r="I299" s="20">
        <v>45700</v>
      </c>
    </row>
    <row r="300" spans="1:9" ht="14.4" x14ac:dyDescent="0.3">
      <c r="A300" t="s">
        <v>228</v>
      </c>
      <c r="B300" t="s">
        <v>864</v>
      </c>
      <c r="C300" t="s">
        <v>227</v>
      </c>
      <c r="D300">
        <v>2024</v>
      </c>
      <c r="E300" s="6" t="s">
        <v>865</v>
      </c>
      <c r="F300" s="1" t="s">
        <v>866</v>
      </c>
      <c r="G300" s="1" t="s">
        <v>866</v>
      </c>
      <c r="H300" t="s">
        <v>868</v>
      </c>
      <c r="I300" s="20">
        <v>45700</v>
      </c>
    </row>
    <row r="301" spans="1:9" ht="14.4" x14ac:dyDescent="0.3">
      <c r="A301" t="s">
        <v>228</v>
      </c>
      <c r="B301" t="s">
        <v>864</v>
      </c>
      <c r="C301" t="s">
        <v>231</v>
      </c>
      <c r="D301">
        <v>2013</v>
      </c>
      <c r="E301" s="6" t="s">
        <v>865</v>
      </c>
      <c r="F301" s="1" t="s">
        <v>866</v>
      </c>
      <c r="G301" s="1" t="s">
        <v>869</v>
      </c>
      <c r="I301" s="20">
        <v>45700</v>
      </c>
    </row>
    <row r="302" spans="1:9" ht="14.4" x14ac:dyDescent="0.3">
      <c r="A302" t="s">
        <v>228</v>
      </c>
      <c r="B302" t="s">
        <v>864</v>
      </c>
      <c r="C302" t="s">
        <v>231</v>
      </c>
      <c r="D302">
        <v>2014</v>
      </c>
      <c r="E302" s="6" t="s">
        <v>865</v>
      </c>
      <c r="F302" s="1" t="s">
        <v>866</v>
      </c>
      <c r="G302" s="1" t="s">
        <v>869</v>
      </c>
      <c r="I302" s="20">
        <v>45700</v>
      </c>
    </row>
    <row r="303" spans="1:9" ht="14.4" x14ac:dyDescent="0.3">
      <c r="A303" t="s">
        <v>228</v>
      </c>
      <c r="B303" t="s">
        <v>864</v>
      </c>
      <c r="C303" t="s">
        <v>231</v>
      </c>
      <c r="D303">
        <v>2015</v>
      </c>
      <c r="E303" s="6" t="s">
        <v>865</v>
      </c>
      <c r="F303" s="1" t="s">
        <v>866</v>
      </c>
      <c r="G303" s="1" t="s">
        <v>869</v>
      </c>
      <c r="I303" s="20">
        <v>45700</v>
      </c>
    </row>
    <row r="304" spans="1:9" ht="14.4" x14ac:dyDescent="0.3">
      <c r="A304" t="s">
        <v>228</v>
      </c>
      <c r="B304" t="s">
        <v>864</v>
      </c>
      <c r="C304" t="s">
        <v>231</v>
      </c>
      <c r="D304">
        <v>2016</v>
      </c>
      <c r="E304" s="6" t="s">
        <v>865</v>
      </c>
      <c r="F304" s="1" t="s">
        <v>866</v>
      </c>
      <c r="G304" s="1" t="s">
        <v>870</v>
      </c>
      <c r="I304" s="20">
        <v>45700</v>
      </c>
    </row>
    <row r="305" spans="1:9" ht="14.4" x14ac:dyDescent="0.3">
      <c r="A305" t="s">
        <v>228</v>
      </c>
      <c r="B305" t="s">
        <v>864</v>
      </c>
      <c r="C305" t="s">
        <v>231</v>
      </c>
      <c r="D305">
        <v>2017</v>
      </c>
      <c r="E305" s="6" t="s">
        <v>865</v>
      </c>
      <c r="F305" s="1" t="s">
        <v>866</v>
      </c>
      <c r="G305" s="1" t="s">
        <v>871</v>
      </c>
      <c r="H305" t="s">
        <v>867</v>
      </c>
      <c r="I305" s="20">
        <v>45700</v>
      </c>
    </row>
    <row r="306" spans="1:9" ht="14.4" x14ac:dyDescent="0.3">
      <c r="A306" t="s">
        <v>228</v>
      </c>
      <c r="B306" t="s">
        <v>864</v>
      </c>
      <c r="C306" t="s">
        <v>231</v>
      </c>
      <c r="D306">
        <v>2018</v>
      </c>
      <c r="E306" s="6" t="s">
        <v>865</v>
      </c>
      <c r="F306" s="1" t="s">
        <v>866</v>
      </c>
      <c r="G306" s="1" t="s">
        <v>871</v>
      </c>
      <c r="I306" s="20">
        <v>45700</v>
      </c>
    </row>
    <row r="307" spans="1:9" ht="14.4" x14ac:dyDescent="0.3">
      <c r="A307" t="s">
        <v>228</v>
      </c>
      <c r="B307" t="s">
        <v>864</v>
      </c>
      <c r="C307" t="s">
        <v>231</v>
      </c>
      <c r="D307">
        <v>2019</v>
      </c>
      <c r="E307" s="6" t="s">
        <v>865</v>
      </c>
      <c r="F307" s="1" t="s">
        <v>866</v>
      </c>
      <c r="G307" s="1" t="s">
        <v>872</v>
      </c>
      <c r="I307" s="20">
        <v>45700</v>
      </c>
    </row>
    <row r="308" spans="1:9" ht="14.4" x14ac:dyDescent="0.3">
      <c r="A308" t="s">
        <v>228</v>
      </c>
      <c r="B308" t="s">
        <v>864</v>
      </c>
      <c r="C308" t="s">
        <v>231</v>
      </c>
      <c r="D308">
        <v>2020</v>
      </c>
      <c r="E308" s="6" t="s">
        <v>865</v>
      </c>
      <c r="F308" s="1" t="s">
        <v>866</v>
      </c>
      <c r="G308" s="1" t="s">
        <v>873</v>
      </c>
      <c r="I308" s="20">
        <v>45700</v>
      </c>
    </row>
    <row r="309" spans="1:9" ht="14.4" x14ac:dyDescent="0.3">
      <c r="A309" t="s">
        <v>228</v>
      </c>
      <c r="B309" t="s">
        <v>864</v>
      </c>
      <c r="C309" t="s">
        <v>231</v>
      </c>
      <c r="D309">
        <v>2021</v>
      </c>
      <c r="E309" s="6" t="s">
        <v>865</v>
      </c>
      <c r="F309" s="1" t="s">
        <v>866</v>
      </c>
      <c r="G309" s="1" t="s">
        <v>874</v>
      </c>
      <c r="I309" s="20">
        <v>45700</v>
      </c>
    </row>
    <row r="310" spans="1:9" ht="14.4" x14ac:dyDescent="0.3">
      <c r="A310" t="s">
        <v>228</v>
      </c>
      <c r="B310" t="s">
        <v>864</v>
      </c>
      <c r="C310" t="s">
        <v>231</v>
      </c>
      <c r="D310">
        <v>2022</v>
      </c>
      <c r="E310" s="6" t="s">
        <v>865</v>
      </c>
      <c r="F310" s="1" t="s">
        <v>866</v>
      </c>
      <c r="G310" s="1" t="s">
        <v>875</v>
      </c>
      <c r="I310" s="20">
        <v>45700</v>
      </c>
    </row>
    <row r="311" spans="1:9" ht="14.4" x14ac:dyDescent="0.3">
      <c r="A311" t="s">
        <v>228</v>
      </c>
      <c r="B311" t="s">
        <v>864</v>
      </c>
      <c r="C311" t="s">
        <v>231</v>
      </c>
      <c r="D311">
        <v>2023</v>
      </c>
      <c r="E311" s="6" t="s">
        <v>865</v>
      </c>
      <c r="F311" s="1" t="s">
        <v>866</v>
      </c>
      <c r="G311" s="1" t="s">
        <v>876</v>
      </c>
      <c r="I311" s="20">
        <v>45700</v>
      </c>
    </row>
    <row r="312" spans="1:9" ht="14.4" x14ac:dyDescent="0.3">
      <c r="A312" t="s">
        <v>228</v>
      </c>
      <c r="B312" t="s">
        <v>864</v>
      </c>
      <c r="C312" t="s">
        <v>231</v>
      </c>
      <c r="D312">
        <v>2024</v>
      </c>
      <c r="E312" s="6" t="s">
        <v>865</v>
      </c>
      <c r="F312" s="1" t="s">
        <v>866</v>
      </c>
      <c r="G312" s="1" t="s">
        <v>877</v>
      </c>
      <c r="H312" t="s">
        <v>868</v>
      </c>
      <c r="I312" s="20">
        <v>45700</v>
      </c>
    </row>
    <row r="313" spans="1:9" ht="14.4" x14ac:dyDescent="0.3">
      <c r="A313" t="s">
        <v>241</v>
      </c>
      <c r="B313" t="s">
        <v>588</v>
      </c>
      <c r="C313" t="s">
        <v>240</v>
      </c>
      <c r="D313">
        <v>2016</v>
      </c>
      <c r="E313" s="6" t="s">
        <v>878</v>
      </c>
      <c r="F313" s="1" t="s">
        <v>879</v>
      </c>
      <c r="G313" s="8" t="s">
        <v>880</v>
      </c>
      <c r="I313" s="25" t="s">
        <v>715</v>
      </c>
    </row>
    <row r="314" spans="1:9" ht="14.4" x14ac:dyDescent="0.3">
      <c r="A314" t="s">
        <v>241</v>
      </c>
      <c r="B314" t="s">
        <v>588</v>
      </c>
      <c r="C314" t="s">
        <v>240</v>
      </c>
      <c r="D314">
        <v>2017</v>
      </c>
      <c r="E314" s="6" t="s">
        <v>878</v>
      </c>
      <c r="F314" t="s">
        <v>879</v>
      </c>
      <c r="G314" s="8" t="s">
        <v>880</v>
      </c>
      <c r="I314" s="25" t="s">
        <v>715</v>
      </c>
    </row>
    <row r="315" spans="1:9" ht="14.4" x14ac:dyDescent="0.3">
      <c r="A315" t="s">
        <v>241</v>
      </c>
      <c r="B315" t="s">
        <v>588</v>
      </c>
      <c r="C315" t="s">
        <v>240</v>
      </c>
      <c r="D315">
        <v>2018</v>
      </c>
      <c r="E315" s="6" t="s">
        <v>878</v>
      </c>
      <c r="F315" t="s">
        <v>879</v>
      </c>
      <c r="G315" s="8" t="s">
        <v>881</v>
      </c>
      <c r="I315" s="25" t="s">
        <v>715</v>
      </c>
    </row>
    <row r="316" spans="1:9" ht="14.4" x14ac:dyDescent="0.3">
      <c r="A316" t="s">
        <v>241</v>
      </c>
      <c r="B316" t="s">
        <v>588</v>
      </c>
      <c r="C316" t="s">
        <v>240</v>
      </c>
      <c r="D316">
        <v>2019</v>
      </c>
      <c r="E316" s="6" t="s">
        <v>878</v>
      </c>
      <c r="F316" t="s">
        <v>879</v>
      </c>
      <c r="G316" s="8" t="s">
        <v>882</v>
      </c>
      <c r="I316" s="25" t="s">
        <v>715</v>
      </c>
    </row>
    <row r="317" spans="1:9" ht="14.4" x14ac:dyDescent="0.3">
      <c r="A317" t="s">
        <v>241</v>
      </c>
      <c r="B317" t="s">
        <v>588</v>
      </c>
      <c r="C317" t="s">
        <v>240</v>
      </c>
      <c r="D317">
        <v>2020</v>
      </c>
      <c r="E317" s="6" t="s">
        <v>878</v>
      </c>
      <c r="F317" t="s">
        <v>879</v>
      </c>
      <c r="G317" s="8">
        <v>1</v>
      </c>
      <c r="H317" t="s">
        <v>632</v>
      </c>
      <c r="I317" s="25" t="s">
        <v>715</v>
      </c>
    </row>
    <row r="318" spans="1:9" ht="14.4" x14ac:dyDescent="0.3">
      <c r="A318" t="s">
        <v>241</v>
      </c>
      <c r="B318" t="s">
        <v>588</v>
      </c>
      <c r="C318" t="s">
        <v>240</v>
      </c>
      <c r="D318">
        <v>2021</v>
      </c>
      <c r="E318" s="6" t="s">
        <v>878</v>
      </c>
      <c r="F318" t="s">
        <v>879</v>
      </c>
      <c r="G318" s="8" t="s">
        <v>883</v>
      </c>
      <c r="H318" t="s">
        <v>632</v>
      </c>
      <c r="I318" s="25" t="s">
        <v>715</v>
      </c>
    </row>
    <row r="319" spans="1:9" ht="14.4" x14ac:dyDescent="0.3">
      <c r="A319" t="s">
        <v>241</v>
      </c>
      <c r="B319" t="s">
        <v>588</v>
      </c>
      <c r="C319" t="s">
        <v>240</v>
      </c>
      <c r="D319">
        <v>2022</v>
      </c>
      <c r="E319" s="6" t="s">
        <v>878</v>
      </c>
      <c r="F319" t="s">
        <v>879</v>
      </c>
      <c r="G319" s="8" t="s">
        <v>884</v>
      </c>
      <c r="H319" t="s">
        <v>632</v>
      </c>
      <c r="I319" s="25" t="s">
        <v>715</v>
      </c>
    </row>
    <row r="320" spans="1:9" ht="14.4" x14ac:dyDescent="0.3">
      <c r="A320" t="s">
        <v>241</v>
      </c>
      <c r="B320" t="s">
        <v>588</v>
      </c>
      <c r="C320" t="s">
        <v>240</v>
      </c>
      <c r="D320">
        <v>2023</v>
      </c>
      <c r="E320" s="6" t="s">
        <v>878</v>
      </c>
      <c r="F320" t="s">
        <v>879</v>
      </c>
      <c r="G320" s="8" t="s">
        <v>885</v>
      </c>
      <c r="I320" s="25" t="s">
        <v>715</v>
      </c>
    </row>
    <row r="321" spans="1:9" ht="14.4" x14ac:dyDescent="0.3">
      <c r="A321" t="s">
        <v>241</v>
      </c>
      <c r="B321" t="s">
        <v>588</v>
      </c>
      <c r="C321" t="s">
        <v>240</v>
      </c>
      <c r="D321">
        <v>2024</v>
      </c>
      <c r="E321" s="6" t="s">
        <v>878</v>
      </c>
      <c r="F321" s="8" t="s">
        <v>879</v>
      </c>
      <c r="G321" s="8" t="s">
        <v>885</v>
      </c>
      <c r="H321" t="s">
        <v>886</v>
      </c>
      <c r="I321" s="25" t="s">
        <v>715</v>
      </c>
    </row>
    <row r="322" spans="1:9" ht="14.4" x14ac:dyDescent="0.3">
      <c r="A322" t="s">
        <v>246</v>
      </c>
      <c r="B322" t="s">
        <v>589</v>
      </c>
      <c r="C322" t="s">
        <v>245</v>
      </c>
      <c r="D322">
        <v>2020</v>
      </c>
      <c r="E322" s="6" t="s">
        <v>887</v>
      </c>
      <c r="F322" s="8" t="s">
        <v>888</v>
      </c>
      <c r="G322" s="8" t="s">
        <v>889</v>
      </c>
      <c r="H322" t="s">
        <v>890</v>
      </c>
      <c r="I322" s="25" t="s">
        <v>780</v>
      </c>
    </row>
    <row r="323" spans="1:9" ht="14.4" x14ac:dyDescent="0.3">
      <c r="A323" t="s">
        <v>246</v>
      </c>
      <c r="B323" t="s">
        <v>589</v>
      </c>
      <c r="C323" t="s">
        <v>245</v>
      </c>
      <c r="D323">
        <v>2021</v>
      </c>
      <c r="E323" s="6" t="s">
        <v>887</v>
      </c>
      <c r="F323" s="8" t="s">
        <v>888</v>
      </c>
      <c r="G323" s="8" t="s">
        <v>891</v>
      </c>
      <c r="H323" t="s">
        <v>890</v>
      </c>
      <c r="I323" s="25" t="s">
        <v>780</v>
      </c>
    </row>
    <row r="324" spans="1:9" ht="14.4" x14ac:dyDescent="0.3">
      <c r="A324" t="s">
        <v>246</v>
      </c>
      <c r="B324" t="s">
        <v>589</v>
      </c>
      <c r="C324" t="s">
        <v>245</v>
      </c>
      <c r="D324">
        <v>2022</v>
      </c>
      <c r="E324" s="6" t="s">
        <v>887</v>
      </c>
      <c r="F324" s="8" t="s">
        <v>888</v>
      </c>
      <c r="G324" s="8" t="s">
        <v>892</v>
      </c>
      <c r="H324" t="s">
        <v>890</v>
      </c>
      <c r="I324" s="25" t="s">
        <v>780</v>
      </c>
    </row>
    <row r="325" spans="1:9" ht="14.4" x14ac:dyDescent="0.3">
      <c r="A325" t="s">
        <v>246</v>
      </c>
      <c r="B325" t="s">
        <v>589</v>
      </c>
      <c r="C325" t="s">
        <v>245</v>
      </c>
      <c r="D325">
        <v>2023</v>
      </c>
      <c r="E325" s="6" t="s">
        <v>887</v>
      </c>
      <c r="F325" s="8" t="s">
        <v>888</v>
      </c>
      <c r="G325" s="8" t="s">
        <v>893</v>
      </c>
      <c r="H325" t="s">
        <v>890</v>
      </c>
      <c r="I325" s="25" t="s">
        <v>780</v>
      </c>
    </row>
    <row r="326" spans="1:9" ht="14.4" x14ac:dyDescent="0.3">
      <c r="A326" t="s">
        <v>246</v>
      </c>
      <c r="B326" t="s">
        <v>589</v>
      </c>
      <c r="C326" t="s">
        <v>245</v>
      </c>
      <c r="D326">
        <v>2024</v>
      </c>
      <c r="E326" s="6" t="s">
        <v>887</v>
      </c>
      <c r="F326" s="8" t="s">
        <v>888</v>
      </c>
      <c r="G326" s="8" t="s">
        <v>894</v>
      </c>
      <c r="H326" t="s">
        <v>890</v>
      </c>
      <c r="I326" s="25" t="s">
        <v>780</v>
      </c>
    </row>
    <row r="327" spans="1:9" ht="14.4" x14ac:dyDescent="0.3">
      <c r="A327" t="s">
        <v>274</v>
      </c>
      <c r="B327" t="s">
        <v>590</v>
      </c>
      <c r="C327" t="s">
        <v>273</v>
      </c>
      <c r="D327">
        <v>2001</v>
      </c>
      <c r="E327" s="6" t="s">
        <v>895</v>
      </c>
      <c r="F327" s="8" t="s">
        <v>275</v>
      </c>
      <c r="G327" s="8" t="s">
        <v>896</v>
      </c>
      <c r="I327" s="20">
        <v>45667</v>
      </c>
    </row>
    <row r="328" spans="1:9" ht="14.4" x14ac:dyDescent="0.3">
      <c r="A328" t="s">
        <v>274</v>
      </c>
      <c r="B328" t="s">
        <v>590</v>
      </c>
      <c r="C328" t="s">
        <v>273</v>
      </c>
      <c r="D328">
        <v>2002</v>
      </c>
      <c r="E328" s="6" t="s">
        <v>895</v>
      </c>
      <c r="F328" s="8" t="s">
        <v>275</v>
      </c>
      <c r="G328" s="8" t="s">
        <v>896</v>
      </c>
      <c r="I328" s="20">
        <v>45667</v>
      </c>
    </row>
    <row r="329" spans="1:9" ht="14.4" x14ac:dyDescent="0.3">
      <c r="A329" t="s">
        <v>274</v>
      </c>
      <c r="B329" t="s">
        <v>590</v>
      </c>
      <c r="C329" t="s">
        <v>273</v>
      </c>
      <c r="D329">
        <v>2003</v>
      </c>
      <c r="E329" s="6" t="s">
        <v>895</v>
      </c>
      <c r="F329" s="8" t="s">
        <v>275</v>
      </c>
      <c r="G329" s="8" t="s">
        <v>897</v>
      </c>
      <c r="I329" s="20">
        <v>45667</v>
      </c>
    </row>
    <row r="330" spans="1:9" ht="14.4" x14ac:dyDescent="0.3">
      <c r="A330" t="s">
        <v>274</v>
      </c>
      <c r="B330" t="s">
        <v>590</v>
      </c>
      <c r="C330" t="s">
        <v>273</v>
      </c>
      <c r="D330">
        <v>2004</v>
      </c>
      <c r="E330" s="6" t="s">
        <v>895</v>
      </c>
      <c r="F330" s="8" t="s">
        <v>275</v>
      </c>
      <c r="G330" s="8" t="s">
        <v>898</v>
      </c>
      <c r="I330" s="20">
        <v>45667</v>
      </c>
    </row>
    <row r="331" spans="1:9" ht="14.4" x14ac:dyDescent="0.3">
      <c r="A331" t="s">
        <v>274</v>
      </c>
      <c r="B331" t="s">
        <v>590</v>
      </c>
      <c r="C331" t="s">
        <v>273</v>
      </c>
      <c r="D331">
        <v>2005</v>
      </c>
      <c r="E331" s="6" t="s">
        <v>895</v>
      </c>
      <c r="F331" s="8" t="s">
        <v>275</v>
      </c>
      <c r="G331" s="8" t="s">
        <v>899</v>
      </c>
      <c r="I331" s="20">
        <v>45667</v>
      </c>
    </row>
    <row r="332" spans="1:9" ht="14.4" x14ac:dyDescent="0.3">
      <c r="A332" t="s">
        <v>274</v>
      </c>
      <c r="B332" t="s">
        <v>590</v>
      </c>
      <c r="C332" t="s">
        <v>273</v>
      </c>
      <c r="D332">
        <v>2006</v>
      </c>
      <c r="E332" s="6" t="s">
        <v>895</v>
      </c>
      <c r="F332" s="8" t="s">
        <v>275</v>
      </c>
      <c r="G332" s="8" t="s">
        <v>900</v>
      </c>
      <c r="I332" s="20">
        <v>45667</v>
      </c>
    </row>
    <row r="333" spans="1:9" ht="14.4" x14ac:dyDescent="0.3">
      <c r="A333" t="s">
        <v>274</v>
      </c>
      <c r="B333" t="s">
        <v>590</v>
      </c>
      <c r="C333" t="s">
        <v>273</v>
      </c>
      <c r="D333">
        <v>2007</v>
      </c>
      <c r="E333" s="6" t="s">
        <v>895</v>
      </c>
      <c r="F333" s="8" t="s">
        <v>275</v>
      </c>
      <c r="G333" s="8" t="s">
        <v>901</v>
      </c>
      <c r="I333" s="20">
        <v>45667</v>
      </c>
    </row>
    <row r="334" spans="1:9" ht="14.4" x14ac:dyDescent="0.3">
      <c r="A334" t="s">
        <v>274</v>
      </c>
      <c r="B334" t="s">
        <v>590</v>
      </c>
      <c r="C334" t="s">
        <v>273</v>
      </c>
      <c r="D334">
        <v>2008</v>
      </c>
      <c r="E334" s="6" t="s">
        <v>895</v>
      </c>
      <c r="F334" s="8" t="s">
        <v>275</v>
      </c>
      <c r="G334" s="8" t="s">
        <v>902</v>
      </c>
      <c r="I334" s="20">
        <v>45667</v>
      </c>
    </row>
    <row r="335" spans="1:9" ht="14.4" x14ac:dyDescent="0.3">
      <c r="A335" t="s">
        <v>274</v>
      </c>
      <c r="B335" t="s">
        <v>590</v>
      </c>
      <c r="C335" t="s">
        <v>273</v>
      </c>
      <c r="D335">
        <v>2009</v>
      </c>
      <c r="E335" s="6" t="s">
        <v>895</v>
      </c>
      <c r="F335" s="8" t="s">
        <v>275</v>
      </c>
      <c r="G335" s="8" t="s">
        <v>903</v>
      </c>
      <c r="I335" s="20">
        <v>45667</v>
      </c>
    </row>
    <row r="336" spans="1:9" ht="14.4" x14ac:dyDescent="0.3">
      <c r="A336" t="s">
        <v>274</v>
      </c>
      <c r="B336" t="s">
        <v>590</v>
      </c>
      <c r="C336" t="s">
        <v>273</v>
      </c>
      <c r="D336">
        <v>2010</v>
      </c>
      <c r="E336" s="6" t="s">
        <v>895</v>
      </c>
      <c r="F336" s="8" t="s">
        <v>275</v>
      </c>
      <c r="G336" s="8" t="s">
        <v>904</v>
      </c>
      <c r="I336" s="20">
        <v>45667</v>
      </c>
    </row>
    <row r="337" spans="1:9" ht="14.4" x14ac:dyDescent="0.3">
      <c r="A337" t="s">
        <v>274</v>
      </c>
      <c r="B337" t="s">
        <v>590</v>
      </c>
      <c r="C337" t="s">
        <v>273</v>
      </c>
      <c r="D337">
        <v>2011</v>
      </c>
      <c r="E337" s="6" t="s">
        <v>895</v>
      </c>
      <c r="F337" s="8" t="s">
        <v>275</v>
      </c>
      <c r="G337" s="8" t="s">
        <v>905</v>
      </c>
      <c r="I337" s="20">
        <v>45667</v>
      </c>
    </row>
    <row r="338" spans="1:9" ht="14.4" x14ac:dyDescent="0.3">
      <c r="A338" t="s">
        <v>274</v>
      </c>
      <c r="B338" t="s">
        <v>590</v>
      </c>
      <c r="C338" t="s">
        <v>273</v>
      </c>
      <c r="D338">
        <v>2012</v>
      </c>
      <c r="E338" s="6" t="s">
        <v>895</v>
      </c>
      <c r="F338" s="8" t="s">
        <v>275</v>
      </c>
      <c r="G338" s="8" t="s">
        <v>906</v>
      </c>
      <c r="I338" s="20">
        <v>45667</v>
      </c>
    </row>
    <row r="339" spans="1:9" ht="14.4" x14ac:dyDescent="0.3">
      <c r="A339" t="s">
        <v>274</v>
      </c>
      <c r="B339" t="s">
        <v>590</v>
      </c>
      <c r="C339" t="s">
        <v>273</v>
      </c>
      <c r="D339">
        <v>2013</v>
      </c>
      <c r="E339" s="6" t="s">
        <v>895</v>
      </c>
      <c r="F339" s="8" t="s">
        <v>275</v>
      </c>
      <c r="G339" s="8" t="s">
        <v>907</v>
      </c>
      <c r="H339" t="s">
        <v>908</v>
      </c>
      <c r="I339" s="20">
        <v>45667</v>
      </c>
    </row>
    <row r="340" spans="1:9" ht="14.4" x14ac:dyDescent="0.3">
      <c r="A340" t="s">
        <v>274</v>
      </c>
      <c r="B340" t="s">
        <v>590</v>
      </c>
      <c r="C340" t="s">
        <v>278</v>
      </c>
      <c r="D340">
        <v>2014</v>
      </c>
      <c r="E340" s="6" t="s">
        <v>895</v>
      </c>
      <c r="F340" s="8" t="s">
        <v>909</v>
      </c>
      <c r="G340" s="8" t="s">
        <v>910</v>
      </c>
      <c r="I340" s="25" t="s">
        <v>757</v>
      </c>
    </row>
    <row r="341" spans="1:9" ht="14.4" x14ac:dyDescent="0.3">
      <c r="A341" t="s">
        <v>274</v>
      </c>
      <c r="B341" t="s">
        <v>590</v>
      </c>
      <c r="C341" t="s">
        <v>278</v>
      </c>
      <c r="D341">
        <v>2015</v>
      </c>
      <c r="E341" s="6" t="s">
        <v>895</v>
      </c>
      <c r="F341" s="8" t="s">
        <v>909</v>
      </c>
      <c r="G341" s="8" t="s">
        <v>910</v>
      </c>
      <c r="I341" s="25" t="s">
        <v>757</v>
      </c>
    </row>
    <row r="342" spans="1:9" ht="14.4" x14ac:dyDescent="0.3">
      <c r="A342" t="s">
        <v>274</v>
      </c>
      <c r="B342" t="s">
        <v>590</v>
      </c>
      <c r="C342" t="s">
        <v>278</v>
      </c>
      <c r="D342">
        <v>2016</v>
      </c>
      <c r="E342" s="6" t="s">
        <v>895</v>
      </c>
      <c r="F342" s="8" t="s">
        <v>909</v>
      </c>
      <c r="G342" s="8" t="s">
        <v>911</v>
      </c>
      <c r="I342" s="25" t="s">
        <v>757</v>
      </c>
    </row>
    <row r="343" spans="1:9" ht="14.4" x14ac:dyDescent="0.3">
      <c r="A343" t="s">
        <v>274</v>
      </c>
      <c r="B343" t="s">
        <v>590</v>
      </c>
      <c r="C343" t="s">
        <v>278</v>
      </c>
      <c r="D343">
        <v>2017</v>
      </c>
      <c r="E343" s="6" t="s">
        <v>895</v>
      </c>
      <c r="F343" s="8" t="s">
        <v>909</v>
      </c>
      <c r="G343" s="8" t="s">
        <v>912</v>
      </c>
      <c r="I343" s="25" t="s">
        <v>757</v>
      </c>
    </row>
    <row r="344" spans="1:9" ht="14.4" x14ac:dyDescent="0.3">
      <c r="A344" t="s">
        <v>274</v>
      </c>
      <c r="B344" t="s">
        <v>590</v>
      </c>
      <c r="C344" t="s">
        <v>278</v>
      </c>
      <c r="D344">
        <v>2018</v>
      </c>
      <c r="E344" s="6" t="s">
        <v>895</v>
      </c>
      <c r="F344" s="8" t="s">
        <v>909</v>
      </c>
      <c r="G344" s="8" t="s">
        <v>913</v>
      </c>
      <c r="I344" s="25" t="s">
        <v>757</v>
      </c>
    </row>
    <row r="345" spans="1:9" ht="14.4" x14ac:dyDescent="0.3">
      <c r="A345" t="s">
        <v>274</v>
      </c>
      <c r="B345" t="s">
        <v>590</v>
      </c>
      <c r="C345" t="s">
        <v>278</v>
      </c>
      <c r="D345">
        <v>2019</v>
      </c>
      <c r="E345" s="6" t="s">
        <v>895</v>
      </c>
      <c r="F345" s="8" t="s">
        <v>909</v>
      </c>
      <c r="G345" s="8" t="s">
        <v>914</v>
      </c>
      <c r="I345" s="25" t="s">
        <v>757</v>
      </c>
    </row>
    <row r="346" spans="1:9" ht="14.4" x14ac:dyDescent="0.3">
      <c r="A346" t="s">
        <v>274</v>
      </c>
      <c r="B346" t="s">
        <v>590</v>
      </c>
      <c r="C346" t="s">
        <v>278</v>
      </c>
      <c r="D346">
        <v>2020</v>
      </c>
      <c r="E346" s="6" t="s">
        <v>895</v>
      </c>
      <c r="F346" s="8" t="s">
        <v>909</v>
      </c>
      <c r="G346" s="8" t="s">
        <v>915</v>
      </c>
      <c r="I346" s="25" t="s">
        <v>757</v>
      </c>
    </row>
    <row r="347" spans="1:9" ht="14.4" x14ac:dyDescent="0.3">
      <c r="A347" t="s">
        <v>274</v>
      </c>
      <c r="B347" t="s">
        <v>590</v>
      </c>
      <c r="C347" t="s">
        <v>278</v>
      </c>
      <c r="D347">
        <v>2021</v>
      </c>
      <c r="E347" s="6" t="s">
        <v>895</v>
      </c>
      <c r="F347" s="8" t="s">
        <v>909</v>
      </c>
      <c r="G347" s="8" t="s">
        <v>916</v>
      </c>
      <c r="I347" s="25" t="s">
        <v>757</v>
      </c>
    </row>
    <row r="348" spans="1:9" ht="14.4" x14ac:dyDescent="0.3">
      <c r="A348" t="s">
        <v>274</v>
      </c>
      <c r="B348" t="s">
        <v>590</v>
      </c>
      <c r="C348" t="s">
        <v>278</v>
      </c>
      <c r="D348">
        <v>2022</v>
      </c>
      <c r="E348" s="6" t="s">
        <v>895</v>
      </c>
      <c r="F348" s="8" t="s">
        <v>909</v>
      </c>
      <c r="G348" s="8" t="s">
        <v>917</v>
      </c>
      <c r="I348" s="25" t="s">
        <v>757</v>
      </c>
    </row>
    <row r="349" spans="1:9" ht="14.4" x14ac:dyDescent="0.3">
      <c r="A349" t="s">
        <v>274</v>
      </c>
      <c r="B349" t="s">
        <v>590</v>
      </c>
      <c r="C349" t="s">
        <v>278</v>
      </c>
      <c r="D349">
        <v>2023</v>
      </c>
      <c r="E349" s="6" t="s">
        <v>895</v>
      </c>
      <c r="F349" s="8" t="s">
        <v>909</v>
      </c>
      <c r="G349" s="8" t="s">
        <v>918</v>
      </c>
      <c r="I349" s="25" t="s">
        <v>757</v>
      </c>
    </row>
    <row r="350" spans="1:9" ht="14.4" x14ac:dyDescent="0.3">
      <c r="A350" t="s">
        <v>274</v>
      </c>
      <c r="B350" t="s">
        <v>590</v>
      </c>
      <c r="C350" t="s">
        <v>278</v>
      </c>
      <c r="D350">
        <v>2024</v>
      </c>
      <c r="E350" s="6" t="s">
        <v>895</v>
      </c>
      <c r="F350" s="8" t="s">
        <v>909</v>
      </c>
      <c r="G350" s="8" t="s">
        <v>919</v>
      </c>
      <c r="I350" s="25" t="s">
        <v>757</v>
      </c>
    </row>
    <row r="351" spans="1:9" ht="14.4" x14ac:dyDescent="0.3">
      <c r="A351" t="s">
        <v>282</v>
      </c>
      <c r="B351" t="s">
        <v>591</v>
      </c>
      <c r="C351" t="s">
        <v>281</v>
      </c>
      <c r="D351">
        <v>2022</v>
      </c>
      <c r="E351" s="6" t="s">
        <v>920</v>
      </c>
      <c r="F351" s="8" t="s">
        <v>921</v>
      </c>
      <c r="G351" s="8" t="s">
        <v>922</v>
      </c>
      <c r="I351" s="25" t="s">
        <v>736</v>
      </c>
    </row>
    <row r="352" spans="1:9" ht="14.4" x14ac:dyDescent="0.3">
      <c r="A352" t="s">
        <v>282</v>
      </c>
      <c r="B352" t="s">
        <v>591</v>
      </c>
      <c r="C352" t="s">
        <v>281</v>
      </c>
      <c r="D352">
        <v>2023</v>
      </c>
      <c r="E352" s="6" t="s">
        <v>920</v>
      </c>
      <c r="F352" s="8" t="s">
        <v>921</v>
      </c>
      <c r="G352" s="8" t="s">
        <v>923</v>
      </c>
      <c r="I352" s="25" t="s">
        <v>736</v>
      </c>
    </row>
    <row r="353" spans="1:9" ht="14.4" x14ac:dyDescent="0.3">
      <c r="A353" t="s">
        <v>282</v>
      </c>
      <c r="B353" t="s">
        <v>591</v>
      </c>
      <c r="C353" t="s">
        <v>281</v>
      </c>
      <c r="D353">
        <v>2024</v>
      </c>
      <c r="E353" s="6" t="s">
        <v>920</v>
      </c>
      <c r="F353" s="8" t="s">
        <v>921</v>
      </c>
      <c r="G353" s="8" t="s">
        <v>924</v>
      </c>
      <c r="H353" t="s">
        <v>925</v>
      </c>
      <c r="I353" s="25" t="s">
        <v>736</v>
      </c>
    </row>
    <row r="354" spans="1:9" ht="14.4" x14ac:dyDescent="0.3">
      <c r="A354" t="s">
        <v>286</v>
      </c>
      <c r="B354" t="s">
        <v>592</v>
      </c>
      <c r="C354" t="s">
        <v>285</v>
      </c>
      <c r="D354">
        <v>2011</v>
      </c>
      <c r="E354" s="6" t="s">
        <v>926</v>
      </c>
      <c r="F354" s="8" t="s">
        <v>927</v>
      </c>
      <c r="G354" s="8" t="s">
        <v>928</v>
      </c>
      <c r="H354" t="s">
        <v>929</v>
      </c>
      <c r="I354" s="25" t="s">
        <v>736</v>
      </c>
    </row>
    <row r="355" spans="1:9" ht="14.4" x14ac:dyDescent="0.3">
      <c r="A355" t="s">
        <v>286</v>
      </c>
      <c r="B355" t="s">
        <v>592</v>
      </c>
      <c r="C355" t="s">
        <v>285</v>
      </c>
      <c r="D355">
        <v>2012</v>
      </c>
      <c r="E355" s="6" t="s">
        <v>926</v>
      </c>
      <c r="F355" s="8" t="s">
        <v>927</v>
      </c>
      <c r="G355" s="8" t="s">
        <v>930</v>
      </c>
      <c r="H355" t="s">
        <v>632</v>
      </c>
      <c r="I355" s="25" t="s">
        <v>736</v>
      </c>
    </row>
    <row r="356" spans="1:9" ht="14.4" x14ac:dyDescent="0.3">
      <c r="A356" t="s">
        <v>286</v>
      </c>
      <c r="B356" t="s">
        <v>592</v>
      </c>
      <c r="C356" t="s">
        <v>285</v>
      </c>
      <c r="D356">
        <v>2013</v>
      </c>
      <c r="E356" s="6" t="s">
        <v>926</v>
      </c>
      <c r="F356" s="8" t="s">
        <v>927</v>
      </c>
      <c r="G356" s="8" t="s">
        <v>930</v>
      </c>
      <c r="I356" s="25" t="s">
        <v>736</v>
      </c>
    </row>
    <row r="357" spans="1:9" ht="14.4" x14ac:dyDescent="0.3">
      <c r="A357" t="s">
        <v>286</v>
      </c>
      <c r="B357" t="s">
        <v>592</v>
      </c>
      <c r="C357" t="s">
        <v>285</v>
      </c>
      <c r="D357">
        <v>2014</v>
      </c>
      <c r="E357" s="6" t="s">
        <v>926</v>
      </c>
      <c r="F357" s="8" t="s">
        <v>927</v>
      </c>
      <c r="G357" s="8" t="s">
        <v>931</v>
      </c>
      <c r="I357" s="25" t="s">
        <v>736</v>
      </c>
    </row>
    <row r="358" spans="1:9" ht="14.4" x14ac:dyDescent="0.3">
      <c r="A358" t="s">
        <v>286</v>
      </c>
      <c r="B358" t="s">
        <v>592</v>
      </c>
      <c r="C358" t="s">
        <v>285</v>
      </c>
      <c r="D358">
        <v>2015</v>
      </c>
      <c r="E358" s="6" t="s">
        <v>926</v>
      </c>
      <c r="F358" s="8" t="s">
        <v>927</v>
      </c>
      <c r="G358" s="8" t="s">
        <v>931</v>
      </c>
      <c r="I358" s="25" t="s">
        <v>736</v>
      </c>
    </row>
    <row r="359" spans="1:9" ht="14.4" x14ac:dyDescent="0.3">
      <c r="A359" t="s">
        <v>286</v>
      </c>
      <c r="B359" t="s">
        <v>592</v>
      </c>
      <c r="C359" t="s">
        <v>285</v>
      </c>
      <c r="D359">
        <v>2016</v>
      </c>
      <c r="E359" s="6" t="s">
        <v>926</v>
      </c>
      <c r="F359" s="8" t="s">
        <v>927</v>
      </c>
      <c r="G359" s="8" t="s">
        <v>932</v>
      </c>
      <c r="H359" t="s">
        <v>632</v>
      </c>
      <c r="I359" s="25" t="s">
        <v>736</v>
      </c>
    </row>
    <row r="360" spans="1:9" ht="14.4" x14ac:dyDescent="0.3">
      <c r="A360" t="s">
        <v>286</v>
      </c>
      <c r="B360" t="s">
        <v>592</v>
      </c>
      <c r="C360" t="s">
        <v>285</v>
      </c>
      <c r="D360">
        <v>2017</v>
      </c>
      <c r="E360" s="6" t="s">
        <v>926</v>
      </c>
      <c r="F360" s="8" t="s">
        <v>927</v>
      </c>
      <c r="G360" s="8" t="s">
        <v>932</v>
      </c>
      <c r="I360" s="25" t="s">
        <v>736</v>
      </c>
    </row>
    <row r="361" spans="1:9" ht="14.4" x14ac:dyDescent="0.3">
      <c r="A361" t="s">
        <v>286</v>
      </c>
      <c r="B361" t="s">
        <v>592</v>
      </c>
      <c r="C361" t="s">
        <v>285</v>
      </c>
      <c r="D361">
        <v>2018</v>
      </c>
      <c r="E361" s="6" t="s">
        <v>926</v>
      </c>
      <c r="F361" s="8" t="s">
        <v>927</v>
      </c>
      <c r="G361" s="8" t="s">
        <v>933</v>
      </c>
      <c r="I361" s="25" t="s">
        <v>736</v>
      </c>
    </row>
    <row r="362" spans="1:9" ht="14.4" x14ac:dyDescent="0.3">
      <c r="A362" t="s">
        <v>286</v>
      </c>
      <c r="B362" t="s">
        <v>592</v>
      </c>
      <c r="C362" t="s">
        <v>285</v>
      </c>
      <c r="D362">
        <v>2019</v>
      </c>
      <c r="E362" s="6" t="s">
        <v>926</v>
      </c>
      <c r="F362" s="8" t="s">
        <v>927</v>
      </c>
      <c r="G362" s="8" t="s">
        <v>934</v>
      </c>
      <c r="I362" s="25" t="s">
        <v>736</v>
      </c>
    </row>
    <row r="363" spans="1:9" ht="14.4" x14ac:dyDescent="0.3">
      <c r="A363" t="s">
        <v>286</v>
      </c>
      <c r="B363" t="s">
        <v>592</v>
      </c>
      <c r="C363" t="s">
        <v>285</v>
      </c>
      <c r="D363">
        <v>2020</v>
      </c>
      <c r="E363" s="6" t="s">
        <v>926</v>
      </c>
      <c r="F363" s="8" t="s">
        <v>927</v>
      </c>
      <c r="G363" s="8" t="s">
        <v>935</v>
      </c>
      <c r="I363" s="25" t="s">
        <v>736</v>
      </c>
    </row>
    <row r="364" spans="1:9" ht="14.4" x14ac:dyDescent="0.3">
      <c r="A364" t="s">
        <v>286</v>
      </c>
      <c r="B364" t="s">
        <v>592</v>
      </c>
      <c r="C364" t="s">
        <v>285</v>
      </c>
      <c r="D364">
        <v>2021</v>
      </c>
      <c r="E364" s="6" t="s">
        <v>926</v>
      </c>
      <c r="F364" s="8" t="s">
        <v>927</v>
      </c>
      <c r="G364" s="8" t="s">
        <v>936</v>
      </c>
      <c r="I364" s="25" t="s">
        <v>736</v>
      </c>
    </row>
    <row r="365" spans="1:9" ht="14.4" x14ac:dyDescent="0.3">
      <c r="A365" t="s">
        <v>286</v>
      </c>
      <c r="B365" t="s">
        <v>592</v>
      </c>
      <c r="C365" t="s">
        <v>285</v>
      </c>
      <c r="D365">
        <v>2022</v>
      </c>
      <c r="E365" s="6" t="s">
        <v>926</v>
      </c>
      <c r="F365" s="8" t="s">
        <v>927</v>
      </c>
      <c r="G365" s="8" t="s">
        <v>937</v>
      </c>
      <c r="I365" s="25" t="s">
        <v>736</v>
      </c>
    </row>
    <row r="366" spans="1:9" ht="14.4" x14ac:dyDescent="0.3">
      <c r="A366" t="s">
        <v>286</v>
      </c>
      <c r="B366" t="s">
        <v>592</v>
      </c>
      <c r="C366" t="s">
        <v>285</v>
      </c>
      <c r="D366">
        <v>2023</v>
      </c>
      <c r="E366" s="6" t="s">
        <v>926</v>
      </c>
      <c r="F366" s="8" t="s">
        <v>927</v>
      </c>
      <c r="G366" s="8" t="s">
        <v>938</v>
      </c>
      <c r="I366" s="25" t="s">
        <v>736</v>
      </c>
    </row>
    <row r="367" spans="1:9" ht="14.4" x14ac:dyDescent="0.3">
      <c r="A367" t="s">
        <v>286</v>
      </c>
      <c r="B367" t="s">
        <v>592</v>
      </c>
      <c r="C367" t="s">
        <v>285</v>
      </c>
      <c r="D367">
        <v>2024</v>
      </c>
      <c r="E367" s="6" t="s">
        <v>926</v>
      </c>
      <c r="F367" s="8" t="s">
        <v>927</v>
      </c>
      <c r="G367" s="8" t="s">
        <v>939</v>
      </c>
      <c r="I367" s="25" t="s">
        <v>736</v>
      </c>
    </row>
    <row r="368" spans="1:9" ht="14.4" x14ac:dyDescent="0.3">
      <c r="A368" t="s">
        <v>289</v>
      </c>
      <c r="B368" t="s">
        <v>593</v>
      </c>
      <c r="C368" t="s">
        <v>288</v>
      </c>
      <c r="D368">
        <v>2018</v>
      </c>
      <c r="E368" s="6" t="s">
        <v>288</v>
      </c>
      <c r="F368" s="8" t="s">
        <v>940</v>
      </c>
      <c r="G368" s="8" t="s">
        <v>941</v>
      </c>
      <c r="I368" s="25" t="s">
        <v>715</v>
      </c>
    </row>
    <row r="369" spans="1:9" ht="14.4" x14ac:dyDescent="0.3">
      <c r="A369" t="s">
        <v>289</v>
      </c>
      <c r="B369" t="s">
        <v>593</v>
      </c>
      <c r="C369" t="s">
        <v>288</v>
      </c>
      <c r="D369">
        <v>2019</v>
      </c>
      <c r="E369" s="6" t="s">
        <v>288</v>
      </c>
      <c r="F369" s="8" t="s">
        <v>940</v>
      </c>
      <c r="G369" s="8" t="s">
        <v>942</v>
      </c>
      <c r="I369" s="25" t="s">
        <v>715</v>
      </c>
    </row>
    <row r="370" spans="1:9" ht="14.4" x14ac:dyDescent="0.3">
      <c r="A370" t="s">
        <v>289</v>
      </c>
      <c r="B370" t="s">
        <v>593</v>
      </c>
      <c r="C370" t="s">
        <v>288</v>
      </c>
      <c r="D370">
        <v>2020</v>
      </c>
      <c r="E370" s="6" t="s">
        <v>288</v>
      </c>
      <c r="F370" s="8" t="s">
        <v>940</v>
      </c>
      <c r="G370" s="8" t="s">
        <v>943</v>
      </c>
      <c r="I370" s="25" t="s">
        <v>715</v>
      </c>
    </row>
    <row r="371" spans="1:9" ht="14.4" x14ac:dyDescent="0.3">
      <c r="A371" t="s">
        <v>289</v>
      </c>
      <c r="B371" t="s">
        <v>593</v>
      </c>
      <c r="C371" t="s">
        <v>288</v>
      </c>
      <c r="D371">
        <v>2021</v>
      </c>
      <c r="E371" s="6" t="s">
        <v>288</v>
      </c>
      <c r="F371" s="8" t="s">
        <v>940</v>
      </c>
      <c r="G371" s="8" t="s">
        <v>944</v>
      </c>
      <c r="I371" s="25" t="s">
        <v>715</v>
      </c>
    </row>
    <row r="372" spans="1:9" ht="14.4" x14ac:dyDescent="0.3">
      <c r="A372" t="s">
        <v>289</v>
      </c>
      <c r="B372" t="s">
        <v>593</v>
      </c>
      <c r="C372" t="s">
        <v>288</v>
      </c>
      <c r="D372">
        <v>2022</v>
      </c>
      <c r="E372" s="6" t="s">
        <v>288</v>
      </c>
      <c r="F372" s="8" t="s">
        <v>940</v>
      </c>
      <c r="G372" s="8" t="s">
        <v>945</v>
      </c>
      <c r="I372" s="25" t="s">
        <v>715</v>
      </c>
    </row>
    <row r="373" spans="1:9" ht="14.4" x14ac:dyDescent="0.3">
      <c r="A373" t="s">
        <v>289</v>
      </c>
      <c r="B373" t="s">
        <v>593</v>
      </c>
      <c r="C373" t="s">
        <v>288</v>
      </c>
      <c r="D373">
        <v>2023</v>
      </c>
      <c r="E373" s="6" t="s">
        <v>288</v>
      </c>
      <c r="F373" s="8" t="s">
        <v>940</v>
      </c>
      <c r="G373" s="8" t="s">
        <v>946</v>
      </c>
      <c r="I373" s="25" t="s">
        <v>715</v>
      </c>
    </row>
    <row r="374" spans="1:9" ht="14.4" x14ac:dyDescent="0.3">
      <c r="A374" t="s">
        <v>289</v>
      </c>
      <c r="B374" t="s">
        <v>593</v>
      </c>
      <c r="C374" t="s">
        <v>288</v>
      </c>
      <c r="D374">
        <v>2024</v>
      </c>
      <c r="E374" s="6" t="s">
        <v>288</v>
      </c>
      <c r="F374" s="8" t="s">
        <v>940</v>
      </c>
      <c r="G374" s="8" t="s">
        <v>947</v>
      </c>
      <c r="I374" s="25" t="s">
        <v>715</v>
      </c>
    </row>
    <row r="375" spans="1:9" ht="14.4" x14ac:dyDescent="0.3">
      <c r="A375" t="s">
        <v>293</v>
      </c>
      <c r="B375" t="s">
        <v>594</v>
      </c>
      <c r="C375" t="s">
        <v>292</v>
      </c>
      <c r="D375">
        <v>2004</v>
      </c>
      <c r="E375" s="6" t="s">
        <v>948</v>
      </c>
      <c r="F375" s="1" t="s">
        <v>949</v>
      </c>
      <c r="G375" s="1" t="s">
        <v>950</v>
      </c>
      <c r="I375" s="20">
        <v>45669</v>
      </c>
    </row>
    <row r="376" spans="1:9" ht="14.4" x14ac:dyDescent="0.3">
      <c r="A376" t="s">
        <v>293</v>
      </c>
      <c r="B376" t="s">
        <v>594</v>
      </c>
      <c r="C376" t="s">
        <v>292</v>
      </c>
      <c r="D376">
        <v>2005</v>
      </c>
      <c r="E376" s="6" t="s">
        <v>948</v>
      </c>
      <c r="F376" s="1" t="s">
        <v>949</v>
      </c>
      <c r="G376" s="1" t="s">
        <v>951</v>
      </c>
      <c r="I376" s="20">
        <v>45669</v>
      </c>
    </row>
    <row r="377" spans="1:9" ht="14.4" x14ac:dyDescent="0.3">
      <c r="A377" t="s">
        <v>293</v>
      </c>
      <c r="B377" t="s">
        <v>594</v>
      </c>
      <c r="C377" t="s">
        <v>292</v>
      </c>
      <c r="D377">
        <v>2006</v>
      </c>
      <c r="E377" s="6" t="s">
        <v>948</v>
      </c>
      <c r="F377" s="8" t="s">
        <v>949</v>
      </c>
      <c r="G377" s="8" t="s">
        <v>952</v>
      </c>
      <c r="I377" s="20">
        <v>45669</v>
      </c>
    </row>
    <row r="378" spans="1:9" ht="14.4" x14ac:dyDescent="0.3">
      <c r="A378" t="s">
        <v>293</v>
      </c>
      <c r="B378" t="s">
        <v>594</v>
      </c>
      <c r="C378" t="s">
        <v>292</v>
      </c>
      <c r="D378">
        <v>2007</v>
      </c>
      <c r="E378" s="6" t="s">
        <v>948</v>
      </c>
      <c r="F378" s="1" t="s">
        <v>949</v>
      </c>
      <c r="G378" s="1" t="s">
        <v>953</v>
      </c>
      <c r="I378" s="20">
        <v>45669</v>
      </c>
    </row>
    <row r="379" spans="1:9" ht="14.4" x14ac:dyDescent="0.3">
      <c r="A379" t="s">
        <v>293</v>
      </c>
      <c r="B379" t="s">
        <v>594</v>
      </c>
      <c r="C379" t="s">
        <v>292</v>
      </c>
      <c r="D379">
        <v>2008</v>
      </c>
      <c r="E379" s="6" t="s">
        <v>948</v>
      </c>
      <c r="F379" s="1" t="s">
        <v>949</v>
      </c>
      <c r="G379" t="s">
        <v>954</v>
      </c>
      <c r="I379" s="20">
        <v>45669</v>
      </c>
    </row>
    <row r="380" spans="1:9" ht="14.4" x14ac:dyDescent="0.3">
      <c r="A380" t="s">
        <v>293</v>
      </c>
      <c r="B380" t="s">
        <v>594</v>
      </c>
      <c r="C380" t="s">
        <v>292</v>
      </c>
      <c r="D380">
        <v>2009</v>
      </c>
      <c r="E380" s="6" t="s">
        <v>948</v>
      </c>
      <c r="F380" s="1" t="s">
        <v>949</v>
      </c>
      <c r="G380" s="1" t="s">
        <v>955</v>
      </c>
      <c r="I380" s="20">
        <v>45669</v>
      </c>
    </row>
    <row r="381" spans="1:9" ht="14.4" x14ac:dyDescent="0.3">
      <c r="A381" t="s">
        <v>293</v>
      </c>
      <c r="B381" t="s">
        <v>594</v>
      </c>
      <c r="C381" t="s">
        <v>292</v>
      </c>
      <c r="D381">
        <v>2010</v>
      </c>
      <c r="E381" s="6" t="s">
        <v>948</v>
      </c>
      <c r="F381" s="1" t="s">
        <v>949</v>
      </c>
      <c r="G381" t="s">
        <v>956</v>
      </c>
      <c r="I381" s="20">
        <v>45669</v>
      </c>
    </row>
    <row r="382" spans="1:9" ht="14.4" x14ac:dyDescent="0.3">
      <c r="A382" t="s">
        <v>293</v>
      </c>
      <c r="B382" t="s">
        <v>594</v>
      </c>
      <c r="C382" t="s">
        <v>292</v>
      </c>
      <c r="D382">
        <v>2011</v>
      </c>
      <c r="E382" s="6" t="s">
        <v>948</v>
      </c>
      <c r="F382" s="1" t="s">
        <v>949</v>
      </c>
      <c r="G382" t="s">
        <v>957</v>
      </c>
      <c r="I382" s="20">
        <v>45669</v>
      </c>
    </row>
    <row r="383" spans="1:9" ht="14.4" x14ac:dyDescent="0.3">
      <c r="A383" t="s">
        <v>293</v>
      </c>
      <c r="B383" t="s">
        <v>594</v>
      </c>
      <c r="C383" t="s">
        <v>292</v>
      </c>
      <c r="D383">
        <v>2012</v>
      </c>
      <c r="E383" s="6" t="s">
        <v>948</v>
      </c>
      <c r="F383" s="1" t="s">
        <v>949</v>
      </c>
      <c r="G383" t="s">
        <v>958</v>
      </c>
      <c r="I383" s="20">
        <v>45669</v>
      </c>
    </row>
    <row r="384" spans="1:9" ht="14.4" x14ac:dyDescent="0.3">
      <c r="A384" t="s">
        <v>293</v>
      </c>
      <c r="B384" t="s">
        <v>594</v>
      </c>
      <c r="C384" t="s">
        <v>292</v>
      </c>
      <c r="D384">
        <v>2013</v>
      </c>
      <c r="E384" s="6" t="s">
        <v>948</v>
      </c>
      <c r="F384" s="1" t="s">
        <v>949</v>
      </c>
      <c r="G384" t="s">
        <v>959</v>
      </c>
      <c r="I384" s="20">
        <v>45669</v>
      </c>
    </row>
    <row r="385" spans="1:9" ht="14.4" x14ac:dyDescent="0.3">
      <c r="A385" t="s">
        <v>293</v>
      </c>
      <c r="B385" t="s">
        <v>594</v>
      </c>
      <c r="C385" t="s">
        <v>292</v>
      </c>
      <c r="D385">
        <v>2014</v>
      </c>
      <c r="E385" s="6" t="s">
        <v>948</v>
      </c>
      <c r="F385" s="1" t="s">
        <v>949</v>
      </c>
      <c r="G385" t="s">
        <v>960</v>
      </c>
      <c r="I385" s="20">
        <v>45669</v>
      </c>
    </row>
    <row r="386" spans="1:9" ht="14.4" x14ac:dyDescent="0.3">
      <c r="A386" t="s">
        <v>293</v>
      </c>
      <c r="B386" t="s">
        <v>594</v>
      </c>
      <c r="C386" t="s">
        <v>292</v>
      </c>
      <c r="D386">
        <v>2015</v>
      </c>
      <c r="E386" s="6" t="s">
        <v>948</v>
      </c>
      <c r="F386" s="1" t="s">
        <v>949</v>
      </c>
      <c r="G386" t="s">
        <v>961</v>
      </c>
      <c r="I386" s="20">
        <v>45669</v>
      </c>
    </row>
    <row r="387" spans="1:9" ht="14.4" x14ac:dyDescent="0.3">
      <c r="A387" t="s">
        <v>293</v>
      </c>
      <c r="B387" t="s">
        <v>594</v>
      </c>
      <c r="C387" t="s">
        <v>292</v>
      </c>
      <c r="D387">
        <v>2016</v>
      </c>
      <c r="E387" s="6" t="s">
        <v>948</v>
      </c>
      <c r="F387" s="1" t="s">
        <v>949</v>
      </c>
      <c r="G387" t="s">
        <v>962</v>
      </c>
      <c r="I387" s="20">
        <v>45669</v>
      </c>
    </row>
    <row r="388" spans="1:9" ht="14.4" x14ac:dyDescent="0.3">
      <c r="A388" t="s">
        <v>293</v>
      </c>
      <c r="B388" t="s">
        <v>594</v>
      </c>
      <c r="C388" t="s">
        <v>292</v>
      </c>
      <c r="D388">
        <v>2017</v>
      </c>
      <c r="E388" s="6" t="s">
        <v>948</v>
      </c>
      <c r="F388" s="1" t="s">
        <v>949</v>
      </c>
      <c r="G388" t="s">
        <v>963</v>
      </c>
      <c r="I388" s="20">
        <v>45669</v>
      </c>
    </row>
    <row r="389" spans="1:9" ht="14.4" x14ac:dyDescent="0.3">
      <c r="A389" t="s">
        <v>293</v>
      </c>
      <c r="B389" t="s">
        <v>594</v>
      </c>
      <c r="C389" t="s">
        <v>292</v>
      </c>
      <c r="D389">
        <v>2018</v>
      </c>
      <c r="E389" s="6" t="s">
        <v>948</v>
      </c>
      <c r="F389" s="1" t="s">
        <v>949</v>
      </c>
      <c r="G389" t="s">
        <v>964</v>
      </c>
      <c r="I389" s="20">
        <v>45669</v>
      </c>
    </row>
    <row r="390" spans="1:9" ht="14.4" x14ac:dyDescent="0.3">
      <c r="A390" t="s">
        <v>293</v>
      </c>
      <c r="B390" t="s">
        <v>594</v>
      </c>
      <c r="C390" t="s">
        <v>292</v>
      </c>
      <c r="D390">
        <v>2019</v>
      </c>
      <c r="E390" s="6" t="s">
        <v>948</v>
      </c>
      <c r="F390" s="1" t="s">
        <v>949</v>
      </c>
      <c r="G390" t="s">
        <v>965</v>
      </c>
      <c r="I390" s="20">
        <v>45669</v>
      </c>
    </row>
    <row r="391" spans="1:9" ht="14.4" x14ac:dyDescent="0.3">
      <c r="A391" t="s">
        <v>293</v>
      </c>
      <c r="B391" t="s">
        <v>594</v>
      </c>
      <c r="C391" t="s">
        <v>292</v>
      </c>
      <c r="D391">
        <v>2020</v>
      </c>
      <c r="E391" s="6" t="s">
        <v>948</v>
      </c>
      <c r="F391" s="1" t="s">
        <v>949</v>
      </c>
      <c r="G391" t="s">
        <v>966</v>
      </c>
      <c r="I391" s="20">
        <v>45669</v>
      </c>
    </row>
    <row r="392" spans="1:9" ht="14.4" x14ac:dyDescent="0.3">
      <c r="A392" t="s">
        <v>293</v>
      </c>
      <c r="B392" t="s">
        <v>594</v>
      </c>
      <c r="C392" t="s">
        <v>292</v>
      </c>
      <c r="D392">
        <v>2021</v>
      </c>
      <c r="E392" s="6" t="s">
        <v>948</v>
      </c>
      <c r="F392" s="1" t="s">
        <v>949</v>
      </c>
      <c r="G392" t="s">
        <v>967</v>
      </c>
      <c r="I392" s="20">
        <v>45669</v>
      </c>
    </row>
    <row r="393" spans="1:9" ht="14.4" x14ac:dyDescent="0.3">
      <c r="A393" t="s">
        <v>293</v>
      </c>
      <c r="B393" t="s">
        <v>594</v>
      </c>
      <c r="C393" t="s">
        <v>292</v>
      </c>
      <c r="D393">
        <v>2022</v>
      </c>
      <c r="E393" s="6" t="s">
        <v>948</v>
      </c>
      <c r="F393" s="1" t="s">
        <v>949</v>
      </c>
      <c r="G393" t="s">
        <v>968</v>
      </c>
      <c r="I393" s="20">
        <v>45669</v>
      </c>
    </row>
    <row r="394" spans="1:9" ht="14.4" x14ac:dyDescent="0.3">
      <c r="A394" t="s">
        <v>293</v>
      </c>
      <c r="B394" t="s">
        <v>594</v>
      </c>
      <c r="C394" t="s">
        <v>292</v>
      </c>
      <c r="D394">
        <v>2023</v>
      </c>
      <c r="E394" s="6" t="s">
        <v>948</v>
      </c>
      <c r="F394" s="1" t="s">
        <v>949</v>
      </c>
      <c r="G394" t="s">
        <v>969</v>
      </c>
      <c r="I394" s="20">
        <v>45669</v>
      </c>
    </row>
    <row r="395" spans="1:9" ht="14.4" x14ac:dyDescent="0.3">
      <c r="A395" t="s">
        <v>293</v>
      </c>
      <c r="B395" t="s">
        <v>594</v>
      </c>
      <c r="C395" t="s">
        <v>292</v>
      </c>
      <c r="D395">
        <v>2024</v>
      </c>
      <c r="E395" s="6" t="s">
        <v>948</v>
      </c>
      <c r="F395" s="1" t="s">
        <v>949</v>
      </c>
      <c r="G395" s="1" t="s">
        <v>970</v>
      </c>
      <c r="I395" s="20">
        <v>45669</v>
      </c>
    </row>
    <row r="396" spans="1:9" ht="14.4" x14ac:dyDescent="0.3">
      <c r="A396" t="s">
        <v>293</v>
      </c>
      <c r="B396" t="s">
        <v>594</v>
      </c>
      <c r="C396" t="s">
        <v>301</v>
      </c>
      <c r="D396">
        <v>2012</v>
      </c>
      <c r="E396" s="6" t="s">
        <v>971</v>
      </c>
      <c r="F396" s="8" t="s">
        <v>972</v>
      </c>
      <c r="G396" s="8" t="s">
        <v>973</v>
      </c>
      <c r="I396" s="20">
        <v>45758</v>
      </c>
    </row>
    <row r="397" spans="1:9" ht="14.4" x14ac:dyDescent="0.3">
      <c r="A397" t="s">
        <v>293</v>
      </c>
      <c r="B397" t="s">
        <v>594</v>
      </c>
      <c r="C397" t="s">
        <v>301</v>
      </c>
      <c r="D397">
        <v>2013</v>
      </c>
      <c r="E397" s="6" t="s">
        <v>971</v>
      </c>
      <c r="F397" s="1" t="s">
        <v>972</v>
      </c>
      <c r="G397" s="8" t="s">
        <v>974</v>
      </c>
      <c r="I397" s="20">
        <v>45758</v>
      </c>
    </row>
    <row r="398" spans="1:9" ht="14.4" x14ac:dyDescent="0.3">
      <c r="A398" t="s">
        <v>293</v>
      </c>
      <c r="B398" t="s">
        <v>594</v>
      </c>
      <c r="C398" t="s">
        <v>301</v>
      </c>
      <c r="D398">
        <v>2014</v>
      </c>
      <c r="E398" s="6" t="s">
        <v>971</v>
      </c>
      <c r="F398" t="s">
        <v>972</v>
      </c>
      <c r="G398" s="8" t="s">
        <v>975</v>
      </c>
      <c r="I398" s="20">
        <v>45758</v>
      </c>
    </row>
    <row r="399" spans="1:9" ht="14.4" x14ac:dyDescent="0.3">
      <c r="A399" t="s">
        <v>293</v>
      </c>
      <c r="B399" t="s">
        <v>594</v>
      </c>
      <c r="C399" t="s">
        <v>301</v>
      </c>
      <c r="D399">
        <v>2015</v>
      </c>
      <c r="E399" s="6" t="s">
        <v>971</v>
      </c>
      <c r="F399" t="s">
        <v>972</v>
      </c>
      <c r="G399" s="8" t="s">
        <v>976</v>
      </c>
      <c r="I399" s="20">
        <v>45758</v>
      </c>
    </row>
    <row r="400" spans="1:9" ht="14.4" x14ac:dyDescent="0.3">
      <c r="A400" t="s">
        <v>293</v>
      </c>
      <c r="B400" t="s">
        <v>594</v>
      </c>
      <c r="C400" t="s">
        <v>301</v>
      </c>
      <c r="D400">
        <v>2016</v>
      </c>
      <c r="E400" s="6" t="s">
        <v>971</v>
      </c>
      <c r="F400" t="s">
        <v>972</v>
      </c>
      <c r="G400" s="8" t="s">
        <v>977</v>
      </c>
      <c r="I400" s="20">
        <v>45758</v>
      </c>
    </row>
    <row r="401" spans="1:9" ht="14.4" x14ac:dyDescent="0.3">
      <c r="A401" t="s">
        <v>293</v>
      </c>
      <c r="B401" t="s">
        <v>594</v>
      </c>
      <c r="C401" t="s">
        <v>301</v>
      </c>
      <c r="D401">
        <v>2017</v>
      </c>
      <c r="E401" s="6" t="s">
        <v>971</v>
      </c>
      <c r="F401" t="s">
        <v>972</v>
      </c>
      <c r="G401" s="8" t="s">
        <v>978</v>
      </c>
      <c r="I401" s="20">
        <v>45758</v>
      </c>
    </row>
    <row r="402" spans="1:9" ht="14.4" x14ac:dyDescent="0.3">
      <c r="A402" t="s">
        <v>293</v>
      </c>
      <c r="B402" t="s">
        <v>594</v>
      </c>
      <c r="C402" t="s">
        <v>301</v>
      </c>
      <c r="D402">
        <v>2018</v>
      </c>
      <c r="E402" s="6" t="s">
        <v>971</v>
      </c>
      <c r="F402" t="s">
        <v>972</v>
      </c>
      <c r="G402" s="8" t="s">
        <v>979</v>
      </c>
      <c r="I402" s="20">
        <v>45758</v>
      </c>
    </row>
    <row r="403" spans="1:9" ht="14.4" x14ac:dyDescent="0.3">
      <c r="A403" t="s">
        <v>293</v>
      </c>
      <c r="B403" t="s">
        <v>594</v>
      </c>
      <c r="C403" t="s">
        <v>301</v>
      </c>
      <c r="D403">
        <v>2019</v>
      </c>
      <c r="E403" s="6" t="s">
        <v>971</v>
      </c>
      <c r="F403" t="s">
        <v>972</v>
      </c>
      <c r="G403" s="8" t="s">
        <v>980</v>
      </c>
      <c r="I403" s="20">
        <v>45758</v>
      </c>
    </row>
    <row r="404" spans="1:9" ht="14.4" x14ac:dyDescent="0.3">
      <c r="A404" t="s">
        <v>293</v>
      </c>
      <c r="B404" t="s">
        <v>594</v>
      </c>
      <c r="C404" t="s">
        <v>301</v>
      </c>
      <c r="D404">
        <v>2020</v>
      </c>
      <c r="E404" s="6" t="s">
        <v>971</v>
      </c>
      <c r="F404" t="s">
        <v>972</v>
      </c>
      <c r="G404" s="8" t="s">
        <v>981</v>
      </c>
      <c r="I404" s="20">
        <v>45758</v>
      </c>
    </row>
    <row r="405" spans="1:9" ht="14.4" x14ac:dyDescent="0.3">
      <c r="A405" t="s">
        <v>293</v>
      </c>
      <c r="B405" t="s">
        <v>594</v>
      </c>
      <c r="C405" t="s">
        <v>301</v>
      </c>
      <c r="D405">
        <v>2021</v>
      </c>
      <c r="E405" s="6" t="s">
        <v>971</v>
      </c>
      <c r="F405" t="s">
        <v>972</v>
      </c>
      <c r="G405" s="8" t="s">
        <v>982</v>
      </c>
      <c r="I405" s="20">
        <v>45758</v>
      </c>
    </row>
    <row r="406" spans="1:9" ht="14.4" x14ac:dyDescent="0.3">
      <c r="A406" t="s">
        <v>293</v>
      </c>
      <c r="B406" t="s">
        <v>594</v>
      </c>
      <c r="C406" t="s">
        <v>301</v>
      </c>
      <c r="D406">
        <v>2022</v>
      </c>
      <c r="E406" s="6" t="s">
        <v>971</v>
      </c>
      <c r="F406" t="s">
        <v>972</v>
      </c>
      <c r="G406" s="8" t="s">
        <v>983</v>
      </c>
      <c r="I406" s="20">
        <v>45758</v>
      </c>
    </row>
    <row r="407" spans="1:9" ht="14.4" x14ac:dyDescent="0.3">
      <c r="A407" t="s">
        <v>293</v>
      </c>
      <c r="B407" t="s">
        <v>594</v>
      </c>
      <c r="C407" t="s">
        <v>301</v>
      </c>
      <c r="D407">
        <v>2023</v>
      </c>
      <c r="E407" s="6" t="s">
        <v>971</v>
      </c>
      <c r="F407" t="s">
        <v>972</v>
      </c>
      <c r="G407" s="8" t="s">
        <v>984</v>
      </c>
      <c r="I407" s="20">
        <v>45758</v>
      </c>
    </row>
    <row r="408" spans="1:9" ht="14.4" x14ac:dyDescent="0.3">
      <c r="A408" t="s">
        <v>293</v>
      </c>
      <c r="B408" t="s">
        <v>594</v>
      </c>
      <c r="C408" t="s">
        <v>301</v>
      </c>
      <c r="D408">
        <v>2024</v>
      </c>
      <c r="E408" s="6" t="s">
        <v>971</v>
      </c>
      <c r="F408" t="s">
        <v>972</v>
      </c>
      <c r="G408" s="8" t="s">
        <v>985</v>
      </c>
      <c r="I408" s="20">
        <v>45758</v>
      </c>
    </row>
    <row r="409" spans="1:9" ht="14.4" x14ac:dyDescent="0.3">
      <c r="A409" t="s">
        <v>293</v>
      </c>
      <c r="B409" t="s">
        <v>594</v>
      </c>
      <c r="C409" t="s">
        <v>298</v>
      </c>
      <c r="D409">
        <v>2008</v>
      </c>
      <c r="E409" s="6" t="s">
        <v>986</v>
      </c>
      <c r="F409" s="8" t="s">
        <v>987</v>
      </c>
      <c r="G409" s="8" t="s">
        <v>988</v>
      </c>
      <c r="I409" s="20">
        <v>45758</v>
      </c>
    </row>
    <row r="410" spans="1:9" ht="14.4" x14ac:dyDescent="0.3">
      <c r="A410" t="s">
        <v>293</v>
      </c>
      <c r="B410" t="s">
        <v>594</v>
      </c>
      <c r="C410" t="s">
        <v>298</v>
      </c>
      <c r="D410">
        <v>2009</v>
      </c>
      <c r="E410" s="6" t="s">
        <v>986</v>
      </c>
      <c r="F410" s="8" t="s">
        <v>987</v>
      </c>
      <c r="G410" s="8" t="s">
        <v>989</v>
      </c>
      <c r="H410" t="s">
        <v>632</v>
      </c>
      <c r="I410" s="20">
        <v>45758</v>
      </c>
    </row>
    <row r="411" spans="1:9" ht="14.4" x14ac:dyDescent="0.3">
      <c r="A411" t="s">
        <v>293</v>
      </c>
      <c r="B411" t="s">
        <v>594</v>
      </c>
      <c r="C411" t="s">
        <v>298</v>
      </c>
      <c r="D411">
        <v>2010</v>
      </c>
      <c r="E411" s="6" t="s">
        <v>986</v>
      </c>
      <c r="F411" s="8" t="s">
        <v>987</v>
      </c>
      <c r="G411" s="8" t="s">
        <v>990</v>
      </c>
      <c r="H411" t="s">
        <v>632</v>
      </c>
      <c r="I411" s="20">
        <v>45758</v>
      </c>
    </row>
    <row r="412" spans="1:9" ht="14.4" x14ac:dyDescent="0.3">
      <c r="A412" t="s">
        <v>293</v>
      </c>
      <c r="B412" t="s">
        <v>594</v>
      </c>
      <c r="C412" t="s">
        <v>298</v>
      </c>
      <c r="D412">
        <v>2011</v>
      </c>
      <c r="E412" s="6" t="s">
        <v>986</v>
      </c>
      <c r="F412" s="8" t="s">
        <v>987</v>
      </c>
      <c r="G412" s="8" t="s">
        <v>990</v>
      </c>
      <c r="I412" s="20">
        <v>45758</v>
      </c>
    </row>
    <row r="413" spans="1:9" ht="14.4" x14ac:dyDescent="0.3">
      <c r="A413" t="s">
        <v>293</v>
      </c>
      <c r="B413" t="s">
        <v>594</v>
      </c>
      <c r="C413" t="s">
        <v>298</v>
      </c>
      <c r="D413">
        <v>2012</v>
      </c>
      <c r="E413" s="6" t="s">
        <v>986</v>
      </c>
      <c r="F413" s="8" t="s">
        <v>987</v>
      </c>
      <c r="G413" s="8" t="s">
        <v>991</v>
      </c>
      <c r="H413" t="s">
        <v>632</v>
      </c>
      <c r="I413" s="20">
        <v>45758</v>
      </c>
    </row>
    <row r="414" spans="1:9" ht="14.4" x14ac:dyDescent="0.3">
      <c r="A414" t="s">
        <v>293</v>
      </c>
      <c r="B414" t="s">
        <v>594</v>
      </c>
      <c r="C414" t="s">
        <v>298</v>
      </c>
      <c r="D414">
        <v>2013</v>
      </c>
      <c r="E414" s="6" t="s">
        <v>986</v>
      </c>
      <c r="F414" s="8" t="s">
        <v>987</v>
      </c>
      <c r="G414" s="8" t="s">
        <v>992</v>
      </c>
      <c r="H414" t="s">
        <v>632</v>
      </c>
      <c r="I414" s="20">
        <v>45758</v>
      </c>
    </row>
    <row r="415" spans="1:9" ht="14.4" x14ac:dyDescent="0.3">
      <c r="A415" t="s">
        <v>293</v>
      </c>
      <c r="B415" t="s">
        <v>594</v>
      </c>
      <c r="C415" t="s">
        <v>298</v>
      </c>
      <c r="D415">
        <v>2014</v>
      </c>
      <c r="E415" s="6" t="s">
        <v>986</v>
      </c>
      <c r="F415" s="8" t="s">
        <v>987</v>
      </c>
      <c r="G415" s="8" t="s">
        <v>992</v>
      </c>
      <c r="I415" s="20">
        <v>45758</v>
      </c>
    </row>
    <row r="416" spans="1:9" ht="14.4" x14ac:dyDescent="0.3">
      <c r="A416" t="s">
        <v>293</v>
      </c>
      <c r="B416" t="s">
        <v>594</v>
      </c>
      <c r="C416" t="s">
        <v>298</v>
      </c>
      <c r="D416">
        <v>2015</v>
      </c>
      <c r="E416" s="6" t="s">
        <v>986</v>
      </c>
      <c r="F416" s="8" t="s">
        <v>987</v>
      </c>
      <c r="G416" s="8" t="s">
        <v>993</v>
      </c>
      <c r="H416" t="s">
        <v>632</v>
      </c>
      <c r="I416" s="20">
        <v>45758</v>
      </c>
    </row>
    <row r="417" spans="1:9" ht="14.4" x14ac:dyDescent="0.3">
      <c r="A417" t="s">
        <v>293</v>
      </c>
      <c r="B417" t="s">
        <v>594</v>
      </c>
      <c r="C417" t="s">
        <v>298</v>
      </c>
      <c r="D417">
        <v>2016</v>
      </c>
      <c r="E417" s="6" t="s">
        <v>986</v>
      </c>
      <c r="F417" s="8" t="s">
        <v>987</v>
      </c>
      <c r="G417" s="8" t="s">
        <v>994</v>
      </c>
      <c r="H417" t="s">
        <v>995</v>
      </c>
      <c r="I417" s="20">
        <v>45758</v>
      </c>
    </row>
    <row r="418" spans="1:9" ht="14.4" x14ac:dyDescent="0.3">
      <c r="A418" t="s">
        <v>293</v>
      </c>
      <c r="B418" t="s">
        <v>594</v>
      </c>
      <c r="C418" t="s">
        <v>298</v>
      </c>
      <c r="D418">
        <v>2017</v>
      </c>
      <c r="E418" s="6" t="s">
        <v>986</v>
      </c>
      <c r="F418" s="8" t="s">
        <v>987</v>
      </c>
      <c r="G418" s="8" t="s">
        <v>996</v>
      </c>
      <c r="H418" t="s">
        <v>632</v>
      </c>
      <c r="I418" s="20">
        <v>45758</v>
      </c>
    </row>
    <row r="419" spans="1:9" ht="14.4" x14ac:dyDescent="0.3">
      <c r="A419" t="s">
        <v>293</v>
      </c>
      <c r="B419" t="s">
        <v>594</v>
      </c>
      <c r="C419" t="s">
        <v>298</v>
      </c>
      <c r="D419">
        <v>2018</v>
      </c>
      <c r="E419" s="6" t="s">
        <v>986</v>
      </c>
      <c r="F419" s="8" t="s">
        <v>987</v>
      </c>
      <c r="G419" s="8" t="s">
        <v>997</v>
      </c>
      <c r="H419" t="s">
        <v>632</v>
      </c>
      <c r="I419" s="20">
        <v>45758</v>
      </c>
    </row>
    <row r="420" spans="1:9" ht="14.4" x14ac:dyDescent="0.3">
      <c r="A420" t="s">
        <v>293</v>
      </c>
      <c r="B420" t="s">
        <v>594</v>
      </c>
      <c r="C420" t="s">
        <v>298</v>
      </c>
      <c r="D420">
        <v>2019</v>
      </c>
      <c r="E420" s="6" t="s">
        <v>986</v>
      </c>
      <c r="F420" s="8" t="s">
        <v>987</v>
      </c>
      <c r="G420" s="8" t="s">
        <v>998</v>
      </c>
      <c r="H420" t="s">
        <v>632</v>
      </c>
      <c r="I420" s="20">
        <v>45758</v>
      </c>
    </row>
    <row r="421" spans="1:9" ht="14.4" x14ac:dyDescent="0.3">
      <c r="A421" t="s">
        <v>293</v>
      </c>
      <c r="B421" t="s">
        <v>594</v>
      </c>
      <c r="C421" t="s">
        <v>298</v>
      </c>
      <c r="D421">
        <v>2020</v>
      </c>
      <c r="E421" s="6" t="s">
        <v>986</v>
      </c>
      <c r="F421" s="8" t="s">
        <v>987</v>
      </c>
      <c r="G421" s="8" t="s">
        <v>998</v>
      </c>
      <c r="I421" s="20">
        <v>45758</v>
      </c>
    </row>
    <row r="422" spans="1:9" ht="14.4" x14ac:dyDescent="0.3">
      <c r="A422" t="s">
        <v>293</v>
      </c>
      <c r="B422" t="s">
        <v>594</v>
      </c>
      <c r="C422" t="s">
        <v>298</v>
      </c>
      <c r="D422">
        <v>2021</v>
      </c>
      <c r="E422" s="6" t="s">
        <v>986</v>
      </c>
      <c r="F422" s="8" t="s">
        <v>987</v>
      </c>
      <c r="G422" s="8" t="s">
        <v>999</v>
      </c>
      <c r="H422" t="s">
        <v>632</v>
      </c>
      <c r="I422" s="20">
        <v>45758</v>
      </c>
    </row>
    <row r="423" spans="1:9" ht="14.4" x14ac:dyDescent="0.3">
      <c r="A423" t="s">
        <v>293</v>
      </c>
      <c r="B423" t="s">
        <v>594</v>
      </c>
      <c r="C423" t="s">
        <v>298</v>
      </c>
      <c r="D423">
        <v>2022</v>
      </c>
      <c r="E423" s="6" t="s">
        <v>986</v>
      </c>
      <c r="F423" s="8" t="s">
        <v>987</v>
      </c>
      <c r="G423" s="8" t="s">
        <v>1000</v>
      </c>
      <c r="H423" t="s">
        <v>632</v>
      </c>
      <c r="I423" s="20">
        <v>45758</v>
      </c>
    </row>
    <row r="424" spans="1:9" ht="14.4" x14ac:dyDescent="0.3">
      <c r="A424" t="s">
        <v>293</v>
      </c>
      <c r="B424" t="s">
        <v>594</v>
      </c>
      <c r="C424" t="s">
        <v>298</v>
      </c>
      <c r="D424">
        <v>2023</v>
      </c>
      <c r="E424" s="6" t="s">
        <v>986</v>
      </c>
      <c r="F424" s="8" t="s">
        <v>987</v>
      </c>
      <c r="G424" s="8" t="s">
        <v>1001</v>
      </c>
      <c r="H424" t="s">
        <v>632</v>
      </c>
      <c r="I424" s="20">
        <v>45758</v>
      </c>
    </row>
    <row r="425" spans="1:9" ht="14.4" x14ac:dyDescent="0.3">
      <c r="A425" t="s">
        <v>293</v>
      </c>
      <c r="B425" t="s">
        <v>594</v>
      </c>
      <c r="C425" t="s">
        <v>298</v>
      </c>
      <c r="D425">
        <v>2024</v>
      </c>
      <c r="E425" s="6" t="s">
        <v>986</v>
      </c>
      <c r="F425" s="8" t="s">
        <v>987</v>
      </c>
      <c r="G425" s="8" t="s">
        <v>1002</v>
      </c>
      <c r="H425" t="s">
        <v>1003</v>
      </c>
      <c r="I425" s="20">
        <v>45758</v>
      </c>
    </row>
    <row r="426" spans="1:9" ht="16.2" customHeight="1" x14ac:dyDescent="0.3">
      <c r="A426" t="s">
        <v>305</v>
      </c>
      <c r="B426" t="s">
        <v>1004</v>
      </c>
      <c r="C426" t="s">
        <v>304</v>
      </c>
      <c r="D426">
        <v>1978</v>
      </c>
      <c r="E426" t="s">
        <v>1005</v>
      </c>
      <c r="G426" s="1" t="s">
        <v>952</v>
      </c>
      <c r="H426" s="3" t="s">
        <v>1006</v>
      </c>
      <c r="I426" s="20">
        <v>45992</v>
      </c>
    </row>
    <row r="427" spans="1:9" ht="14.4" x14ac:dyDescent="0.3">
      <c r="A427" t="s">
        <v>305</v>
      </c>
      <c r="B427" t="s">
        <v>1004</v>
      </c>
      <c r="C427" t="s">
        <v>304</v>
      </c>
      <c r="D427">
        <v>1979</v>
      </c>
      <c r="E427" t="s">
        <v>1005</v>
      </c>
      <c r="G427" s="1" t="s">
        <v>952</v>
      </c>
      <c r="I427" s="20">
        <v>45992</v>
      </c>
    </row>
    <row r="428" spans="1:9" ht="14.4" x14ac:dyDescent="0.3">
      <c r="A428" t="s">
        <v>305</v>
      </c>
      <c r="B428" t="s">
        <v>1004</v>
      </c>
      <c r="C428" t="s">
        <v>304</v>
      </c>
      <c r="D428">
        <v>1980</v>
      </c>
      <c r="E428" t="s">
        <v>1005</v>
      </c>
      <c r="G428" s="1" t="s">
        <v>952</v>
      </c>
      <c r="I428" s="20">
        <v>45992</v>
      </c>
    </row>
    <row r="429" spans="1:9" ht="14.4" x14ac:dyDescent="0.3">
      <c r="A429" t="s">
        <v>305</v>
      </c>
      <c r="B429" t="s">
        <v>1004</v>
      </c>
      <c r="C429" t="s">
        <v>304</v>
      </c>
      <c r="D429">
        <v>1981</v>
      </c>
      <c r="E429" t="s">
        <v>1005</v>
      </c>
      <c r="G429" s="1" t="s">
        <v>952</v>
      </c>
      <c r="I429" s="20">
        <v>45992</v>
      </c>
    </row>
    <row r="430" spans="1:9" ht="14.4" x14ac:dyDescent="0.3">
      <c r="A430" t="s">
        <v>305</v>
      </c>
      <c r="B430" t="s">
        <v>1004</v>
      </c>
      <c r="C430" t="s">
        <v>304</v>
      </c>
      <c r="D430">
        <v>1982</v>
      </c>
      <c r="E430" t="s">
        <v>1005</v>
      </c>
      <c r="G430" s="1" t="s">
        <v>952</v>
      </c>
      <c r="I430" s="20">
        <v>45992</v>
      </c>
    </row>
    <row r="431" spans="1:9" ht="14.4" x14ac:dyDescent="0.3">
      <c r="A431" t="s">
        <v>305</v>
      </c>
      <c r="B431" t="s">
        <v>1004</v>
      </c>
      <c r="C431" t="s">
        <v>304</v>
      </c>
      <c r="D431">
        <v>1983</v>
      </c>
      <c r="E431" t="s">
        <v>1005</v>
      </c>
      <c r="G431" s="1" t="s">
        <v>952</v>
      </c>
      <c r="I431" s="20">
        <v>45992</v>
      </c>
    </row>
    <row r="432" spans="1:9" ht="14.4" x14ac:dyDescent="0.3">
      <c r="A432" t="s">
        <v>305</v>
      </c>
      <c r="B432" t="s">
        <v>1004</v>
      </c>
      <c r="C432" t="s">
        <v>304</v>
      </c>
      <c r="D432">
        <v>1984</v>
      </c>
      <c r="E432" t="s">
        <v>1005</v>
      </c>
      <c r="G432" s="1" t="s">
        <v>952</v>
      </c>
      <c r="I432" s="20">
        <v>45992</v>
      </c>
    </row>
    <row r="433" spans="1:9" ht="14.4" x14ac:dyDescent="0.3">
      <c r="A433" t="s">
        <v>305</v>
      </c>
      <c r="B433" t="s">
        <v>1004</v>
      </c>
      <c r="C433" t="s">
        <v>304</v>
      </c>
      <c r="D433">
        <v>1985</v>
      </c>
      <c r="E433" t="s">
        <v>1005</v>
      </c>
      <c r="G433" s="1" t="s">
        <v>952</v>
      </c>
      <c r="I433" s="20">
        <v>45992</v>
      </c>
    </row>
    <row r="434" spans="1:9" ht="14.4" x14ac:dyDescent="0.3">
      <c r="A434" t="s">
        <v>305</v>
      </c>
      <c r="B434" t="s">
        <v>1004</v>
      </c>
      <c r="C434" t="s">
        <v>304</v>
      </c>
      <c r="D434">
        <v>1986</v>
      </c>
      <c r="E434" t="s">
        <v>1005</v>
      </c>
      <c r="G434" s="1" t="s">
        <v>952</v>
      </c>
      <c r="I434" s="20">
        <v>45992</v>
      </c>
    </row>
    <row r="435" spans="1:9" ht="14.4" x14ac:dyDescent="0.3">
      <c r="A435" t="s">
        <v>305</v>
      </c>
      <c r="B435" t="s">
        <v>1004</v>
      </c>
      <c r="C435" t="s">
        <v>304</v>
      </c>
      <c r="D435">
        <v>1987</v>
      </c>
      <c r="E435" t="s">
        <v>1005</v>
      </c>
      <c r="G435" s="1" t="s">
        <v>952</v>
      </c>
      <c r="I435" s="20">
        <v>45992</v>
      </c>
    </row>
    <row r="436" spans="1:9" ht="14.4" x14ac:dyDescent="0.3">
      <c r="A436" t="s">
        <v>305</v>
      </c>
      <c r="B436" t="s">
        <v>1004</v>
      </c>
      <c r="C436" t="s">
        <v>304</v>
      </c>
      <c r="D436">
        <v>1988</v>
      </c>
      <c r="E436" t="s">
        <v>1005</v>
      </c>
      <c r="G436" s="1" t="s">
        <v>952</v>
      </c>
      <c r="I436" s="20">
        <v>45992</v>
      </c>
    </row>
    <row r="437" spans="1:9" ht="14.4" x14ac:dyDescent="0.3">
      <c r="A437" t="s">
        <v>305</v>
      </c>
      <c r="B437" t="s">
        <v>1004</v>
      </c>
      <c r="C437" t="s">
        <v>304</v>
      </c>
      <c r="D437">
        <v>1989</v>
      </c>
      <c r="E437" t="s">
        <v>1005</v>
      </c>
      <c r="G437" s="1" t="s">
        <v>952</v>
      </c>
      <c r="I437" s="20">
        <v>45992</v>
      </c>
    </row>
    <row r="438" spans="1:9" ht="14.4" x14ac:dyDescent="0.3">
      <c r="A438" t="s">
        <v>305</v>
      </c>
      <c r="B438" t="s">
        <v>1004</v>
      </c>
      <c r="C438" t="s">
        <v>304</v>
      </c>
      <c r="D438">
        <v>1990</v>
      </c>
      <c r="E438" t="s">
        <v>1005</v>
      </c>
      <c r="G438" s="1" t="s">
        <v>952</v>
      </c>
      <c r="I438" s="20">
        <v>45992</v>
      </c>
    </row>
    <row r="439" spans="1:9" ht="14.4" x14ac:dyDescent="0.3">
      <c r="A439" t="s">
        <v>305</v>
      </c>
      <c r="B439" t="s">
        <v>1004</v>
      </c>
      <c r="C439" t="s">
        <v>304</v>
      </c>
      <c r="D439">
        <v>1991</v>
      </c>
      <c r="E439" t="s">
        <v>1005</v>
      </c>
      <c r="G439" s="1" t="s">
        <v>952</v>
      </c>
      <c r="I439" s="20">
        <v>45992</v>
      </c>
    </row>
    <row r="440" spans="1:9" ht="14.4" x14ac:dyDescent="0.3">
      <c r="A440" t="s">
        <v>305</v>
      </c>
      <c r="B440" t="s">
        <v>1004</v>
      </c>
      <c r="C440" t="s">
        <v>304</v>
      </c>
      <c r="D440">
        <v>1992</v>
      </c>
      <c r="E440" t="s">
        <v>1005</v>
      </c>
      <c r="G440" s="1" t="s">
        <v>952</v>
      </c>
      <c r="I440" s="20">
        <v>45992</v>
      </c>
    </row>
    <row r="441" spans="1:9" ht="14.4" x14ac:dyDescent="0.3">
      <c r="A441" t="s">
        <v>305</v>
      </c>
      <c r="B441" t="s">
        <v>1004</v>
      </c>
      <c r="C441" t="s">
        <v>304</v>
      </c>
      <c r="D441">
        <v>1993</v>
      </c>
      <c r="E441" t="s">
        <v>1005</v>
      </c>
      <c r="G441" s="1" t="s">
        <v>952</v>
      </c>
      <c r="I441" s="20">
        <v>45992</v>
      </c>
    </row>
    <row r="442" spans="1:9" ht="14.4" x14ac:dyDescent="0.3">
      <c r="A442" t="s">
        <v>305</v>
      </c>
      <c r="B442" t="s">
        <v>1004</v>
      </c>
      <c r="C442" t="s">
        <v>304</v>
      </c>
      <c r="D442">
        <v>1994</v>
      </c>
      <c r="E442" t="s">
        <v>1005</v>
      </c>
      <c r="G442" s="1" t="s">
        <v>952</v>
      </c>
      <c r="I442" s="20">
        <v>45992</v>
      </c>
    </row>
    <row r="443" spans="1:9" ht="14.4" x14ac:dyDescent="0.3">
      <c r="A443" t="s">
        <v>305</v>
      </c>
      <c r="B443" t="s">
        <v>1004</v>
      </c>
      <c r="C443" t="s">
        <v>304</v>
      </c>
      <c r="D443">
        <v>1995</v>
      </c>
      <c r="E443" t="s">
        <v>1005</v>
      </c>
      <c r="G443" s="1" t="s">
        <v>952</v>
      </c>
      <c r="I443" s="20">
        <v>45992</v>
      </c>
    </row>
    <row r="444" spans="1:9" ht="14.4" x14ac:dyDescent="0.3">
      <c r="A444" t="s">
        <v>305</v>
      </c>
      <c r="B444" t="s">
        <v>1004</v>
      </c>
      <c r="C444" t="s">
        <v>304</v>
      </c>
      <c r="D444">
        <v>1996</v>
      </c>
      <c r="E444" t="s">
        <v>1005</v>
      </c>
      <c r="G444" s="1" t="s">
        <v>952</v>
      </c>
      <c r="I444" s="20">
        <v>45992</v>
      </c>
    </row>
    <row r="445" spans="1:9" ht="14.4" x14ac:dyDescent="0.3">
      <c r="A445" t="s">
        <v>305</v>
      </c>
      <c r="B445" t="s">
        <v>1004</v>
      </c>
      <c r="C445" t="s">
        <v>304</v>
      </c>
      <c r="D445">
        <v>1997</v>
      </c>
      <c r="E445" t="s">
        <v>1005</v>
      </c>
      <c r="G445" s="1" t="s">
        <v>952</v>
      </c>
      <c r="I445" s="20">
        <v>45992</v>
      </c>
    </row>
    <row r="446" spans="1:9" ht="14.4" x14ac:dyDescent="0.3">
      <c r="A446" t="s">
        <v>305</v>
      </c>
      <c r="B446" t="s">
        <v>1004</v>
      </c>
      <c r="C446" t="s">
        <v>304</v>
      </c>
      <c r="D446">
        <v>1998</v>
      </c>
      <c r="E446" t="s">
        <v>1005</v>
      </c>
      <c r="G446" s="1" t="s">
        <v>952</v>
      </c>
      <c r="I446" s="20">
        <v>45992</v>
      </c>
    </row>
    <row r="447" spans="1:9" ht="14.4" x14ac:dyDescent="0.3">
      <c r="A447" t="s">
        <v>305</v>
      </c>
      <c r="B447" t="s">
        <v>1004</v>
      </c>
      <c r="C447" t="s">
        <v>304</v>
      </c>
      <c r="D447">
        <v>1999</v>
      </c>
      <c r="E447" t="s">
        <v>1005</v>
      </c>
      <c r="G447" s="1" t="s">
        <v>952</v>
      </c>
      <c r="I447" s="20">
        <v>45992</v>
      </c>
    </row>
    <row r="448" spans="1:9" ht="14.4" x14ac:dyDescent="0.3">
      <c r="A448" t="s">
        <v>305</v>
      </c>
      <c r="B448" t="s">
        <v>1004</v>
      </c>
      <c r="C448" t="s">
        <v>304</v>
      </c>
      <c r="D448">
        <v>2000</v>
      </c>
      <c r="E448" t="s">
        <v>1005</v>
      </c>
      <c r="G448" s="1" t="s">
        <v>952</v>
      </c>
      <c r="I448" s="20">
        <v>45992</v>
      </c>
    </row>
    <row r="449" spans="1:9" ht="14.4" x14ac:dyDescent="0.3">
      <c r="A449" t="s">
        <v>305</v>
      </c>
      <c r="B449" t="s">
        <v>1004</v>
      </c>
      <c r="C449" t="s">
        <v>304</v>
      </c>
      <c r="D449">
        <v>2001</v>
      </c>
      <c r="E449" t="s">
        <v>1005</v>
      </c>
      <c r="G449" s="1" t="s">
        <v>952</v>
      </c>
      <c r="I449" s="20">
        <v>45992</v>
      </c>
    </row>
    <row r="450" spans="1:9" ht="14.4" x14ac:dyDescent="0.3">
      <c r="A450" t="s">
        <v>305</v>
      </c>
      <c r="B450" t="s">
        <v>1004</v>
      </c>
      <c r="C450" t="s">
        <v>304</v>
      </c>
      <c r="D450">
        <v>2002</v>
      </c>
      <c r="E450" t="s">
        <v>1005</v>
      </c>
      <c r="G450" s="1" t="s">
        <v>952</v>
      </c>
      <c r="I450" s="20">
        <v>45992</v>
      </c>
    </row>
    <row r="451" spans="1:9" ht="14.4" x14ac:dyDescent="0.3">
      <c r="A451" t="s">
        <v>305</v>
      </c>
      <c r="B451" t="s">
        <v>1004</v>
      </c>
      <c r="C451" t="s">
        <v>304</v>
      </c>
      <c r="D451">
        <v>2003</v>
      </c>
      <c r="E451" t="s">
        <v>1005</v>
      </c>
      <c r="G451" s="1" t="s">
        <v>952</v>
      </c>
      <c r="I451" s="20">
        <v>45992</v>
      </c>
    </row>
    <row r="452" spans="1:9" ht="14.4" x14ac:dyDescent="0.3">
      <c r="A452" t="s">
        <v>305</v>
      </c>
      <c r="B452" t="s">
        <v>1004</v>
      </c>
      <c r="C452" t="s">
        <v>304</v>
      </c>
      <c r="D452">
        <v>2004</v>
      </c>
      <c r="E452" t="s">
        <v>1005</v>
      </c>
      <c r="G452" s="1" t="s">
        <v>952</v>
      </c>
      <c r="I452" s="20">
        <v>45992</v>
      </c>
    </row>
    <row r="453" spans="1:9" ht="14.4" x14ac:dyDescent="0.3">
      <c r="A453" t="s">
        <v>305</v>
      </c>
      <c r="B453" t="s">
        <v>1004</v>
      </c>
      <c r="C453" t="s">
        <v>304</v>
      </c>
      <c r="D453">
        <v>2005</v>
      </c>
      <c r="E453" t="s">
        <v>1005</v>
      </c>
      <c r="G453" s="1" t="s">
        <v>952</v>
      </c>
      <c r="I453" s="20">
        <v>45992</v>
      </c>
    </row>
    <row r="454" spans="1:9" ht="14.4" x14ac:dyDescent="0.3">
      <c r="A454" t="s">
        <v>305</v>
      </c>
      <c r="B454" t="s">
        <v>1004</v>
      </c>
      <c r="C454" t="s">
        <v>304</v>
      </c>
      <c r="D454">
        <v>2006</v>
      </c>
      <c r="E454" t="s">
        <v>1005</v>
      </c>
      <c r="G454" s="1" t="s">
        <v>952</v>
      </c>
      <c r="I454" s="20">
        <v>45992</v>
      </c>
    </row>
    <row r="455" spans="1:9" ht="14.4" x14ac:dyDescent="0.3">
      <c r="A455" t="s">
        <v>305</v>
      </c>
      <c r="B455" t="s">
        <v>1004</v>
      </c>
      <c r="C455" t="s">
        <v>304</v>
      </c>
      <c r="D455">
        <v>2007</v>
      </c>
      <c r="E455" t="s">
        <v>1005</v>
      </c>
      <c r="G455" s="1" t="s">
        <v>952</v>
      </c>
      <c r="I455" s="20">
        <v>45992</v>
      </c>
    </row>
    <row r="456" spans="1:9" ht="14.4" x14ac:dyDescent="0.3">
      <c r="A456" t="s">
        <v>305</v>
      </c>
      <c r="B456" t="s">
        <v>1004</v>
      </c>
      <c r="C456" t="s">
        <v>304</v>
      </c>
      <c r="D456">
        <v>2008</v>
      </c>
      <c r="E456" t="s">
        <v>1005</v>
      </c>
      <c r="G456" s="1" t="s">
        <v>952</v>
      </c>
      <c r="I456" s="20">
        <v>45992</v>
      </c>
    </row>
    <row r="457" spans="1:9" ht="14.4" x14ac:dyDescent="0.3">
      <c r="A457" t="s">
        <v>305</v>
      </c>
      <c r="B457" t="s">
        <v>1004</v>
      </c>
      <c r="C457" t="s">
        <v>304</v>
      </c>
      <c r="D457">
        <v>2009</v>
      </c>
      <c r="E457" t="s">
        <v>1005</v>
      </c>
      <c r="G457" s="1" t="s">
        <v>952</v>
      </c>
      <c r="I457" s="20">
        <v>45992</v>
      </c>
    </row>
    <row r="458" spans="1:9" ht="14.4" x14ac:dyDescent="0.3">
      <c r="A458" t="s">
        <v>305</v>
      </c>
      <c r="B458" t="s">
        <v>1004</v>
      </c>
      <c r="C458" t="s">
        <v>304</v>
      </c>
      <c r="D458">
        <v>2010</v>
      </c>
      <c r="E458" t="s">
        <v>1005</v>
      </c>
      <c r="G458" s="1" t="s">
        <v>952</v>
      </c>
      <c r="I458" s="20">
        <v>45992</v>
      </c>
    </row>
    <row r="459" spans="1:9" ht="14.4" x14ac:dyDescent="0.3">
      <c r="A459" t="s">
        <v>305</v>
      </c>
      <c r="B459" t="s">
        <v>1004</v>
      </c>
      <c r="C459" t="s">
        <v>304</v>
      </c>
      <c r="D459">
        <v>2011</v>
      </c>
      <c r="E459" t="s">
        <v>1005</v>
      </c>
      <c r="G459" s="1" t="s">
        <v>952</v>
      </c>
      <c r="I459" s="20">
        <v>45992</v>
      </c>
    </row>
    <row r="460" spans="1:9" ht="14.4" x14ac:dyDescent="0.3">
      <c r="A460" t="s">
        <v>305</v>
      </c>
      <c r="B460" t="s">
        <v>1004</v>
      </c>
      <c r="C460" t="s">
        <v>304</v>
      </c>
      <c r="D460">
        <v>2012</v>
      </c>
      <c r="E460" t="s">
        <v>1005</v>
      </c>
      <c r="G460" s="1" t="s">
        <v>952</v>
      </c>
      <c r="I460" s="20">
        <v>45992</v>
      </c>
    </row>
    <row r="461" spans="1:9" ht="14.4" x14ac:dyDescent="0.3">
      <c r="A461" t="s">
        <v>305</v>
      </c>
      <c r="B461" t="s">
        <v>1004</v>
      </c>
      <c r="C461" t="s">
        <v>304</v>
      </c>
      <c r="D461">
        <v>2013</v>
      </c>
      <c r="E461" t="s">
        <v>1005</v>
      </c>
      <c r="G461" s="1" t="s">
        <v>952</v>
      </c>
      <c r="I461" s="20">
        <v>45992</v>
      </c>
    </row>
    <row r="462" spans="1:9" ht="14.4" x14ac:dyDescent="0.3">
      <c r="A462" t="s">
        <v>305</v>
      </c>
      <c r="B462" t="s">
        <v>1004</v>
      </c>
      <c r="C462" t="s">
        <v>304</v>
      </c>
      <c r="D462">
        <v>2014</v>
      </c>
      <c r="E462" t="s">
        <v>1005</v>
      </c>
      <c r="G462" s="1" t="s">
        <v>952</v>
      </c>
      <c r="I462" s="20">
        <v>45992</v>
      </c>
    </row>
    <row r="463" spans="1:9" ht="14.4" x14ac:dyDescent="0.3">
      <c r="A463" t="s">
        <v>305</v>
      </c>
      <c r="B463" t="s">
        <v>1004</v>
      </c>
      <c r="C463" t="s">
        <v>304</v>
      </c>
      <c r="D463">
        <v>2015</v>
      </c>
      <c r="E463" t="s">
        <v>1005</v>
      </c>
      <c r="G463" s="1" t="s">
        <v>952</v>
      </c>
      <c r="I463" s="20">
        <v>45992</v>
      </c>
    </row>
    <row r="464" spans="1:9" ht="14.4" x14ac:dyDescent="0.3">
      <c r="A464" t="s">
        <v>305</v>
      </c>
      <c r="B464" t="s">
        <v>1004</v>
      </c>
      <c r="C464" t="s">
        <v>304</v>
      </c>
      <c r="D464">
        <v>2016</v>
      </c>
      <c r="E464" t="s">
        <v>1005</v>
      </c>
      <c r="F464" s="1" t="s">
        <v>1007</v>
      </c>
      <c r="G464" s="1" t="s">
        <v>1008</v>
      </c>
      <c r="I464" s="20">
        <v>45992</v>
      </c>
    </row>
    <row r="465" spans="1:9" ht="14.4" x14ac:dyDescent="0.3">
      <c r="A465" t="s">
        <v>305</v>
      </c>
      <c r="B465" t="s">
        <v>1004</v>
      </c>
      <c r="C465" t="s">
        <v>304</v>
      </c>
      <c r="D465">
        <v>2017</v>
      </c>
      <c r="E465" t="s">
        <v>1005</v>
      </c>
      <c r="F465" s="1" t="s">
        <v>1007</v>
      </c>
      <c r="G465" s="1" t="s">
        <v>1008</v>
      </c>
      <c r="H465" s="1" t="s">
        <v>1007</v>
      </c>
      <c r="I465" s="20">
        <v>45992</v>
      </c>
    </row>
    <row r="466" spans="1:9" ht="14.4" x14ac:dyDescent="0.3">
      <c r="A466" t="s">
        <v>305</v>
      </c>
      <c r="B466" t="s">
        <v>1004</v>
      </c>
      <c r="C466" t="s">
        <v>304</v>
      </c>
      <c r="D466">
        <v>2018</v>
      </c>
      <c r="E466" t="s">
        <v>1005</v>
      </c>
      <c r="F466" s="1" t="s">
        <v>1007</v>
      </c>
      <c r="G466" s="1" t="s">
        <v>1008</v>
      </c>
      <c r="H466" s="1" t="s">
        <v>1007</v>
      </c>
      <c r="I466" s="20">
        <v>45992</v>
      </c>
    </row>
    <row r="467" spans="1:9" ht="14.4" x14ac:dyDescent="0.3">
      <c r="A467" t="s">
        <v>305</v>
      </c>
      <c r="B467" t="s">
        <v>1004</v>
      </c>
      <c r="C467" t="s">
        <v>304</v>
      </c>
      <c r="D467">
        <v>2019</v>
      </c>
      <c r="E467" t="s">
        <v>1005</v>
      </c>
      <c r="F467" s="1" t="s">
        <v>1007</v>
      </c>
      <c r="G467" s="1" t="s">
        <v>1008</v>
      </c>
      <c r="H467" s="1" t="s">
        <v>1007</v>
      </c>
      <c r="I467" s="20">
        <v>45992</v>
      </c>
    </row>
    <row r="468" spans="1:9" ht="14.4" x14ac:dyDescent="0.3">
      <c r="A468" t="s">
        <v>305</v>
      </c>
      <c r="B468" t="s">
        <v>1004</v>
      </c>
      <c r="C468" t="s">
        <v>304</v>
      </c>
      <c r="D468">
        <v>2020</v>
      </c>
      <c r="E468" t="s">
        <v>1005</v>
      </c>
      <c r="F468" s="1" t="s">
        <v>1007</v>
      </c>
      <c r="G468" s="1" t="s">
        <v>1008</v>
      </c>
      <c r="H468" s="1" t="s">
        <v>1007</v>
      </c>
      <c r="I468" s="20">
        <v>45992</v>
      </c>
    </row>
    <row r="469" spans="1:9" ht="14.4" x14ac:dyDescent="0.3">
      <c r="A469" t="s">
        <v>305</v>
      </c>
      <c r="B469" t="s">
        <v>1004</v>
      </c>
      <c r="C469" t="s">
        <v>304</v>
      </c>
      <c r="D469">
        <v>2021</v>
      </c>
      <c r="E469" t="s">
        <v>1005</v>
      </c>
      <c r="F469" s="1" t="s">
        <v>1007</v>
      </c>
      <c r="G469" s="1" t="s">
        <v>1008</v>
      </c>
      <c r="H469" s="1" t="s">
        <v>1007</v>
      </c>
      <c r="I469" s="20">
        <v>45992</v>
      </c>
    </row>
    <row r="470" spans="1:9" ht="14.4" x14ac:dyDescent="0.3">
      <c r="A470" t="s">
        <v>305</v>
      </c>
      <c r="B470" t="s">
        <v>1004</v>
      </c>
      <c r="C470" t="s">
        <v>304</v>
      </c>
      <c r="D470">
        <v>2022</v>
      </c>
      <c r="E470" t="s">
        <v>1005</v>
      </c>
      <c r="F470" s="1" t="s">
        <v>1007</v>
      </c>
      <c r="G470" s="1" t="s">
        <v>1008</v>
      </c>
      <c r="H470" s="1" t="s">
        <v>1007</v>
      </c>
      <c r="I470" s="20">
        <v>45992</v>
      </c>
    </row>
    <row r="471" spans="1:9" ht="14.4" x14ac:dyDescent="0.3">
      <c r="A471" t="s">
        <v>305</v>
      </c>
      <c r="B471" t="s">
        <v>1004</v>
      </c>
      <c r="C471" t="s">
        <v>304</v>
      </c>
      <c r="D471">
        <v>2023</v>
      </c>
      <c r="E471" t="s">
        <v>1005</v>
      </c>
      <c r="F471" s="1" t="s">
        <v>1007</v>
      </c>
      <c r="G471" s="1" t="s">
        <v>1008</v>
      </c>
      <c r="H471" s="1" t="s">
        <v>1007</v>
      </c>
      <c r="I471" s="20">
        <v>45992</v>
      </c>
    </row>
    <row r="472" spans="1:9" ht="14.4" x14ac:dyDescent="0.3">
      <c r="A472" t="s">
        <v>305</v>
      </c>
      <c r="B472" t="s">
        <v>1004</v>
      </c>
      <c r="C472" t="s">
        <v>304</v>
      </c>
      <c r="D472">
        <v>2024</v>
      </c>
      <c r="E472" t="s">
        <v>1005</v>
      </c>
      <c r="F472" s="1" t="s">
        <v>1007</v>
      </c>
      <c r="G472" s="1" t="s">
        <v>1008</v>
      </c>
      <c r="H472" s="1" t="s">
        <v>1007</v>
      </c>
      <c r="I472" s="20">
        <v>45992</v>
      </c>
    </row>
    <row r="473" spans="1:9" ht="14.4" x14ac:dyDescent="0.3">
      <c r="A473" t="s">
        <v>479</v>
      </c>
      <c r="B473" t="s">
        <v>595</v>
      </c>
      <c r="C473" t="s">
        <v>478</v>
      </c>
      <c r="D473">
        <v>2006</v>
      </c>
      <c r="E473" s="6" t="s">
        <v>478</v>
      </c>
      <c r="F473" s="1" t="s">
        <v>1009</v>
      </c>
      <c r="G473" t="s">
        <v>1010</v>
      </c>
      <c r="I473" s="20">
        <v>45667</v>
      </c>
    </row>
    <row r="474" spans="1:9" ht="14.4" x14ac:dyDescent="0.3">
      <c r="A474" t="s">
        <v>479</v>
      </c>
      <c r="B474" t="s">
        <v>595</v>
      </c>
      <c r="C474" t="s">
        <v>478</v>
      </c>
      <c r="D474">
        <v>2007</v>
      </c>
      <c r="E474" s="6" t="s">
        <v>478</v>
      </c>
      <c r="F474" s="1" t="s">
        <v>1009</v>
      </c>
      <c r="G474" t="s">
        <v>1010</v>
      </c>
      <c r="I474" s="20">
        <v>45667</v>
      </c>
    </row>
    <row r="475" spans="1:9" ht="14.4" x14ac:dyDescent="0.3">
      <c r="A475" t="s">
        <v>479</v>
      </c>
      <c r="B475" t="s">
        <v>595</v>
      </c>
      <c r="C475" t="s">
        <v>478</v>
      </c>
      <c r="D475">
        <v>2008</v>
      </c>
      <c r="E475" s="6" t="s">
        <v>478</v>
      </c>
      <c r="F475" s="1" t="s">
        <v>1009</v>
      </c>
      <c r="G475" t="s">
        <v>1010</v>
      </c>
      <c r="I475" s="20">
        <v>45667</v>
      </c>
    </row>
    <row r="476" spans="1:9" ht="14.4" x14ac:dyDescent="0.3">
      <c r="A476" t="s">
        <v>479</v>
      </c>
      <c r="B476" t="s">
        <v>595</v>
      </c>
      <c r="C476" t="s">
        <v>478</v>
      </c>
      <c r="D476">
        <v>2009</v>
      </c>
      <c r="E476" s="6" t="s">
        <v>478</v>
      </c>
      <c r="F476" s="1" t="s">
        <v>1009</v>
      </c>
      <c r="G476" t="s">
        <v>1010</v>
      </c>
      <c r="I476" s="20">
        <v>45667</v>
      </c>
    </row>
    <row r="477" spans="1:9" ht="14.4" x14ac:dyDescent="0.3">
      <c r="A477" t="s">
        <v>479</v>
      </c>
      <c r="B477" t="s">
        <v>595</v>
      </c>
      <c r="C477" t="s">
        <v>478</v>
      </c>
      <c r="D477">
        <v>2010</v>
      </c>
      <c r="E477" s="6" t="s">
        <v>478</v>
      </c>
      <c r="F477" s="1" t="s">
        <v>1009</v>
      </c>
      <c r="G477" t="s">
        <v>1010</v>
      </c>
      <c r="I477" s="20">
        <v>45667</v>
      </c>
    </row>
    <row r="478" spans="1:9" ht="14.4" x14ac:dyDescent="0.3">
      <c r="A478" t="s">
        <v>479</v>
      </c>
      <c r="B478" t="s">
        <v>595</v>
      </c>
      <c r="C478" t="s">
        <v>478</v>
      </c>
      <c r="D478">
        <v>2011</v>
      </c>
      <c r="E478" s="6" t="s">
        <v>478</v>
      </c>
      <c r="F478" s="1" t="s">
        <v>1009</v>
      </c>
      <c r="G478" t="s">
        <v>1010</v>
      </c>
      <c r="I478" s="20">
        <v>45667</v>
      </c>
    </row>
    <row r="479" spans="1:9" ht="14.4" x14ac:dyDescent="0.3">
      <c r="A479" t="s">
        <v>479</v>
      </c>
      <c r="B479" t="s">
        <v>595</v>
      </c>
      <c r="C479" t="s">
        <v>478</v>
      </c>
      <c r="D479">
        <v>2012</v>
      </c>
      <c r="E479" s="6" t="s">
        <v>478</v>
      </c>
      <c r="F479" s="1" t="s">
        <v>1009</v>
      </c>
      <c r="G479" t="s">
        <v>1010</v>
      </c>
      <c r="I479" s="20">
        <v>45667</v>
      </c>
    </row>
    <row r="480" spans="1:9" ht="14.4" x14ac:dyDescent="0.3">
      <c r="A480" t="s">
        <v>479</v>
      </c>
      <c r="B480" t="s">
        <v>595</v>
      </c>
      <c r="C480" t="s">
        <v>478</v>
      </c>
      <c r="D480">
        <v>2013</v>
      </c>
      <c r="E480" s="6" t="s">
        <v>478</v>
      </c>
      <c r="F480" s="1" t="s">
        <v>1009</v>
      </c>
      <c r="G480" t="s">
        <v>1010</v>
      </c>
      <c r="I480" s="20">
        <v>45667</v>
      </c>
    </row>
    <row r="481" spans="1:9" ht="14.4" x14ac:dyDescent="0.3">
      <c r="A481" t="s">
        <v>479</v>
      </c>
      <c r="B481" t="s">
        <v>595</v>
      </c>
      <c r="C481" t="s">
        <v>478</v>
      </c>
      <c r="D481">
        <v>2014</v>
      </c>
      <c r="E481" s="6" t="s">
        <v>478</v>
      </c>
      <c r="F481" s="1" t="s">
        <v>1009</v>
      </c>
      <c r="G481" t="s">
        <v>1010</v>
      </c>
      <c r="I481" s="20">
        <v>45667</v>
      </c>
    </row>
    <row r="482" spans="1:9" ht="14.4" x14ac:dyDescent="0.3">
      <c r="A482" t="s">
        <v>479</v>
      </c>
      <c r="B482" t="s">
        <v>595</v>
      </c>
      <c r="C482" t="s">
        <v>478</v>
      </c>
      <c r="D482">
        <v>2015</v>
      </c>
      <c r="E482" s="6" t="s">
        <v>478</v>
      </c>
      <c r="F482" s="1" t="s">
        <v>1009</v>
      </c>
      <c r="G482" t="s">
        <v>1010</v>
      </c>
      <c r="I482" s="20">
        <v>45667</v>
      </c>
    </row>
    <row r="483" spans="1:9" ht="14.4" x14ac:dyDescent="0.3">
      <c r="A483" t="s">
        <v>479</v>
      </c>
      <c r="B483" t="s">
        <v>595</v>
      </c>
      <c r="C483" t="s">
        <v>478</v>
      </c>
      <c r="D483">
        <v>2016</v>
      </c>
      <c r="E483" s="6" t="s">
        <v>478</v>
      </c>
      <c r="F483" s="1" t="s">
        <v>1009</v>
      </c>
      <c r="G483" t="s">
        <v>1010</v>
      </c>
      <c r="I483" s="20">
        <v>45667</v>
      </c>
    </row>
    <row r="484" spans="1:9" ht="14.4" x14ac:dyDescent="0.3">
      <c r="A484" t="s">
        <v>479</v>
      </c>
      <c r="B484" t="s">
        <v>595</v>
      </c>
      <c r="C484" t="s">
        <v>478</v>
      </c>
      <c r="D484">
        <v>2017</v>
      </c>
      <c r="E484" s="6" t="s">
        <v>478</v>
      </c>
      <c r="F484" s="1" t="s">
        <v>1009</v>
      </c>
      <c r="G484" t="s">
        <v>1010</v>
      </c>
      <c r="I484" s="20">
        <v>45667</v>
      </c>
    </row>
    <row r="485" spans="1:9" ht="14.4" x14ac:dyDescent="0.3">
      <c r="A485" t="s">
        <v>479</v>
      </c>
      <c r="B485" t="s">
        <v>595</v>
      </c>
      <c r="C485" t="s">
        <v>478</v>
      </c>
      <c r="D485">
        <v>2018</v>
      </c>
      <c r="E485" s="6" t="s">
        <v>478</v>
      </c>
      <c r="F485" s="1" t="s">
        <v>1009</v>
      </c>
      <c r="G485" t="s">
        <v>1010</v>
      </c>
      <c r="I485" s="20">
        <v>45667</v>
      </c>
    </row>
    <row r="486" spans="1:9" ht="14.4" x14ac:dyDescent="0.3">
      <c r="A486" t="s">
        <v>479</v>
      </c>
      <c r="B486" t="s">
        <v>595</v>
      </c>
      <c r="C486" t="s">
        <v>478</v>
      </c>
      <c r="D486">
        <v>2019</v>
      </c>
      <c r="E486" s="6" t="s">
        <v>478</v>
      </c>
      <c r="F486" s="1" t="s">
        <v>1009</v>
      </c>
      <c r="G486" t="s">
        <v>1010</v>
      </c>
      <c r="I486" s="20">
        <v>45667</v>
      </c>
    </row>
    <row r="487" spans="1:9" ht="14.4" x14ac:dyDescent="0.3">
      <c r="A487" t="s">
        <v>479</v>
      </c>
      <c r="B487" t="s">
        <v>595</v>
      </c>
      <c r="C487" t="s">
        <v>478</v>
      </c>
      <c r="D487">
        <v>2020</v>
      </c>
      <c r="E487" s="6" t="s">
        <v>478</v>
      </c>
      <c r="F487" s="1" t="s">
        <v>1009</v>
      </c>
      <c r="G487" t="s">
        <v>1010</v>
      </c>
      <c r="I487" s="20">
        <v>45667</v>
      </c>
    </row>
    <row r="488" spans="1:9" ht="14.4" x14ac:dyDescent="0.3">
      <c r="A488" t="s">
        <v>479</v>
      </c>
      <c r="B488" t="s">
        <v>595</v>
      </c>
      <c r="C488" t="s">
        <v>478</v>
      </c>
      <c r="D488">
        <v>2021</v>
      </c>
      <c r="E488" s="6" t="s">
        <v>478</v>
      </c>
      <c r="F488" s="1" t="s">
        <v>1009</v>
      </c>
      <c r="G488" t="s">
        <v>1010</v>
      </c>
      <c r="I488" s="20">
        <v>45667</v>
      </c>
    </row>
    <row r="489" spans="1:9" ht="14.4" x14ac:dyDescent="0.3">
      <c r="A489" t="s">
        <v>479</v>
      </c>
      <c r="B489" t="s">
        <v>595</v>
      </c>
      <c r="C489" t="s">
        <v>478</v>
      </c>
      <c r="D489">
        <v>2022</v>
      </c>
      <c r="E489" s="6" t="s">
        <v>478</v>
      </c>
      <c r="F489" s="1" t="s">
        <v>1009</v>
      </c>
      <c r="G489" t="s">
        <v>1010</v>
      </c>
      <c r="I489" s="20">
        <v>45667</v>
      </c>
    </row>
    <row r="490" spans="1:9" ht="14.4" x14ac:dyDescent="0.3">
      <c r="A490" t="s">
        <v>479</v>
      </c>
      <c r="B490" t="s">
        <v>595</v>
      </c>
      <c r="C490" t="s">
        <v>478</v>
      </c>
      <c r="D490">
        <v>2023</v>
      </c>
      <c r="E490" s="6" t="s">
        <v>478</v>
      </c>
      <c r="F490" s="1" t="s">
        <v>1009</v>
      </c>
      <c r="G490" s="8" t="s">
        <v>1011</v>
      </c>
      <c r="I490" s="20">
        <v>45667</v>
      </c>
    </row>
    <row r="491" spans="1:9" ht="14.4" x14ac:dyDescent="0.3">
      <c r="A491" t="s">
        <v>479</v>
      </c>
      <c r="B491" t="s">
        <v>595</v>
      </c>
      <c r="C491" t="s">
        <v>478</v>
      </c>
      <c r="D491">
        <v>2024</v>
      </c>
      <c r="E491" s="6" t="s">
        <v>478</v>
      </c>
      <c r="F491" s="1" t="s">
        <v>1009</v>
      </c>
      <c r="G491" s="8" t="s">
        <v>1012</v>
      </c>
      <c r="I491" s="20">
        <v>45667</v>
      </c>
    </row>
    <row r="492" spans="1:9" ht="14.4" x14ac:dyDescent="0.3">
      <c r="A492" t="s">
        <v>326</v>
      </c>
      <c r="B492" t="s">
        <v>596</v>
      </c>
      <c r="C492" t="s">
        <v>325</v>
      </c>
      <c r="D492">
        <v>2015</v>
      </c>
      <c r="E492" s="6" t="s">
        <v>1013</v>
      </c>
      <c r="F492" s="8" t="s">
        <v>1014</v>
      </c>
      <c r="G492" s="8" t="s">
        <v>1015</v>
      </c>
      <c r="H492" t="s">
        <v>778</v>
      </c>
      <c r="I492" s="25" t="s">
        <v>840</v>
      </c>
    </row>
    <row r="493" spans="1:9" ht="14.4" x14ac:dyDescent="0.3">
      <c r="A493" t="s">
        <v>326</v>
      </c>
      <c r="B493" t="s">
        <v>596</v>
      </c>
      <c r="C493" t="s">
        <v>325</v>
      </c>
      <c r="D493">
        <v>2016</v>
      </c>
      <c r="E493" s="6" t="s">
        <v>1013</v>
      </c>
      <c r="F493" s="8" t="s">
        <v>1014</v>
      </c>
      <c r="G493" s="8" t="s">
        <v>1016</v>
      </c>
      <c r="I493" s="25" t="s">
        <v>840</v>
      </c>
    </row>
    <row r="494" spans="1:9" ht="14.4" x14ac:dyDescent="0.3">
      <c r="A494" t="s">
        <v>326</v>
      </c>
      <c r="B494" t="s">
        <v>596</v>
      </c>
      <c r="C494" t="s">
        <v>325</v>
      </c>
      <c r="D494">
        <v>2017</v>
      </c>
      <c r="E494" s="6" t="s">
        <v>1013</v>
      </c>
      <c r="F494" s="8" t="s">
        <v>1014</v>
      </c>
      <c r="G494" s="8" t="s">
        <v>1017</v>
      </c>
      <c r="I494" s="25" t="s">
        <v>840</v>
      </c>
    </row>
    <row r="495" spans="1:9" ht="14.4" x14ac:dyDescent="0.3">
      <c r="A495" t="s">
        <v>326</v>
      </c>
      <c r="B495" t="s">
        <v>596</v>
      </c>
      <c r="C495" t="s">
        <v>325</v>
      </c>
      <c r="D495">
        <v>2018</v>
      </c>
      <c r="E495" s="6" t="s">
        <v>1013</v>
      </c>
      <c r="F495" s="8" t="s">
        <v>1014</v>
      </c>
      <c r="G495" s="8" t="s">
        <v>1018</v>
      </c>
      <c r="I495" s="25" t="s">
        <v>840</v>
      </c>
    </row>
    <row r="496" spans="1:9" ht="14.4" x14ac:dyDescent="0.3">
      <c r="A496" t="s">
        <v>326</v>
      </c>
      <c r="B496" t="s">
        <v>596</v>
      </c>
      <c r="C496" t="s">
        <v>325</v>
      </c>
      <c r="D496">
        <v>2019</v>
      </c>
      <c r="E496" s="6" t="s">
        <v>1013</v>
      </c>
      <c r="F496" s="8" t="s">
        <v>1014</v>
      </c>
      <c r="G496" s="8" t="s">
        <v>1019</v>
      </c>
      <c r="I496" s="25" t="s">
        <v>840</v>
      </c>
    </row>
    <row r="497" spans="1:9" ht="14.4" x14ac:dyDescent="0.3">
      <c r="A497" t="s">
        <v>326</v>
      </c>
      <c r="B497" t="s">
        <v>596</v>
      </c>
      <c r="C497" t="s">
        <v>325</v>
      </c>
      <c r="D497">
        <v>2020</v>
      </c>
      <c r="E497" s="6" t="s">
        <v>1013</v>
      </c>
      <c r="F497" s="8" t="s">
        <v>1014</v>
      </c>
      <c r="G497" s="8" t="s">
        <v>1020</v>
      </c>
      <c r="I497" s="25" t="s">
        <v>840</v>
      </c>
    </row>
    <row r="498" spans="1:9" ht="14.4" x14ac:dyDescent="0.3">
      <c r="A498" t="s">
        <v>326</v>
      </c>
      <c r="B498" t="s">
        <v>596</v>
      </c>
      <c r="C498" t="s">
        <v>325</v>
      </c>
      <c r="D498">
        <v>2021</v>
      </c>
      <c r="E498" s="6" t="s">
        <v>1013</v>
      </c>
      <c r="F498" s="8" t="s">
        <v>1014</v>
      </c>
      <c r="G498" s="8" t="s">
        <v>1021</v>
      </c>
      <c r="I498" s="25" t="s">
        <v>840</v>
      </c>
    </row>
    <row r="499" spans="1:9" ht="14.4" x14ac:dyDescent="0.3">
      <c r="A499" t="s">
        <v>326</v>
      </c>
      <c r="B499" t="s">
        <v>596</v>
      </c>
      <c r="C499" t="s">
        <v>325</v>
      </c>
      <c r="D499">
        <v>2022</v>
      </c>
      <c r="E499" s="6" t="s">
        <v>1013</v>
      </c>
      <c r="F499" s="8" t="s">
        <v>1014</v>
      </c>
      <c r="G499" s="8" t="s">
        <v>1021</v>
      </c>
      <c r="I499" s="25" t="s">
        <v>840</v>
      </c>
    </row>
    <row r="500" spans="1:9" ht="14.4" x14ac:dyDescent="0.3">
      <c r="A500" t="s">
        <v>326</v>
      </c>
      <c r="B500" t="s">
        <v>596</v>
      </c>
      <c r="C500" t="s">
        <v>325</v>
      </c>
      <c r="D500">
        <v>2023</v>
      </c>
      <c r="E500" s="6" t="s">
        <v>1013</v>
      </c>
      <c r="F500" s="8" t="s">
        <v>1014</v>
      </c>
      <c r="G500" s="8" t="s">
        <v>1022</v>
      </c>
      <c r="I500" s="25" t="s">
        <v>840</v>
      </c>
    </row>
    <row r="501" spans="1:9" ht="14.4" x14ac:dyDescent="0.3">
      <c r="A501" t="s">
        <v>326</v>
      </c>
      <c r="B501" t="s">
        <v>596</v>
      </c>
      <c r="C501" t="s">
        <v>325</v>
      </c>
      <c r="D501">
        <v>2024</v>
      </c>
      <c r="E501" s="6" t="s">
        <v>1013</v>
      </c>
      <c r="F501" s="8" t="s">
        <v>1014</v>
      </c>
      <c r="G501" s="8" t="s">
        <v>1023</v>
      </c>
      <c r="I501" s="25" t="s">
        <v>840</v>
      </c>
    </row>
    <row r="502" spans="1:9" ht="14.4" x14ac:dyDescent="0.3">
      <c r="A502" t="s">
        <v>330</v>
      </c>
      <c r="B502" t="s">
        <v>597</v>
      </c>
      <c r="C502" t="s">
        <v>329</v>
      </c>
      <c r="D502">
        <v>2004</v>
      </c>
      <c r="E502" s="6" t="s">
        <v>329</v>
      </c>
      <c r="F502" s="1" t="s">
        <v>1024</v>
      </c>
      <c r="G502" s="8" t="s">
        <v>1025</v>
      </c>
      <c r="H502" s="22" t="s">
        <v>632</v>
      </c>
      <c r="I502" s="26" t="s">
        <v>819</v>
      </c>
    </row>
    <row r="503" spans="1:9" ht="14.4" x14ac:dyDescent="0.3">
      <c r="A503" t="s">
        <v>330</v>
      </c>
      <c r="B503" t="s">
        <v>597</v>
      </c>
      <c r="C503" t="s">
        <v>329</v>
      </c>
      <c r="D503">
        <v>2005</v>
      </c>
      <c r="E503" s="6" t="s">
        <v>329</v>
      </c>
      <c r="F503" s="1" t="s">
        <v>1024</v>
      </c>
      <c r="G503" s="8" t="s">
        <v>1025</v>
      </c>
      <c r="H503" s="22" t="s">
        <v>632</v>
      </c>
      <c r="I503" s="26" t="s">
        <v>819</v>
      </c>
    </row>
    <row r="504" spans="1:9" ht="14.4" x14ac:dyDescent="0.3">
      <c r="A504" t="s">
        <v>330</v>
      </c>
      <c r="B504" t="s">
        <v>597</v>
      </c>
      <c r="C504" t="s">
        <v>329</v>
      </c>
      <c r="D504">
        <v>2006</v>
      </c>
      <c r="E504" s="6" t="s">
        <v>329</v>
      </c>
      <c r="F504" s="1" t="s">
        <v>1024</v>
      </c>
      <c r="G504" s="8" t="s">
        <v>1025</v>
      </c>
      <c r="H504" s="22" t="s">
        <v>632</v>
      </c>
      <c r="I504" s="26" t="s">
        <v>819</v>
      </c>
    </row>
    <row r="505" spans="1:9" ht="14.4" x14ac:dyDescent="0.3">
      <c r="A505" t="s">
        <v>330</v>
      </c>
      <c r="B505" t="s">
        <v>597</v>
      </c>
      <c r="C505" t="s">
        <v>329</v>
      </c>
      <c r="D505">
        <v>2007</v>
      </c>
      <c r="E505" s="6" t="s">
        <v>329</v>
      </c>
      <c r="F505" s="1" t="s">
        <v>1024</v>
      </c>
      <c r="G505" s="8" t="s">
        <v>1025</v>
      </c>
      <c r="H505" s="22" t="s">
        <v>632</v>
      </c>
      <c r="I505" s="26" t="s">
        <v>819</v>
      </c>
    </row>
    <row r="506" spans="1:9" ht="14.4" x14ac:dyDescent="0.3">
      <c r="A506" t="s">
        <v>330</v>
      </c>
      <c r="B506" t="s">
        <v>597</v>
      </c>
      <c r="C506" t="s">
        <v>329</v>
      </c>
      <c r="D506">
        <v>2008</v>
      </c>
      <c r="E506" s="6" t="s">
        <v>329</v>
      </c>
      <c r="F506" s="1" t="s">
        <v>1024</v>
      </c>
      <c r="G506" s="8" t="s">
        <v>1025</v>
      </c>
      <c r="H506" s="22" t="s">
        <v>632</v>
      </c>
      <c r="I506" s="26" t="s">
        <v>819</v>
      </c>
    </row>
    <row r="507" spans="1:9" ht="14.4" x14ac:dyDescent="0.3">
      <c r="A507" t="s">
        <v>330</v>
      </c>
      <c r="B507" t="s">
        <v>597</v>
      </c>
      <c r="C507" t="s">
        <v>329</v>
      </c>
      <c r="D507">
        <v>2009</v>
      </c>
      <c r="E507" s="6" t="s">
        <v>329</v>
      </c>
      <c r="F507" s="1" t="s">
        <v>1024</v>
      </c>
      <c r="G507" s="8" t="s">
        <v>1025</v>
      </c>
      <c r="H507" s="22" t="s">
        <v>632</v>
      </c>
      <c r="I507" s="26" t="s">
        <v>819</v>
      </c>
    </row>
    <row r="508" spans="1:9" ht="14.4" x14ac:dyDescent="0.3">
      <c r="A508" t="s">
        <v>330</v>
      </c>
      <c r="B508" t="s">
        <v>597</v>
      </c>
      <c r="C508" t="s">
        <v>329</v>
      </c>
      <c r="D508">
        <v>2010</v>
      </c>
      <c r="E508" s="6" t="s">
        <v>329</v>
      </c>
      <c r="F508" s="1" t="s">
        <v>1024</v>
      </c>
      <c r="G508" s="8" t="s">
        <v>1025</v>
      </c>
      <c r="H508" s="22" t="s">
        <v>632</v>
      </c>
      <c r="I508" s="26" t="s">
        <v>819</v>
      </c>
    </row>
    <row r="509" spans="1:9" ht="14.4" x14ac:dyDescent="0.3">
      <c r="A509" t="s">
        <v>330</v>
      </c>
      <c r="B509" t="s">
        <v>597</v>
      </c>
      <c r="C509" t="s">
        <v>329</v>
      </c>
      <c r="D509">
        <v>2011</v>
      </c>
      <c r="E509" s="6" t="s">
        <v>329</v>
      </c>
      <c r="F509" s="1" t="s">
        <v>1024</v>
      </c>
      <c r="G509" s="8" t="s">
        <v>1025</v>
      </c>
      <c r="H509" s="22" t="s">
        <v>632</v>
      </c>
      <c r="I509" s="26" t="s">
        <v>819</v>
      </c>
    </row>
    <row r="510" spans="1:9" ht="14.4" x14ac:dyDescent="0.3">
      <c r="A510" t="s">
        <v>330</v>
      </c>
      <c r="B510" t="s">
        <v>597</v>
      </c>
      <c r="C510" t="s">
        <v>329</v>
      </c>
      <c r="D510">
        <v>2012</v>
      </c>
      <c r="E510" s="6" t="s">
        <v>329</v>
      </c>
      <c r="F510" s="1" t="s">
        <v>1024</v>
      </c>
      <c r="G510" s="8" t="s">
        <v>1025</v>
      </c>
      <c r="H510" s="22" t="s">
        <v>632</v>
      </c>
      <c r="I510" s="26" t="s">
        <v>819</v>
      </c>
    </row>
    <row r="511" spans="1:9" ht="14.4" x14ac:dyDescent="0.3">
      <c r="A511" t="s">
        <v>330</v>
      </c>
      <c r="B511" t="s">
        <v>597</v>
      </c>
      <c r="C511" t="s">
        <v>329</v>
      </c>
      <c r="D511">
        <v>2013</v>
      </c>
      <c r="E511" s="6" t="s">
        <v>329</v>
      </c>
      <c r="F511" s="1" t="s">
        <v>1024</v>
      </c>
      <c r="G511" s="8" t="s">
        <v>1026</v>
      </c>
      <c r="H511" t="s">
        <v>632</v>
      </c>
      <c r="I511" s="26" t="s">
        <v>819</v>
      </c>
    </row>
    <row r="512" spans="1:9" ht="14.4" x14ac:dyDescent="0.3">
      <c r="A512" t="s">
        <v>330</v>
      </c>
      <c r="B512" t="s">
        <v>597</v>
      </c>
      <c r="C512" t="s">
        <v>329</v>
      </c>
      <c r="D512">
        <v>2014</v>
      </c>
      <c r="E512" s="6" t="s">
        <v>329</v>
      </c>
      <c r="F512" s="1" t="s">
        <v>1024</v>
      </c>
      <c r="G512" s="8" t="s">
        <v>1025</v>
      </c>
      <c r="I512" s="26" t="s">
        <v>819</v>
      </c>
    </row>
    <row r="513" spans="1:9" ht="14.4" x14ac:dyDescent="0.3">
      <c r="A513" t="s">
        <v>330</v>
      </c>
      <c r="B513" t="s">
        <v>597</v>
      </c>
      <c r="C513" t="s">
        <v>329</v>
      </c>
      <c r="D513">
        <v>2015</v>
      </c>
      <c r="E513" s="6" t="s">
        <v>329</v>
      </c>
      <c r="F513" s="1" t="s">
        <v>1024</v>
      </c>
      <c r="G513" s="8" t="s">
        <v>1027</v>
      </c>
      <c r="I513" s="26" t="s">
        <v>819</v>
      </c>
    </row>
    <row r="514" spans="1:9" ht="14.4" x14ac:dyDescent="0.3">
      <c r="A514" t="s">
        <v>330</v>
      </c>
      <c r="B514" t="s">
        <v>597</v>
      </c>
      <c r="C514" t="s">
        <v>329</v>
      </c>
      <c r="D514">
        <v>2016</v>
      </c>
      <c r="E514" s="6" t="s">
        <v>329</v>
      </c>
      <c r="F514" s="1" t="s">
        <v>1024</v>
      </c>
      <c r="G514" s="8" t="s">
        <v>1028</v>
      </c>
      <c r="I514" s="26" t="s">
        <v>819</v>
      </c>
    </row>
    <row r="515" spans="1:9" ht="14.4" x14ac:dyDescent="0.3">
      <c r="A515" t="s">
        <v>330</v>
      </c>
      <c r="B515" t="s">
        <v>597</v>
      </c>
      <c r="C515" t="s">
        <v>329</v>
      </c>
      <c r="D515">
        <v>2017</v>
      </c>
      <c r="E515" s="6" t="s">
        <v>329</v>
      </c>
      <c r="F515" s="1" t="s">
        <v>1024</v>
      </c>
      <c r="G515" s="8" t="s">
        <v>1029</v>
      </c>
      <c r="I515" s="26" t="s">
        <v>819</v>
      </c>
    </row>
    <row r="516" spans="1:9" ht="14.4" x14ac:dyDescent="0.3">
      <c r="A516" t="s">
        <v>330</v>
      </c>
      <c r="B516" t="s">
        <v>597</v>
      </c>
      <c r="C516" t="s">
        <v>329</v>
      </c>
      <c r="D516">
        <v>2018</v>
      </c>
      <c r="E516" s="6" t="s">
        <v>329</v>
      </c>
      <c r="F516" s="1" t="s">
        <v>1024</v>
      </c>
      <c r="G516" s="8" t="s">
        <v>1029</v>
      </c>
      <c r="I516" s="26" t="s">
        <v>819</v>
      </c>
    </row>
    <row r="517" spans="1:9" ht="14.4" x14ac:dyDescent="0.3">
      <c r="A517" t="s">
        <v>330</v>
      </c>
      <c r="B517" t="s">
        <v>597</v>
      </c>
      <c r="C517" t="s">
        <v>329</v>
      </c>
      <c r="D517">
        <v>2019</v>
      </c>
      <c r="E517" s="6" t="s">
        <v>329</v>
      </c>
      <c r="F517" s="1" t="s">
        <v>1024</v>
      </c>
      <c r="G517" s="8" t="s">
        <v>1030</v>
      </c>
      <c r="I517" s="26" t="s">
        <v>819</v>
      </c>
    </row>
    <row r="518" spans="1:9" ht="14.4" x14ac:dyDescent="0.3">
      <c r="A518" t="s">
        <v>330</v>
      </c>
      <c r="B518" t="s">
        <v>597</v>
      </c>
      <c r="C518" t="s">
        <v>329</v>
      </c>
      <c r="D518">
        <v>2020</v>
      </c>
      <c r="E518" s="6" t="s">
        <v>329</v>
      </c>
      <c r="F518" s="1" t="s">
        <v>1024</v>
      </c>
      <c r="G518" s="8" t="s">
        <v>1031</v>
      </c>
      <c r="I518" s="26" t="s">
        <v>819</v>
      </c>
    </row>
    <row r="519" spans="1:9" ht="14.4" x14ac:dyDescent="0.3">
      <c r="A519" t="s">
        <v>330</v>
      </c>
      <c r="B519" t="s">
        <v>597</v>
      </c>
      <c r="C519" t="s">
        <v>329</v>
      </c>
      <c r="D519">
        <v>2021</v>
      </c>
      <c r="E519" s="6" t="s">
        <v>329</v>
      </c>
      <c r="F519" s="1" t="s">
        <v>1024</v>
      </c>
      <c r="G519" s="8" t="s">
        <v>1031</v>
      </c>
      <c r="I519" s="26" t="s">
        <v>819</v>
      </c>
    </row>
    <row r="520" spans="1:9" ht="14.4" x14ac:dyDescent="0.3">
      <c r="A520" t="s">
        <v>330</v>
      </c>
      <c r="B520" t="s">
        <v>597</v>
      </c>
      <c r="C520" t="s">
        <v>329</v>
      </c>
      <c r="D520">
        <v>2022</v>
      </c>
      <c r="E520" s="6" t="s">
        <v>329</v>
      </c>
      <c r="F520" s="1" t="s">
        <v>1024</v>
      </c>
      <c r="G520" s="8" t="s">
        <v>1032</v>
      </c>
      <c r="I520" s="26" t="s">
        <v>819</v>
      </c>
    </row>
    <row r="521" spans="1:9" ht="14.4" x14ac:dyDescent="0.3">
      <c r="A521" t="s">
        <v>330</v>
      </c>
      <c r="B521" t="s">
        <v>597</v>
      </c>
      <c r="C521" t="s">
        <v>329</v>
      </c>
      <c r="D521">
        <v>2023</v>
      </c>
      <c r="E521" s="6" t="s">
        <v>329</v>
      </c>
      <c r="F521" s="1" t="s">
        <v>1024</v>
      </c>
      <c r="G521" s="8" t="s">
        <v>1033</v>
      </c>
      <c r="I521" s="26" t="s">
        <v>819</v>
      </c>
    </row>
    <row r="522" spans="1:9" ht="14.4" x14ac:dyDescent="0.3">
      <c r="A522" t="s">
        <v>330</v>
      </c>
      <c r="B522" t="s">
        <v>597</v>
      </c>
      <c r="C522" t="s">
        <v>329</v>
      </c>
      <c r="D522">
        <v>2024</v>
      </c>
      <c r="E522" s="6" t="s">
        <v>329</v>
      </c>
      <c r="F522" s="1" t="s">
        <v>1024</v>
      </c>
      <c r="G522" s="8" t="s">
        <v>1033</v>
      </c>
      <c r="I522" s="26" t="s">
        <v>819</v>
      </c>
    </row>
    <row r="523" spans="1:9" ht="14.4" x14ac:dyDescent="0.3">
      <c r="A523" t="s">
        <v>335</v>
      </c>
      <c r="B523" t="s">
        <v>598</v>
      </c>
      <c r="C523" t="s">
        <v>334</v>
      </c>
      <c r="D523">
        <v>2018</v>
      </c>
      <c r="E523" s="6" t="s">
        <v>334</v>
      </c>
      <c r="F523" s="8" t="s">
        <v>1034</v>
      </c>
      <c r="G523" s="8" t="s">
        <v>1035</v>
      </c>
      <c r="I523" s="26" t="s">
        <v>799</v>
      </c>
    </row>
    <row r="524" spans="1:9" ht="14.4" x14ac:dyDescent="0.3">
      <c r="A524" t="s">
        <v>335</v>
      </c>
      <c r="B524" t="s">
        <v>598</v>
      </c>
      <c r="C524" t="s">
        <v>334</v>
      </c>
      <c r="D524">
        <v>2019</v>
      </c>
      <c r="E524" s="6" t="s">
        <v>334</v>
      </c>
      <c r="F524" s="8" t="s">
        <v>1034</v>
      </c>
      <c r="G524" s="8" t="s">
        <v>1035</v>
      </c>
      <c r="H524" t="s">
        <v>1036</v>
      </c>
      <c r="I524" s="26" t="s">
        <v>799</v>
      </c>
    </row>
    <row r="525" spans="1:9" ht="14.4" x14ac:dyDescent="0.3">
      <c r="A525" t="s">
        <v>335</v>
      </c>
      <c r="B525" t="s">
        <v>598</v>
      </c>
      <c r="C525" t="s">
        <v>334</v>
      </c>
      <c r="D525">
        <v>2020</v>
      </c>
      <c r="E525" s="6" t="s">
        <v>334</v>
      </c>
      <c r="F525" s="8" t="s">
        <v>1034</v>
      </c>
      <c r="G525" s="8" t="s">
        <v>1037</v>
      </c>
      <c r="H525" t="s">
        <v>1036</v>
      </c>
      <c r="I525" s="26" t="s">
        <v>799</v>
      </c>
    </row>
    <row r="526" spans="1:9" ht="14.4" x14ac:dyDescent="0.3">
      <c r="A526" t="s">
        <v>335</v>
      </c>
      <c r="B526" t="s">
        <v>598</v>
      </c>
      <c r="C526" t="s">
        <v>334</v>
      </c>
      <c r="D526">
        <v>2021</v>
      </c>
      <c r="E526" s="6" t="s">
        <v>334</v>
      </c>
      <c r="F526" s="8" t="s">
        <v>1034</v>
      </c>
      <c r="G526" s="8" t="s">
        <v>1038</v>
      </c>
      <c r="H526" t="s">
        <v>1036</v>
      </c>
      <c r="I526" s="26" t="s">
        <v>799</v>
      </c>
    </row>
    <row r="527" spans="1:9" ht="14.4" x14ac:dyDescent="0.3">
      <c r="A527" t="s">
        <v>335</v>
      </c>
      <c r="B527" t="s">
        <v>598</v>
      </c>
      <c r="C527" t="s">
        <v>334</v>
      </c>
      <c r="D527">
        <v>2022</v>
      </c>
      <c r="E527" s="6" t="s">
        <v>334</v>
      </c>
      <c r="F527" s="8" t="s">
        <v>1034</v>
      </c>
      <c r="G527" s="8" t="s">
        <v>1039</v>
      </c>
      <c r="H527" t="s">
        <v>1036</v>
      </c>
      <c r="I527" s="26" t="s">
        <v>799</v>
      </c>
    </row>
    <row r="528" spans="1:9" ht="14.4" x14ac:dyDescent="0.3">
      <c r="A528" t="s">
        <v>335</v>
      </c>
      <c r="B528" t="s">
        <v>598</v>
      </c>
      <c r="C528" t="s">
        <v>334</v>
      </c>
      <c r="D528">
        <v>2023</v>
      </c>
      <c r="E528" s="6" t="s">
        <v>334</v>
      </c>
      <c r="F528" s="8" t="s">
        <v>1034</v>
      </c>
      <c r="G528" s="8" t="s">
        <v>1040</v>
      </c>
      <c r="H528" t="s">
        <v>1036</v>
      </c>
      <c r="I528" s="26" t="s">
        <v>799</v>
      </c>
    </row>
    <row r="529" spans="1:9" ht="14.4" x14ac:dyDescent="0.3">
      <c r="A529" t="s">
        <v>335</v>
      </c>
      <c r="B529" t="s">
        <v>598</v>
      </c>
      <c r="C529" t="s">
        <v>338</v>
      </c>
      <c r="D529">
        <v>2016</v>
      </c>
      <c r="E529" s="6" t="s">
        <v>334</v>
      </c>
      <c r="F529" s="8" t="s">
        <v>1041</v>
      </c>
      <c r="G529" s="8" t="s">
        <v>1042</v>
      </c>
      <c r="I529" s="26" t="s">
        <v>799</v>
      </c>
    </row>
    <row r="530" spans="1:9" ht="14.4" x14ac:dyDescent="0.3">
      <c r="A530" t="s">
        <v>335</v>
      </c>
      <c r="B530" t="s">
        <v>598</v>
      </c>
      <c r="C530" t="s">
        <v>338</v>
      </c>
      <c r="D530">
        <v>2017</v>
      </c>
      <c r="E530" s="6" t="s">
        <v>334</v>
      </c>
      <c r="F530" s="8" t="s">
        <v>1041</v>
      </c>
      <c r="G530" s="8" t="s">
        <v>1043</v>
      </c>
      <c r="I530" s="26" t="s">
        <v>799</v>
      </c>
    </row>
    <row r="531" spans="1:9" ht="14.4" x14ac:dyDescent="0.3">
      <c r="A531" t="s">
        <v>335</v>
      </c>
      <c r="B531" t="s">
        <v>598</v>
      </c>
      <c r="C531" t="s">
        <v>338</v>
      </c>
      <c r="D531">
        <v>2018</v>
      </c>
      <c r="E531" s="6" t="s">
        <v>334</v>
      </c>
      <c r="F531" s="8" t="s">
        <v>1041</v>
      </c>
      <c r="G531" s="8" t="s">
        <v>1044</v>
      </c>
      <c r="I531" s="26" t="s">
        <v>799</v>
      </c>
    </row>
    <row r="532" spans="1:9" ht="14.4" x14ac:dyDescent="0.3">
      <c r="A532" t="s">
        <v>335</v>
      </c>
      <c r="B532" t="s">
        <v>598</v>
      </c>
      <c r="C532" t="s">
        <v>338</v>
      </c>
      <c r="D532">
        <v>2019</v>
      </c>
      <c r="E532" s="6" t="s">
        <v>334</v>
      </c>
      <c r="F532" s="8" t="s">
        <v>1041</v>
      </c>
      <c r="G532" s="8" t="s">
        <v>1045</v>
      </c>
      <c r="I532" s="26" t="s">
        <v>799</v>
      </c>
    </row>
    <row r="533" spans="1:9" ht="14.4" x14ac:dyDescent="0.3">
      <c r="A533" t="s">
        <v>335</v>
      </c>
      <c r="B533" t="s">
        <v>598</v>
      </c>
      <c r="C533" t="s">
        <v>338</v>
      </c>
      <c r="D533">
        <v>2020</v>
      </c>
      <c r="E533" s="6" t="s">
        <v>334</v>
      </c>
      <c r="F533" s="8" t="s">
        <v>1041</v>
      </c>
      <c r="G533" s="8" t="s">
        <v>1046</v>
      </c>
      <c r="I533" s="26" t="s">
        <v>799</v>
      </c>
    </row>
    <row r="534" spans="1:9" ht="14.4" x14ac:dyDescent="0.3">
      <c r="A534" t="s">
        <v>335</v>
      </c>
      <c r="B534" t="s">
        <v>598</v>
      </c>
      <c r="C534" t="s">
        <v>338</v>
      </c>
      <c r="D534">
        <v>2021</v>
      </c>
      <c r="E534" s="6" t="s">
        <v>334</v>
      </c>
      <c r="F534" s="8" t="s">
        <v>1041</v>
      </c>
      <c r="G534" s="8" t="s">
        <v>1047</v>
      </c>
      <c r="I534" s="26" t="s">
        <v>799</v>
      </c>
    </row>
    <row r="535" spans="1:9" ht="14.4" x14ac:dyDescent="0.3">
      <c r="A535" t="s">
        <v>335</v>
      </c>
      <c r="B535" t="s">
        <v>598</v>
      </c>
      <c r="C535" t="s">
        <v>338</v>
      </c>
      <c r="D535">
        <v>2022</v>
      </c>
      <c r="E535" s="6" t="s">
        <v>334</v>
      </c>
      <c r="F535" s="8" t="s">
        <v>1041</v>
      </c>
      <c r="G535" s="8" t="s">
        <v>1048</v>
      </c>
      <c r="I535" s="26" t="s">
        <v>799</v>
      </c>
    </row>
    <row r="536" spans="1:9" ht="14.4" x14ac:dyDescent="0.3">
      <c r="A536" t="s">
        <v>335</v>
      </c>
      <c r="B536" t="s">
        <v>598</v>
      </c>
      <c r="C536" t="s">
        <v>338</v>
      </c>
      <c r="D536">
        <v>2023</v>
      </c>
      <c r="E536" s="6" t="s">
        <v>334</v>
      </c>
      <c r="F536" s="8" t="s">
        <v>1041</v>
      </c>
      <c r="G536" s="8" t="s">
        <v>1049</v>
      </c>
      <c r="I536" s="26" t="s">
        <v>799</v>
      </c>
    </row>
    <row r="537" spans="1:9" ht="14.4" x14ac:dyDescent="0.3">
      <c r="A537" t="s">
        <v>343</v>
      </c>
      <c r="B537" t="s">
        <v>599</v>
      </c>
      <c r="C537" t="s">
        <v>342</v>
      </c>
      <c r="D537">
        <v>2004</v>
      </c>
      <c r="E537" s="6" t="s">
        <v>1050</v>
      </c>
      <c r="F537" s="8" t="s">
        <v>1051</v>
      </c>
      <c r="G537" s="8" t="s">
        <v>1052</v>
      </c>
      <c r="H537" t="s">
        <v>778</v>
      </c>
      <c r="I537" s="20">
        <v>45667</v>
      </c>
    </row>
    <row r="538" spans="1:9" ht="14.4" x14ac:dyDescent="0.3">
      <c r="A538" t="s">
        <v>343</v>
      </c>
      <c r="B538" t="s">
        <v>599</v>
      </c>
      <c r="C538" t="s">
        <v>342</v>
      </c>
      <c r="D538">
        <v>2005</v>
      </c>
      <c r="E538" s="6" t="s">
        <v>1050</v>
      </c>
      <c r="F538" s="8" t="s">
        <v>1051</v>
      </c>
      <c r="G538" s="8" t="s">
        <v>1052</v>
      </c>
      <c r="H538" t="s">
        <v>1053</v>
      </c>
      <c r="I538" s="20">
        <v>45667</v>
      </c>
    </row>
    <row r="539" spans="1:9" ht="14.4" x14ac:dyDescent="0.3">
      <c r="A539" t="s">
        <v>343</v>
      </c>
      <c r="B539" t="s">
        <v>599</v>
      </c>
      <c r="C539" t="s">
        <v>342</v>
      </c>
      <c r="D539">
        <v>2006</v>
      </c>
      <c r="E539" s="6" t="s">
        <v>1050</v>
      </c>
      <c r="F539" s="8" t="s">
        <v>1051</v>
      </c>
      <c r="G539" s="8" t="s">
        <v>1054</v>
      </c>
      <c r="H539" t="s">
        <v>1053</v>
      </c>
      <c r="I539" s="20">
        <v>45667</v>
      </c>
    </row>
    <row r="540" spans="1:9" ht="14.4" x14ac:dyDescent="0.3">
      <c r="A540" t="s">
        <v>343</v>
      </c>
      <c r="B540" t="s">
        <v>599</v>
      </c>
      <c r="C540" t="s">
        <v>342</v>
      </c>
      <c r="D540">
        <v>2007</v>
      </c>
      <c r="E540" s="6" t="s">
        <v>1050</v>
      </c>
      <c r="F540" s="8" t="s">
        <v>1051</v>
      </c>
      <c r="G540" s="8" t="s">
        <v>1054</v>
      </c>
      <c r="H540" t="s">
        <v>1053</v>
      </c>
      <c r="I540" s="20">
        <v>45667</v>
      </c>
    </row>
    <row r="541" spans="1:9" ht="14.4" x14ac:dyDescent="0.3">
      <c r="A541" t="s">
        <v>343</v>
      </c>
      <c r="B541" t="s">
        <v>599</v>
      </c>
      <c r="C541" t="s">
        <v>342</v>
      </c>
      <c r="D541">
        <v>2008</v>
      </c>
      <c r="E541" s="6" t="s">
        <v>1050</v>
      </c>
      <c r="F541" s="8" t="s">
        <v>1051</v>
      </c>
      <c r="G541" s="8" t="s">
        <v>1055</v>
      </c>
      <c r="H541" t="s">
        <v>1053</v>
      </c>
      <c r="I541" s="20">
        <v>45667</v>
      </c>
    </row>
    <row r="542" spans="1:9" ht="14.4" x14ac:dyDescent="0.3">
      <c r="A542" t="s">
        <v>343</v>
      </c>
      <c r="B542" t="s">
        <v>599</v>
      </c>
      <c r="C542" t="s">
        <v>342</v>
      </c>
      <c r="D542">
        <v>2009</v>
      </c>
      <c r="E542" s="6" t="s">
        <v>1050</v>
      </c>
      <c r="F542" s="8" t="s">
        <v>1051</v>
      </c>
      <c r="G542" s="8" t="s">
        <v>1056</v>
      </c>
      <c r="H542" t="s">
        <v>1053</v>
      </c>
      <c r="I542" s="20">
        <v>45667</v>
      </c>
    </row>
    <row r="543" spans="1:9" ht="14.4" x14ac:dyDescent="0.3">
      <c r="A543" t="s">
        <v>343</v>
      </c>
      <c r="B543" t="s">
        <v>599</v>
      </c>
      <c r="C543" t="s">
        <v>342</v>
      </c>
      <c r="D543">
        <v>2010</v>
      </c>
      <c r="E543" s="6" t="s">
        <v>1050</v>
      </c>
      <c r="F543" s="8" t="s">
        <v>1051</v>
      </c>
      <c r="G543" s="8" t="s">
        <v>1057</v>
      </c>
      <c r="H543" t="s">
        <v>1053</v>
      </c>
      <c r="I543" s="20">
        <v>45667</v>
      </c>
    </row>
    <row r="544" spans="1:9" ht="14.4" x14ac:dyDescent="0.3">
      <c r="A544" t="s">
        <v>343</v>
      </c>
      <c r="B544" t="s">
        <v>599</v>
      </c>
      <c r="C544" t="s">
        <v>342</v>
      </c>
      <c r="D544">
        <v>2011</v>
      </c>
      <c r="E544" s="6" t="s">
        <v>1050</v>
      </c>
      <c r="F544" s="8" t="s">
        <v>1051</v>
      </c>
      <c r="G544" s="8" t="s">
        <v>1058</v>
      </c>
      <c r="H544" t="s">
        <v>1053</v>
      </c>
      <c r="I544" s="20">
        <v>45667</v>
      </c>
    </row>
    <row r="545" spans="1:9" ht="14.4" x14ac:dyDescent="0.3">
      <c r="A545" t="s">
        <v>343</v>
      </c>
      <c r="B545" t="s">
        <v>599</v>
      </c>
      <c r="C545" t="s">
        <v>342</v>
      </c>
      <c r="D545">
        <v>2012</v>
      </c>
      <c r="E545" s="6" t="s">
        <v>1050</v>
      </c>
      <c r="F545" s="8" t="s">
        <v>1051</v>
      </c>
      <c r="G545" s="8" t="s">
        <v>1059</v>
      </c>
      <c r="H545" t="s">
        <v>1053</v>
      </c>
      <c r="I545" s="20">
        <v>45667</v>
      </c>
    </row>
    <row r="546" spans="1:9" ht="14.4" x14ac:dyDescent="0.3">
      <c r="A546" t="s">
        <v>343</v>
      </c>
      <c r="B546" t="s">
        <v>599</v>
      </c>
      <c r="C546" t="s">
        <v>342</v>
      </c>
      <c r="D546">
        <v>2013</v>
      </c>
      <c r="E546" s="6" t="s">
        <v>1050</v>
      </c>
      <c r="F546" s="8" t="s">
        <v>1051</v>
      </c>
      <c r="G546" s="8" t="s">
        <v>1060</v>
      </c>
      <c r="H546" t="s">
        <v>1053</v>
      </c>
      <c r="I546" s="20">
        <v>45667</v>
      </c>
    </row>
    <row r="547" spans="1:9" ht="14.4" x14ac:dyDescent="0.3">
      <c r="A547" t="s">
        <v>343</v>
      </c>
      <c r="B547" t="s">
        <v>599</v>
      </c>
      <c r="C547" t="s">
        <v>342</v>
      </c>
      <c r="D547">
        <v>2014</v>
      </c>
      <c r="E547" s="6" t="s">
        <v>1050</v>
      </c>
      <c r="F547" s="8" t="s">
        <v>1051</v>
      </c>
      <c r="G547" s="8" t="s">
        <v>1061</v>
      </c>
      <c r="H547" t="s">
        <v>1053</v>
      </c>
      <c r="I547" s="20">
        <v>45667</v>
      </c>
    </row>
    <row r="548" spans="1:9" ht="14.4" x14ac:dyDescent="0.3">
      <c r="A548" t="s">
        <v>343</v>
      </c>
      <c r="B548" t="s">
        <v>599</v>
      </c>
      <c r="C548" t="s">
        <v>342</v>
      </c>
      <c r="D548">
        <v>2015</v>
      </c>
      <c r="E548" s="6" t="s">
        <v>1050</v>
      </c>
      <c r="F548" s="8" t="s">
        <v>1051</v>
      </c>
      <c r="G548" s="8" t="s">
        <v>1062</v>
      </c>
      <c r="H548" t="s">
        <v>1053</v>
      </c>
      <c r="I548" s="20">
        <v>45667</v>
      </c>
    </row>
    <row r="549" spans="1:9" ht="14.4" x14ac:dyDescent="0.3">
      <c r="A549" t="s">
        <v>343</v>
      </c>
      <c r="B549" t="s">
        <v>599</v>
      </c>
      <c r="C549" t="s">
        <v>342</v>
      </c>
      <c r="D549">
        <v>2016</v>
      </c>
      <c r="E549" s="6" t="s">
        <v>1050</v>
      </c>
      <c r="F549" s="8" t="s">
        <v>1051</v>
      </c>
      <c r="G549" s="8" t="s">
        <v>1063</v>
      </c>
      <c r="H549" t="s">
        <v>1053</v>
      </c>
      <c r="I549" s="20">
        <v>45667</v>
      </c>
    </row>
    <row r="550" spans="1:9" ht="12" customHeight="1" x14ac:dyDescent="0.3">
      <c r="A550" t="s">
        <v>343</v>
      </c>
      <c r="B550" t="s">
        <v>599</v>
      </c>
      <c r="C550" t="s">
        <v>342</v>
      </c>
      <c r="D550">
        <v>2017</v>
      </c>
      <c r="E550" s="6" t="s">
        <v>1050</v>
      </c>
      <c r="F550" s="8" t="s">
        <v>1051</v>
      </c>
      <c r="G550" s="8" t="s">
        <v>1064</v>
      </c>
      <c r="H550" t="s">
        <v>1053</v>
      </c>
      <c r="I550" s="20">
        <v>45667</v>
      </c>
    </row>
    <row r="551" spans="1:9" ht="14.4" x14ac:dyDescent="0.3">
      <c r="A551" t="s">
        <v>343</v>
      </c>
      <c r="B551" t="s">
        <v>599</v>
      </c>
      <c r="C551" t="s">
        <v>342</v>
      </c>
      <c r="D551">
        <v>2018</v>
      </c>
      <c r="E551" s="6" t="s">
        <v>1050</v>
      </c>
      <c r="F551" s="8" t="s">
        <v>1051</v>
      </c>
      <c r="G551" s="8" t="s">
        <v>1065</v>
      </c>
      <c r="H551" t="s">
        <v>1053</v>
      </c>
      <c r="I551" s="20">
        <v>45667</v>
      </c>
    </row>
    <row r="552" spans="1:9" ht="14.4" x14ac:dyDescent="0.3">
      <c r="A552" t="s">
        <v>343</v>
      </c>
      <c r="B552" t="s">
        <v>599</v>
      </c>
      <c r="C552" t="s">
        <v>342</v>
      </c>
      <c r="D552">
        <v>2019</v>
      </c>
      <c r="E552" s="6" t="s">
        <v>1050</v>
      </c>
      <c r="F552" s="8" t="s">
        <v>1051</v>
      </c>
      <c r="G552" s="8" t="s">
        <v>1066</v>
      </c>
      <c r="H552" t="s">
        <v>1053</v>
      </c>
      <c r="I552" s="20">
        <v>45667</v>
      </c>
    </row>
    <row r="553" spans="1:9" ht="14.4" x14ac:dyDescent="0.3">
      <c r="A553" t="s">
        <v>343</v>
      </c>
      <c r="B553" t="s">
        <v>599</v>
      </c>
      <c r="C553" t="s">
        <v>342</v>
      </c>
      <c r="D553">
        <v>2020</v>
      </c>
      <c r="E553" s="6" t="s">
        <v>1050</v>
      </c>
      <c r="F553" s="8" t="s">
        <v>1051</v>
      </c>
      <c r="G553" s="8" t="s">
        <v>1067</v>
      </c>
      <c r="H553" t="s">
        <v>1053</v>
      </c>
      <c r="I553" s="20">
        <v>45667</v>
      </c>
    </row>
    <row r="554" spans="1:9" ht="14.4" x14ac:dyDescent="0.3">
      <c r="A554" t="s">
        <v>343</v>
      </c>
      <c r="B554" t="s">
        <v>599</v>
      </c>
      <c r="C554" t="s">
        <v>342</v>
      </c>
      <c r="D554">
        <v>2021</v>
      </c>
      <c r="E554" s="6" t="s">
        <v>1050</v>
      </c>
      <c r="F554" s="8" t="s">
        <v>1051</v>
      </c>
      <c r="G554" s="8" t="s">
        <v>1068</v>
      </c>
      <c r="H554" t="s">
        <v>1053</v>
      </c>
      <c r="I554" s="20">
        <v>45667</v>
      </c>
    </row>
    <row r="555" spans="1:9" ht="14.4" x14ac:dyDescent="0.3">
      <c r="A555" t="s">
        <v>343</v>
      </c>
      <c r="B555" t="s">
        <v>599</v>
      </c>
      <c r="C555" t="s">
        <v>342</v>
      </c>
      <c r="D555">
        <v>2022</v>
      </c>
      <c r="E555" s="6" t="s">
        <v>1050</v>
      </c>
      <c r="F555" s="8" t="s">
        <v>1051</v>
      </c>
      <c r="G555" s="8" t="s">
        <v>1069</v>
      </c>
      <c r="H555" t="s">
        <v>1053</v>
      </c>
      <c r="I555" s="20">
        <v>45667</v>
      </c>
    </row>
    <row r="556" spans="1:9" ht="14.4" x14ac:dyDescent="0.3">
      <c r="A556" t="s">
        <v>343</v>
      </c>
      <c r="B556" t="s">
        <v>599</v>
      </c>
      <c r="C556" t="s">
        <v>342</v>
      </c>
      <c r="D556">
        <v>2023</v>
      </c>
      <c r="E556" s="6" t="s">
        <v>1050</v>
      </c>
      <c r="F556" s="8" t="s">
        <v>1051</v>
      </c>
      <c r="G556" s="8" t="s">
        <v>1070</v>
      </c>
      <c r="H556" t="s">
        <v>1053</v>
      </c>
      <c r="I556" s="20">
        <v>45667</v>
      </c>
    </row>
    <row r="557" spans="1:9" ht="14.4" x14ac:dyDescent="0.3">
      <c r="A557" t="s">
        <v>343</v>
      </c>
      <c r="B557" t="s">
        <v>599</v>
      </c>
      <c r="C557" t="s">
        <v>342</v>
      </c>
      <c r="D557">
        <v>2024</v>
      </c>
      <c r="E557" s="6" t="s">
        <v>1050</v>
      </c>
      <c r="F557" s="8" t="s">
        <v>1051</v>
      </c>
      <c r="G557" s="8" t="s">
        <v>1071</v>
      </c>
      <c r="H557" t="s">
        <v>1053</v>
      </c>
      <c r="I557" s="20">
        <v>45667</v>
      </c>
    </row>
    <row r="558" spans="1:9" ht="14.4" x14ac:dyDescent="0.3">
      <c r="A558" t="s">
        <v>359</v>
      </c>
      <c r="B558" t="s">
        <v>600</v>
      </c>
      <c r="C558" t="s">
        <v>358</v>
      </c>
      <c r="D558">
        <v>2014</v>
      </c>
      <c r="E558" s="6" t="s">
        <v>1072</v>
      </c>
      <c r="F558" s="1" t="s">
        <v>1073</v>
      </c>
      <c r="G558" s="8" t="s">
        <v>1074</v>
      </c>
      <c r="I558" s="26" t="s">
        <v>799</v>
      </c>
    </row>
    <row r="559" spans="1:9" ht="14.4" x14ac:dyDescent="0.3">
      <c r="A559" t="s">
        <v>359</v>
      </c>
      <c r="B559" t="s">
        <v>600</v>
      </c>
      <c r="C559" t="s">
        <v>358</v>
      </c>
      <c r="D559">
        <v>2015</v>
      </c>
      <c r="E559" s="6" t="s">
        <v>1072</v>
      </c>
      <c r="F559" s="1" t="s">
        <v>1073</v>
      </c>
      <c r="G559" s="8" t="s">
        <v>1075</v>
      </c>
      <c r="I559" s="26" t="s">
        <v>799</v>
      </c>
    </row>
    <row r="560" spans="1:9" ht="14.4" x14ac:dyDescent="0.3">
      <c r="A560" t="s">
        <v>359</v>
      </c>
      <c r="B560" t="s">
        <v>600</v>
      </c>
      <c r="C560" t="s">
        <v>358</v>
      </c>
      <c r="D560">
        <v>2016</v>
      </c>
      <c r="E560" s="6" t="s">
        <v>1072</v>
      </c>
      <c r="F560" s="1" t="s">
        <v>1073</v>
      </c>
      <c r="G560" s="8" t="s">
        <v>1076</v>
      </c>
      <c r="I560" s="26" t="s">
        <v>799</v>
      </c>
    </row>
    <row r="561" spans="1:9" ht="14.4" x14ac:dyDescent="0.3">
      <c r="A561" t="s">
        <v>359</v>
      </c>
      <c r="B561" t="s">
        <v>600</v>
      </c>
      <c r="C561" t="s">
        <v>358</v>
      </c>
      <c r="D561">
        <v>2017</v>
      </c>
      <c r="E561" s="6" t="s">
        <v>1072</v>
      </c>
      <c r="F561" s="1" t="s">
        <v>1073</v>
      </c>
      <c r="G561" s="8" t="s">
        <v>1077</v>
      </c>
      <c r="I561" s="26" t="s">
        <v>799</v>
      </c>
    </row>
    <row r="562" spans="1:9" ht="14.4" x14ac:dyDescent="0.3">
      <c r="A562" t="s">
        <v>359</v>
      </c>
      <c r="B562" t="s">
        <v>600</v>
      </c>
      <c r="C562" t="s">
        <v>358</v>
      </c>
      <c r="D562">
        <v>2018</v>
      </c>
      <c r="E562" s="6" t="s">
        <v>1072</v>
      </c>
      <c r="F562" s="1" t="s">
        <v>1073</v>
      </c>
      <c r="G562" s="8" t="s">
        <v>1078</v>
      </c>
      <c r="I562" s="26" t="s">
        <v>799</v>
      </c>
    </row>
    <row r="563" spans="1:9" ht="14.4" x14ac:dyDescent="0.3">
      <c r="A563" t="s">
        <v>359</v>
      </c>
      <c r="B563" t="s">
        <v>600</v>
      </c>
      <c r="C563" t="s">
        <v>358</v>
      </c>
      <c r="D563">
        <v>2019</v>
      </c>
      <c r="E563" s="6" t="s">
        <v>1072</v>
      </c>
      <c r="F563" s="1" t="s">
        <v>1073</v>
      </c>
      <c r="G563" s="8" t="s">
        <v>1079</v>
      </c>
      <c r="I563" s="26" t="s">
        <v>799</v>
      </c>
    </row>
    <row r="564" spans="1:9" ht="14.4" x14ac:dyDescent="0.3">
      <c r="A564" t="s">
        <v>359</v>
      </c>
      <c r="B564" t="s">
        <v>600</v>
      </c>
      <c r="C564" t="s">
        <v>358</v>
      </c>
      <c r="D564">
        <v>2020</v>
      </c>
      <c r="E564" s="6" t="s">
        <v>1072</v>
      </c>
      <c r="F564" s="1" t="s">
        <v>1073</v>
      </c>
      <c r="G564" s="8" t="s">
        <v>1080</v>
      </c>
      <c r="I564" s="26" t="s">
        <v>799</v>
      </c>
    </row>
    <row r="565" spans="1:9" ht="14.4" x14ac:dyDescent="0.3">
      <c r="A565" t="s">
        <v>359</v>
      </c>
      <c r="B565" t="s">
        <v>600</v>
      </c>
      <c r="C565" t="s">
        <v>358</v>
      </c>
      <c r="D565">
        <v>2021</v>
      </c>
      <c r="E565" s="6" t="s">
        <v>1072</v>
      </c>
      <c r="F565" s="1" t="s">
        <v>1073</v>
      </c>
      <c r="G565" s="8" t="s">
        <v>1081</v>
      </c>
      <c r="I565" s="26" t="s">
        <v>799</v>
      </c>
    </row>
    <row r="566" spans="1:9" ht="14.4" x14ac:dyDescent="0.3">
      <c r="A566" t="s">
        <v>359</v>
      </c>
      <c r="B566" t="s">
        <v>600</v>
      </c>
      <c r="C566" t="s">
        <v>358</v>
      </c>
      <c r="D566">
        <v>2022</v>
      </c>
      <c r="E566" s="6" t="s">
        <v>1072</v>
      </c>
      <c r="F566" s="1" t="s">
        <v>1073</v>
      </c>
      <c r="G566" s="8" t="s">
        <v>1081</v>
      </c>
      <c r="I566" s="26" t="s">
        <v>799</v>
      </c>
    </row>
    <row r="567" spans="1:9" ht="14.4" x14ac:dyDescent="0.3">
      <c r="A567" t="s">
        <v>359</v>
      </c>
      <c r="B567" t="s">
        <v>600</v>
      </c>
      <c r="C567" t="s">
        <v>358</v>
      </c>
      <c r="D567">
        <v>2023</v>
      </c>
      <c r="E567" s="6" t="s">
        <v>1072</v>
      </c>
      <c r="F567" s="1" t="s">
        <v>1073</v>
      </c>
      <c r="G567" s="8" t="s">
        <v>1082</v>
      </c>
      <c r="I567" s="26" t="s">
        <v>799</v>
      </c>
    </row>
    <row r="568" spans="1:9" ht="14.4" x14ac:dyDescent="0.3">
      <c r="A568" t="s">
        <v>359</v>
      </c>
      <c r="B568" t="s">
        <v>600</v>
      </c>
      <c r="C568" t="s">
        <v>358</v>
      </c>
      <c r="D568">
        <v>2024</v>
      </c>
      <c r="E568" s="6" t="s">
        <v>1072</v>
      </c>
      <c r="F568" s="1" t="s">
        <v>1073</v>
      </c>
      <c r="G568" s="8" t="s">
        <v>1082</v>
      </c>
      <c r="I568" s="26" t="s">
        <v>799</v>
      </c>
    </row>
    <row r="569" spans="1:9" ht="14.4" x14ac:dyDescent="0.3">
      <c r="A569" t="s">
        <v>359</v>
      </c>
      <c r="B569" t="s">
        <v>600</v>
      </c>
      <c r="C569" t="s">
        <v>362</v>
      </c>
      <c r="D569">
        <v>2014</v>
      </c>
      <c r="E569" s="6" t="s">
        <v>1072</v>
      </c>
      <c r="F569" s="1" t="s">
        <v>1073</v>
      </c>
      <c r="G569" s="8" t="s">
        <v>1082</v>
      </c>
      <c r="I569" s="26" t="s">
        <v>799</v>
      </c>
    </row>
    <row r="570" spans="1:9" ht="14.4" x14ac:dyDescent="0.3">
      <c r="A570" t="s">
        <v>359</v>
      </c>
      <c r="B570" t="s">
        <v>600</v>
      </c>
      <c r="C570" t="s">
        <v>362</v>
      </c>
      <c r="D570">
        <v>2015</v>
      </c>
      <c r="E570" s="6" t="s">
        <v>1072</v>
      </c>
      <c r="F570" s="1" t="s">
        <v>1073</v>
      </c>
      <c r="G570" s="8" t="s">
        <v>1082</v>
      </c>
      <c r="I570" s="26" t="s">
        <v>799</v>
      </c>
    </row>
    <row r="571" spans="1:9" ht="14.4" x14ac:dyDescent="0.3">
      <c r="A571" t="s">
        <v>359</v>
      </c>
      <c r="B571" t="s">
        <v>600</v>
      </c>
      <c r="C571" t="s">
        <v>362</v>
      </c>
      <c r="D571">
        <v>2016</v>
      </c>
      <c r="E571" s="6" t="s">
        <v>1072</v>
      </c>
      <c r="F571" s="1" t="s">
        <v>1073</v>
      </c>
      <c r="G571" s="8" t="s">
        <v>1075</v>
      </c>
      <c r="I571" s="26" t="s">
        <v>799</v>
      </c>
    </row>
    <row r="572" spans="1:9" ht="14.4" x14ac:dyDescent="0.3">
      <c r="A572" t="s">
        <v>359</v>
      </c>
      <c r="B572" t="s">
        <v>600</v>
      </c>
      <c r="C572" t="s">
        <v>362</v>
      </c>
      <c r="D572">
        <v>2017</v>
      </c>
      <c r="E572" s="6" t="s">
        <v>1072</v>
      </c>
      <c r="F572" s="1" t="s">
        <v>1073</v>
      </c>
      <c r="G572" s="8" t="s">
        <v>1076</v>
      </c>
      <c r="I572" s="26" t="s">
        <v>799</v>
      </c>
    </row>
    <row r="573" spans="1:9" ht="14.4" x14ac:dyDescent="0.3">
      <c r="A573" t="s">
        <v>359</v>
      </c>
      <c r="B573" t="s">
        <v>600</v>
      </c>
      <c r="C573" t="s">
        <v>362</v>
      </c>
      <c r="D573">
        <v>2018</v>
      </c>
      <c r="E573" s="6" t="s">
        <v>1072</v>
      </c>
      <c r="F573" s="1" t="s">
        <v>1073</v>
      </c>
      <c r="G573" s="8" t="s">
        <v>1077</v>
      </c>
      <c r="I573" s="26" t="s">
        <v>799</v>
      </c>
    </row>
    <row r="574" spans="1:9" ht="14.4" x14ac:dyDescent="0.3">
      <c r="A574" t="s">
        <v>359</v>
      </c>
      <c r="B574" t="s">
        <v>600</v>
      </c>
      <c r="C574" t="s">
        <v>362</v>
      </c>
      <c r="D574">
        <v>2019</v>
      </c>
      <c r="E574" s="6" t="s">
        <v>1072</v>
      </c>
      <c r="F574" s="1" t="s">
        <v>1073</v>
      </c>
      <c r="G574" s="8" t="s">
        <v>1078</v>
      </c>
      <c r="I574" s="26" t="s">
        <v>799</v>
      </c>
    </row>
    <row r="575" spans="1:9" ht="14.4" x14ac:dyDescent="0.3">
      <c r="A575" t="s">
        <v>359</v>
      </c>
      <c r="B575" t="s">
        <v>600</v>
      </c>
      <c r="C575" t="s">
        <v>362</v>
      </c>
      <c r="D575">
        <v>2020</v>
      </c>
      <c r="E575" s="6" t="s">
        <v>1072</v>
      </c>
      <c r="F575" s="1" t="s">
        <v>1073</v>
      </c>
      <c r="G575" s="8" t="s">
        <v>1079</v>
      </c>
      <c r="I575" s="26" t="s">
        <v>799</v>
      </c>
    </row>
    <row r="576" spans="1:9" ht="14.4" x14ac:dyDescent="0.3">
      <c r="A576" t="s">
        <v>359</v>
      </c>
      <c r="B576" t="s">
        <v>600</v>
      </c>
      <c r="C576" t="s">
        <v>362</v>
      </c>
      <c r="D576">
        <v>2021</v>
      </c>
      <c r="E576" s="6" t="s">
        <v>1072</v>
      </c>
      <c r="F576" s="1" t="s">
        <v>1073</v>
      </c>
      <c r="G576" s="8" t="s">
        <v>1080</v>
      </c>
      <c r="I576" s="26" t="s">
        <v>799</v>
      </c>
    </row>
    <row r="577" spans="1:9" ht="14.4" x14ac:dyDescent="0.3">
      <c r="A577" t="s">
        <v>359</v>
      </c>
      <c r="B577" t="s">
        <v>600</v>
      </c>
      <c r="C577" t="s">
        <v>362</v>
      </c>
      <c r="D577">
        <v>2022</v>
      </c>
      <c r="E577" s="6" t="s">
        <v>1072</v>
      </c>
      <c r="F577" s="1" t="s">
        <v>1073</v>
      </c>
      <c r="G577" s="8" t="s">
        <v>1081</v>
      </c>
      <c r="I577" s="26" t="s">
        <v>799</v>
      </c>
    </row>
    <row r="578" spans="1:9" ht="14.4" x14ac:dyDescent="0.3">
      <c r="A578" t="s">
        <v>359</v>
      </c>
      <c r="B578" t="s">
        <v>600</v>
      </c>
      <c r="C578" t="s">
        <v>362</v>
      </c>
      <c r="D578">
        <v>2023</v>
      </c>
      <c r="E578" s="6" t="s">
        <v>1072</v>
      </c>
      <c r="F578" s="1" t="s">
        <v>1073</v>
      </c>
      <c r="G578" s="8" t="s">
        <v>1083</v>
      </c>
      <c r="I578" s="26" t="s">
        <v>799</v>
      </c>
    </row>
    <row r="579" spans="1:9" ht="14.4" x14ac:dyDescent="0.3">
      <c r="A579" t="s">
        <v>359</v>
      </c>
      <c r="B579" t="s">
        <v>600</v>
      </c>
      <c r="C579" t="s">
        <v>362</v>
      </c>
      <c r="D579">
        <v>2024</v>
      </c>
      <c r="E579" s="6" t="s">
        <v>1072</v>
      </c>
      <c r="F579" s="1" t="s">
        <v>1073</v>
      </c>
      <c r="G579" s="8" t="s">
        <v>1082</v>
      </c>
      <c r="I579" s="26" t="s">
        <v>799</v>
      </c>
    </row>
    <row r="580" spans="1:9" ht="14.4" x14ac:dyDescent="0.3">
      <c r="A580" t="s">
        <v>366</v>
      </c>
      <c r="B580" t="s">
        <v>601</v>
      </c>
      <c r="C580" t="s">
        <v>365</v>
      </c>
      <c r="D580">
        <v>2005</v>
      </c>
      <c r="E580" s="6" t="s">
        <v>1084</v>
      </c>
      <c r="F580" s="8" t="s">
        <v>1085</v>
      </c>
      <c r="G580" s="8" t="s">
        <v>1086</v>
      </c>
      <c r="H580" t="s">
        <v>1053</v>
      </c>
      <c r="I580" s="20">
        <v>45667</v>
      </c>
    </row>
    <row r="581" spans="1:9" ht="14.4" x14ac:dyDescent="0.3">
      <c r="A581" t="s">
        <v>366</v>
      </c>
      <c r="B581" t="s">
        <v>601</v>
      </c>
      <c r="C581" t="s">
        <v>365</v>
      </c>
      <c r="D581">
        <v>2006</v>
      </c>
      <c r="E581" s="6" t="s">
        <v>1084</v>
      </c>
      <c r="F581" s="8" t="s">
        <v>1085</v>
      </c>
      <c r="G581" s="8" t="s">
        <v>1086</v>
      </c>
      <c r="H581" t="s">
        <v>1053</v>
      </c>
      <c r="I581" s="20">
        <v>45667</v>
      </c>
    </row>
    <row r="582" spans="1:9" ht="14.4" x14ac:dyDescent="0.3">
      <c r="A582" t="s">
        <v>366</v>
      </c>
      <c r="B582" t="s">
        <v>601</v>
      </c>
      <c r="C582" t="s">
        <v>365</v>
      </c>
      <c r="D582">
        <v>2007</v>
      </c>
      <c r="E582" s="6" t="s">
        <v>1084</v>
      </c>
      <c r="F582" s="8" t="s">
        <v>1085</v>
      </c>
      <c r="G582" s="8" t="s">
        <v>1087</v>
      </c>
      <c r="H582" t="s">
        <v>1053</v>
      </c>
      <c r="I582" s="20">
        <v>45667</v>
      </c>
    </row>
    <row r="583" spans="1:9" ht="14.4" x14ac:dyDescent="0.3">
      <c r="A583" t="s">
        <v>366</v>
      </c>
      <c r="B583" t="s">
        <v>601</v>
      </c>
      <c r="C583" t="s">
        <v>365</v>
      </c>
      <c r="D583">
        <v>2008</v>
      </c>
      <c r="E583" s="6" t="s">
        <v>1084</v>
      </c>
      <c r="F583" s="8" t="s">
        <v>1085</v>
      </c>
      <c r="G583" s="8" t="s">
        <v>1088</v>
      </c>
      <c r="H583" t="s">
        <v>1053</v>
      </c>
      <c r="I583" s="20">
        <v>45667</v>
      </c>
    </row>
    <row r="584" spans="1:9" ht="14.4" x14ac:dyDescent="0.3">
      <c r="A584" t="s">
        <v>366</v>
      </c>
      <c r="B584" t="s">
        <v>601</v>
      </c>
      <c r="C584" t="s">
        <v>365</v>
      </c>
      <c r="D584">
        <v>2009</v>
      </c>
      <c r="E584" s="6" t="s">
        <v>1084</v>
      </c>
      <c r="F584" s="8" t="s">
        <v>1085</v>
      </c>
      <c r="G584" s="8" t="s">
        <v>1089</v>
      </c>
      <c r="H584" t="s">
        <v>1053</v>
      </c>
      <c r="I584" s="20">
        <v>45667</v>
      </c>
    </row>
    <row r="585" spans="1:9" ht="14.4" x14ac:dyDescent="0.3">
      <c r="A585" t="s">
        <v>366</v>
      </c>
      <c r="B585" t="s">
        <v>601</v>
      </c>
      <c r="C585" t="s">
        <v>365</v>
      </c>
      <c r="D585">
        <v>2010</v>
      </c>
      <c r="E585" s="6" t="s">
        <v>1084</v>
      </c>
      <c r="F585" s="8" t="s">
        <v>1085</v>
      </c>
      <c r="G585" s="8" t="s">
        <v>1090</v>
      </c>
      <c r="H585" t="s">
        <v>1053</v>
      </c>
      <c r="I585" s="20">
        <v>45667</v>
      </c>
    </row>
    <row r="586" spans="1:9" ht="14.4" x14ac:dyDescent="0.3">
      <c r="A586" t="s">
        <v>366</v>
      </c>
      <c r="B586" t="s">
        <v>601</v>
      </c>
      <c r="C586" t="s">
        <v>365</v>
      </c>
      <c r="D586">
        <v>2011</v>
      </c>
      <c r="E586" s="6" t="s">
        <v>1084</v>
      </c>
      <c r="F586" s="8" t="s">
        <v>1085</v>
      </c>
      <c r="G586" s="8" t="s">
        <v>1091</v>
      </c>
      <c r="H586" t="s">
        <v>1053</v>
      </c>
      <c r="I586" s="20">
        <v>45667</v>
      </c>
    </row>
    <row r="587" spans="1:9" ht="14.4" x14ac:dyDescent="0.3">
      <c r="A587" t="s">
        <v>366</v>
      </c>
      <c r="B587" t="s">
        <v>601</v>
      </c>
      <c r="C587" t="s">
        <v>365</v>
      </c>
      <c r="D587">
        <v>2012</v>
      </c>
      <c r="E587" s="6" t="s">
        <v>1084</v>
      </c>
      <c r="F587" s="8" t="s">
        <v>1085</v>
      </c>
      <c r="G587" s="8" t="s">
        <v>1092</v>
      </c>
      <c r="H587" t="s">
        <v>1053</v>
      </c>
      <c r="I587" s="20">
        <v>45667</v>
      </c>
    </row>
    <row r="588" spans="1:9" ht="14.4" x14ac:dyDescent="0.3">
      <c r="A588" t="s">
        <v>366</v>
      </c>
      <c r="B588" t="s">
        <v>601</v>
      </c>
      <c r="C588" t="s">
        <v>365</v>
      </c>
      <c r="D588">
        <v>2013</v>
      </c>
      <c r="E588" s="6" t="s">
        <v>1084</v>
      </c>
      <c r="F588" s="8" t="s">
        <v>1085</v>
      </c>
      <c r="G588" s="8" t="s">
        <v>1093</v>
      </c>
      <c r="H588" t="s">
        <v>1053</v>
      </c>
      <c r="I588" s="20">
        <v>45667</v>
      </c>
    </row>
    <row r="589" spans="1:9" ht="14.4" x14ac:dyDescent="0.3">
      <c r="A589" t="s">
        <v>366</v>
      </c>
      <c r="B589" t="s">
        <v>601</v>
      </c>
      <c r="C589" t="s">
        <v>365</v>
      </c>
      <c r="D589">
        <v>2014</v>
      </c>
      <c r="E589" s="6" t="s">
        <v>1084</v>
      </c>
      <c r="F589" s="8" t="s">
        <v>1085</v>
      </c>
      <c r="G589" s="8" t="s">
        <v>1094</v>
      </c>
      <c r="H589" t="s">
        <v>1053</v>
      </c>
      <c r="I589" s="20">
        <v>45667</v>
      </c>
    </row>
    <row r="590" spans="1:9" ht="14.4" x14ac:dyDescent="0.3">
      <c r="A590" t="s">
        <v>366</v>
      </c>
      <c r="B590" t="s">
        <v>601</v>
      </c>
      <c r="C590" t="s">
        <v>365</v>
      </c>
      <c r="D590">
        <v>2015</v>
      </c>
      <c r="E590" s="6" t="s">
        <v>1084</v>
      </c>
      <c r="F590" s="8" t="s">
        <v>1085</v>
      </c>
      <c r="G590" s="8" t="s">
        <v>1095</v>
      </c>
      <c r="H590" t="s">
        <v>1053</v>
      </c>
      <c r="I590" s="20">
        <v>45667</v>
      </c>
    </row>
    <row r="591" spans="1:9" ht="14.4" x14ac:dyDescent="0.3">
      <c r="A591" t="s">
        <v>366</v>
      </c>
      <c r="B591" t="s">
        <v>601</v>
      </c>
      <c r="C591" t="s">
        <v>365</v>
      </c>
      <c r="D591">
        <v>2016</v>
      </c>
      <c r="E591" s="6" t="s">
        <v>1084</v>
      </c>
      <c r="F591" s="8" t="s">
        <v>1085</v>
      </c>
      <c r="G591" s="8" t="s">
        <v>1096</v>
      </c>
      <c r="H591" t="s">
        <v>1053</v>
      </c>
      <c r="I591" s="20">
        <v>45667</v>
      </c>
    </row>
    <row r="592" spans="1:9" ht="14.4" x14ac:dyDescent="0.3">
      <c r="A592" t="s">
        <v>366</v>
      </c>
      <c r="B592" t="s">
        <v>601</v>
      </c>
      <c r="C592" t="s">
        <v>365</v>
      </c>
      <c r="D592">
        <v>2017</v>
      </c>
      <c r="E592" s="6" t="s">
        <v>1084</v>
      </c>
      <c r="F592" s="8" t="s">
        <v>1085</v>
      </c>
      <c r="G592" s="8" t="s">
        <v>1097</v>
      </c>
      <c r="H592" t="s">
        <v>1053</v>
      </c>
      <c r="I592" s="20">
        <v>45667</v>
      </c>
    </row>
    <row r="593" spans="1:9" ht="14.4" x14ac:dyDescent="0.3">
      <c r="A593" t="s">
        <v>366</v>
      </c>
      <c r="B593" t="s">
        <v>601</v>
      </c>
      <c r="C593" t="s">
        <v>365</v>
      </c>
      <c r="D593">
        <v>2018</v>
      </c>
      <c r="E593" s="6" t="s">
        <v>1084</v>
      </c>
      <c r="F593" s="8" t="s">
        <v>1085</v>
      </c>
      <c r="G593" s="8" t="s">
        <v>1098</v>
      </c>
      <c r="H593" t="s">
        <v>1053</v>
      </c>
      <c r="I593" s="20">
        <v>45667</v>
      </c>
    </row>
    <row r="594" spans="1:9" ht="14.4" x14ac:dyDescent="0.3">
      <c r="A594" t="s">
        <v>366</v>
      </c>
      <c r="B594" t="s">
        <v>601</v>
      </c>
      <c r="C594" t="s">
        <v>365</v>
      </c>
      <c r="D594">
        <v>2019</v>
      </c>
      <c r="E594" s="6" t="s">
        <v>1084</v>
      </c>
      <c r="F594" s="8" t="s">
        <v>1085</v>
      </c>
      <c r="G594" s="8" t="s">
        <v>1099</v>
      </c>
      <c r="H594" t="s">
        <v>1053</v>
      </c>
      <c r="I594" s="20">
        <v>45667</v>
      </c>
    </row>
    <row r="595" spans="1:9" ht="14.4" x14ac:dyDescent="0.3">
      <c r="A595" t="s">
        <v>366</v>
      </c>
      <c r="B595" t="s">
        <v>601</v>
      </c>
      <c r="C595" t="s">
        <v>365</v>
      </c>
      <c r="D595">
        <v>2020</v>
      </c>
      <c r="E595" s="6" t="s">
        <v>1084</v>
      </c>
      <c r="F595" s="8" t="s">
        <v>1085</v>
      </c>
      <c r="G595" s="8" t="s">
        <v>1100</v>
      </c>
      <c r="H595" t="s">
        <v>1053</v>
      </c>
      <c r="I595" s="20">
        <v>45667</v>
      </c>
    </row>
    <row r="596" spans="1:9" ht="14.4" x14ac:dyDescent="0.3">
      <c r="A596" t="s">
        <v>366</v>
      </c>
      <c r="B596" t="s">
        <v>601</v>
      </c>
      <c r="C596" t="s">
        <v>365</v>
      </c>
      <c r="D596">
        <v>2021</v>
      </c>
      <c r="E596" s="6" t="s">
        <v>1084</v>
      </c>
      <c r="F596" s="8" t="s">
        <v>1085</v>
      </c>
      <c r="G596" s="8" t="s">
        <v>1101</v>
      </c>
      <c r="H596" t="s">
        <v>1053</v>
      </c>
      <c r="I596" s="20">
        <v>45667</v>
      </c>
    </row>
    <row r="597" spans="1:9" ht="14.4" x14ac:dyDescent="0.3">
      <c r="A597" t="s">
        <v>366</v>
      </c>
      <c r="B597" t="s">
        <v>601</v>
      </c>
      <c r="C597" t="s">
        <v>365</v>
      </c>
      <c r="D597">
        <v>2022</v>
      </c>
      <c r="E597" s="6" t="s">
        <v>1084</v>
      </c>
      <c r="F597" s="8" t="s">
        <v>1085</v>
      </c>
      <c r="G597" s="8" t="s">
        <v>1102</v>
      </c>
      <c r="H597" t="s">
        <v>1053</v>
      </c>
      <c r="I597" s="20">
        <v>45667</v>
      </c>
    </row>
    <row r="598" spans="1:9" ht="14.4" x14ac:dyDescent="0.3">
      <c r="A598" t="s">
        <v>366</v>
      </c>
      <c r="B598" t="s">
        <v>601</v>
      </c>
      <c r="C598" t="s">
        <v>365</v>
      </c>
      <c r="D598">
        <v>2023</v>
      </c>
      <c r="E598" s="6" t="s">
        <v>1084</v>
      </c>
      <c r="F598" s="8" t="s">
        <v>1085</v>
      </c>
      <c r="G598" s="8" t="s">
        <v>1103</v>
      </c>
      <c r="H598" t="s">
        <v>1053</v>
      </c>
      <c r="I598" s="20">
        <v>45667</v>
      </c>
    </row>
    <row r="599" spans="1:9" ht="14.4" x14ac:dyDescent="0.3">
      <c r="A599" t="s">
        <v>366</v>
      </c>
      <c r="B599" t="s">
        <v>601</v>
      </c>
      <c r="C599" t="s">
        <v>365</v>
      </c>
      <c r="D599">
        <v>2024</v>
      </c>
      <c r="E599" s="6" t="s">
        <v>1084</v>
      </c>
      <c r="F599" s="8" t="s">
        <v>1085</v>
      </c>
      <c r="G599" s="8" t="s">
        <v>1104</v>
      </c>
      <c r="H599" t="s">
        <v>1053</v>
      </c>
      <c r="I599" s="20">
        <v>45667</v>
      </c>
    </row>
    <row r="600" spans="1:9" ht="14.4" x14ac:dyDescent="0.3">
      <c r="A600" t="s">
        <v>369</v>
      </c>
      <c r="B600" t="s">
        <v>602</v>
      </c>
      <c r="C600" t="s">
        <v>368</v>
      </c>
      <c r="D600">
        <v>2010</v>
      </c>
      <c r="E600" s="6" t="s">
        <v>1105</v>
      </c>
      <c r="F600" s="8" t="s">
        <v>1106</v>
      </c>
      <c r="G600" t="s">
        <v>1107</v>
      </c>
      <c r="I600" s="25" t="s">
        <v>799</v>
      </c>
    </row>
    <row r="601" spans="1:9" ht="14.4" x14ac:dyDescent="0.3">
      <c r="A601" t="s">
        <v>369</v>
      </c>
      <c r="B601" t="s">
        <v>602</v>
      </c>
      <c r="C601" t="s">
        <v>368</v>
      </c>
      <c r="D601">
        <v>2011</v>
      </c>
      <c r="E601" s="6" t="s">
        <v>1105</v>
      </c>
      <c r="F601" s="8" t="s">
        <v>1106</v>
      </c>
      <c r="G601" t="s">
        <v>1107</v>
      </c>
      <c r="I601" s="25" t="s">
        <v>799</v>
      </c>
    </row>
    <row r="602" spans="1:9" ht="14.4" x14ac:dyDescent="0.3">
      <c r="A602" t="s">
        <v>369</v>
      </c>
      <c r="B602" t="s">
        <v>602</v>
      </c>
      <c r="C602" t="s">
        <v>368</v>
      </c>
      <c r="D602">
        <v>2012</v>
      </c>
      <c r="E602" s="6" t="s">
        <v>1105</v>
      </c>
      <c r="F602" s="8" t="s">
        <v>1106</v>
      </c>
      <c r="G602" t="s">
        <v>1107</v>
      </c>
      <c r="I602" s="25" t="s">
        <v>799</v>
      </c>
    </row>
    <row r="603" spans="1:9" ht="14.4" x14ac:dyDescent="0.3">
      <c r="A603" t="s">
        <v>369</v>
      </c>
      <c r="B603" t="s">
        <v>602</v>
      </c>
      <c r="C603" t="s">
        <v>368</v>
      </c>
      <c r="D603">
        <v>2013</v>
      </c>
      <c r="E603" s="6" t="s">
        <v>1105</v>
      </c>
      <c r="F603" s="8" t="s">
        <v>1106</v>
      </c>
      <c r="G603" t="s">
        <v>1107</v>
      </c>
      <c r="I603" s="25" t="s">
        <v>799</v>
      </c>
    </row>
    <row r="604" spans="1:9" ht="14.4" x14ac:dyDescent="0.3">
      <c r="A604" t="s">
        <v>369</v>
      </c>
      <c r="B604" t="s">
        <v>602</v>
      </c>
      <c r="C604" t="s">
        <v>368</v>
      </c>
      <c r="D604">
        <v>2014</v>
      </c>
      <c r="E604" s="6" t="s">
        <v>1105</v>
      </c>
      <c r="F604" s="8" t="s">
        <v>1106</v>
      </c>
      <c r="G604" t="s">
        <v>1108</v>
      </c>
      <c r="I604" s="25" t="s">
        <v>799</v>
      </c>
    </row>
    <row r="605" spans="1:9" ht="14.4" x14ac:dyDescent="0.3">
      <c r="A605" t="s">
        <v>369</v>
      </c>
      <c r="B605" t="s">
        <v>602</v>
      </c>
      <c r="C605" t="s">
        <v>368</v>
      </c>
      <c r="D605">
        <v>2015</v>
      </c>
      <c r="E605" s="6" t="s">
        <v>1105</v>
      </c>
      <c r="F605" s="8" t="s">
        <v>1106</v>
      </c>
      <c r="G605" t="s">
        <v>1109</v>
      </c>
      <c r="I605" s="25" t="s">
        <v>799</v>
      </c>
    </row>
    <row r="606" spans="1:9" ht="14.4" x14ac:dyDescent="0.3">
      <c r="A606" t="s">
        <v>369</v>
      </c>
      <c r="B606" t="s">
        <v>602</v>
      </c>
      <c r="C606" t="s">
        <v>368</v>
      </c>
      <c r="D606">
        <v>2016</v>
      </c>
      <c r="E606" s="6" t="s">
        <v>1105</v>
      </c>
      <c r="F606" s="8" t="s">
        <v>1106</v>
      </c>
      <c r="G606" t="s">
        <v>1110</v>
      </c>
      <c r="I606" s="25" t="s">
        <v>799</v>
      </c>
    </row>
    <row r="607" spans="1:9" ht="14.4" x14ac:dyDescent="0.3">
      <c r="A607" t="s">
        <v>369</v>
      </c>
      <c r="B607" t="s">
        <v>602</v>
      </c>
      <c r="C607" t="s">
        <v>368</v>
      </c>
      <c r="D607">
        <v>2017</v>
      </c>
      <c r="E607" s="6" t="s">
        <v>1105</v>
      </c>
      <c r="F607" s="8" t="s">
        <v>1106</v>
      </c>
      <c r="G607" t="s">
        <v>1111</v>
      </c>
      <c r="I607" s="25" t="s">
        <v>799</v>
      </c>
    </row>
    <row r="608" spans="1:9" ht="14.4" x14ac:dyDescent="0.3">
      <c r="A608" t="s">
        <v>369</v>
      </c>
      <c r="B608" t="s">
        <v>602</v>
      </c>
      <c r="C608" t="s">
        <v>368</v>
      </c>
      <c r="D608">
        <v>2018</v>
      </c>
      <c r="E608" s="6" t="s">
        <v>1105</v>
      </c>
      <c r="F608" s="8" t="s">
        <v>1106</v>
      </c>
      <c r="G608" t="s">
        <v>1112</v>
      </c>
      <c r="I608" s="25" t="s">
        <v>799</v>
      </c>
    </row>
    <row r="609" spans="1:9" ht="14.4" x14ac:dyDescent="0.3">
      <c r="A609" t="s">
        <v>369</v>
      </c>
      <c r="B609" t="s">
        <v>602</v>
      </c>
      <c r="C609" t="s">
        <v>368</v>
      </c>
      <c r="D609">
        <v>2019</v>
      </c>
      <c r="E609" s="6" t="s">
        <v>1105</v>
      </c>
      <c r="F609" s="8" t="s">
        <v>1106</v>
      </c>
      <c r="G609" t="s">
        <v>1112</v>
      </c>
      <c r="I609" s="25" t="s">
        <v>799</v>
      </c>
    </row>
    <row r="610" spans="1:9" ht="14.4" x14ac:dyDescent="0.3">
      <c r="A610" t="s">
        <v>369</v>
      </c>
      <c r="B610" t="s">
        <v>602</v>
      </c>
      <c r="C610" t="s">
        <v>368</v>
      </c>
      <c r="D610">
        <v>2020</v>
      </c>
      <c r="E610" s="6" t="s">
        <v>1105</v>
      </c>
      <c r="F610" s="8" t="s">
        <v>1106</v>
      </c>
      <c r="G610" t="s">
        <v>1112</v>
      </c>
      <c r="I610" s="25" t="s">
        <v>799</v>
      </c>
    </row>
    <row r="611" spans="1:9" ht="14.4" x14ac:dyDescent="0.3">
      <c r="A611" t="s">
        <v>369</v>
      </c>
      <c r="B611" t="s">
        <v>602</v>
      </c>
      <c r="C611" t="s">
        <v>368</v>
      </c>
      <c r="D611">
        <v>2021</v>
      </c>
      <c r="E611" s="6" t="s">
        <v>1105</v>
      </c>
      <c r="F611" s="8" t="s">
        <v>1106</v>
      </c>
      <c r="G611" t="s">
        <v>1113</v>
      </c>
      <c r="I611" s="25" t="s">
        <v>799</v>
      </c>
    </row>
    <row r="612" spans="1:9" ht="14.4" x14ac:dyDescent="0.3">
      <c r="A612" t="s">
        <v>369</v>
      </c>
      <c r="B612" t="s">
        <v>602</v>
      </c>
      <c r="C612" t="s">
        <v>368</v>
      </c>
      <c r="D612">
        <v>2022</v>
      </c>
      <c r="E612" s="6" t="s">
        <v>1105</v>
      </c>
      <c r="F612" s="8" t="s">
        <v>1106</v>
      </c>
      <c r="G612" t="s">
        <v>1114</v>
      </c>
      <c r="I612" s="25" t="s">
        <v>799</v>
      </c>
    </row>
    <row r="613" spans="1:9" ht="14.4" x14ac:dyDescent="0.3">
      <c r="A613" t="s">
        <v>369</v>
      </c>
      <c r="B613" t="s">
        <v>602</v>
      </c>
      <c r="C613" t="s">
        <v>368</v>
      </c>
      <c r="D613">
        <v>2023</v>
      </c>
      <c r="E613" s="6" t="s">
        <v>1105</v>
      </c>
      <c r="F613" s="8" t="s">
        <v>1106</v>
      </c>
      <c r="G613" s="8" t="s">
        <v>1115</v>
      </c>
      <c r="I613" s="25" t="s">
        <v>799</v>
      </c>
    </row>
    <row r="614" spans="1:9" ht="14.4" x14ac:dyDescent="0.3">
      <c r="A614" t="s">
        <v>369</v>
      </c>
      <c r="B614" t="s">
        <v>602</v>
      </c>
      <c r="C614" t="s">
        <v>368</v>
      </c>
      <c r="D614">
        <v>2024</v>
      </c>
      <c r="E614" s="6" t="s">
        <v>1105</v>
      </c>
      <c r="F614" s="8" t="s">
        <v>1106</v>
      </c>
      <c r="G614" t="s">
        <v>1116</v>
      </c>
      <c r="I614" s="25" t="s">
        <v>799</v>
      </c>
    </row>
    <row r="615" spans="1:9" ht="14.4" x14ac:dyDescent="0.3">
      <c r="A615" t="s">
        <v>409</v>
      </c>
      <c r="B615" t="s">
        <v>603</v>
      </c>
      <c r="C615" t="s">
        <v>408</v>
      </c>
      <c r="D615">
        <v>1996</v>
      </c>
      <c r="E615" s="6" t="s">
        <v>1117</v>
      </c>
      <c r="F615" s="8" t="s">
        <v>1118</v>
      </c>
      <c r="G615" s="1" t="s">
        <v>1119</v>
      </c>
      <c r="H615" t="s">
        <v>1120</v>
      </c>
      <c r="I615" s="25" t="s">
        <v>819</v>
      </c>
    </row>
    <row r="616" spans="1:9" ht="14.4" x14ac:dyDescent="0.3">
      <c r="A616" t="s">
        <v>409</v>
      </c>
      <c r="B616" t="s">
        <v>603</v>
      </c>
      <c r="C616" t="s">
        <v>408</v>
      </c>
      <c r="D616">
        <v>1997</v>
      </c>
      <c r="E616" s="6" t="s">
        <v>1117</v>
      </c>
      <c r="F616" s="8" t="s">
        <v>1118</v>
      </c>
      <c r="G616" s="1" t="s">
        <v>1121</v>
      </c>
      <c r="I616" s="25" t="s">
        <v>819</v>
      </c>
    </row>
    <row r="617" spans="1:9" ht="14.4" x14ac:dyDescent="0.3">
      <c r="A617" t="s">
        <v>409</v>
      </c>
      <c r="B617" t="s">
        <v>603</v>
      </c>
      <c r="C617" t="s">
        <v>408</v>
      </c>
      <c r="D617">
        <v>1998</v>
      </c>
      <c r="E617" s="6" t="s">
        <v>1117</v>
      </c>
      <c r="F617" s="8" t="s">
        <v>1118</v>
      </c>
      <c r="G617" s="1" t="s">
        <v>1122</v>
      </c>
      <c r="I617" s="25" t="s">
        <v>819</v>
      </c>
    </row>
    <row r="618" spans="1:9" ht="14.4" x14ac:dyDescent="0.3">
      <c r="A618" t="s">
        <v>409</v>
      </c>
      <c r="B618" t="s">
        <v>603</v>
      </c>
      <c r="C618" t="s">
        <v>408</v>
      </c>
      <c r="D618">
        <v>1999</v>
      </c>
      <c r="E618" s="6" t="s">
        <v>1117</v>
      </c>
      <c r="F618" s="8" t="s">
        <v>1118</v>
      </c>
      <c r="G618" s="1" t="s">
        <v>1122</v>
      </c>
      <c r="I618" s="25" t="s">
        <v>819</v>
      </c>
    </row>
    <row r="619" spans="1:9" ht="14.4" x14ac:dyDescent="0.3">
      <c r="A619" t="s">
        <v>409</v>
      </c>
      <c r="B619" t="s">
        <v>603</v>
      </c>
      <c r="C619" t="s">
        <v>408</v>
      </c>
      <c r="D619">
        <v>2000</v>
      </c>
      <c r="E619" s="6" t="s">
        <v>1117</v>
      </c>
      <c r="F619" s="8" t="s">
        <v>1118</v>
      </c>
      <c r="G619" s="1" t="s">
        <v>1123</v>
      </c>
      <c r="I619" s="25" t="s">
        <v>819</v>
      </c>
    </row>
    <row r="620" spans="1:9" ht="14.4" x14ac:dyDescent="0.3">
      <c r="A620" t="s">
        <v>409</v>
      </c>
      <c r="B620" t="s">
        <v>603</v>
      </c>
      <c r="C620" t="s">
        <v>408</v>
      </c>
      <c r="D620">
        <v>2001</v>
      </c>
      <c r="E620" s="6" t="s">
        <v>1117</v>
      </c>
      <c r="F620" s="8" t="s">
        <v>1118</v>
      </c>
      <c r="G620" s="1" t="s">
        <v>1124</v>
      </c>
      <c r="I620" s="25" t="s">
        <v>819</v>
      </c>
    </row>
    <row r="621" spans="1:9" ht="14.4" x14ac:dyDescent="0.3">
      <c r="A621" t="s">
        <v>409</v>
      </c>
      <c r="B621" t="s">
        <v>603</v>
      </c>
      <c r="C621" t="s">
        <v>408</v>
      </c>
      <c r="D621">
        <v>2002</v>
      </c>
      <c r="E621" s="6" t="s">
        <v>1117</v>
      </c>
      <c r="F621" s="8" t="s">
        <v>1118</v>
      </c>
      <c r="G621" s="1" t="s">
        <v>1119</v>
      </c>
      <c r="I621" s="25" t="s">
        <v>819</v>
      </c>
    </row>
    <row r="622" spans="1:9" ht="14.4" x14ac:dyDescent="0.3">
      <c r="A622" t="s">
        <v>409</v>
      </c>
      <c r="B622" t="s">
        <v>603</v>
      </c>
      <c r="C622" t="s">
        <v>408</v>
      </c>
      <c r="D622">
        <v>2003</v>
      </c>
      <c r="E622" s="6" t="s">
        <v>1117</v>
      </c>
      <c r="F622" s="8" t="s">
        <v>1118</v>
      </c>
      <c r="G622" s="1" t="s">
        <v>1125</v>
      </c>
      <c r="I622" s="25" t="s">
        <v>819</v>
      </c>
    </row>
    <row r="623" spans="1:9" ht="14.4" x14ac:dyDescent="0.3">
      <c r="A623" t="s">
        <v>409</v>
      </c>
      <c r="B623" t="s">
        <v>603</v>
      </c>
      <c r="C623" t="s">
        <v>408</v>
      </c>
      <c r="D623">
        <v>2004</v>
      </c>
      <c r="E623" s="6" t="s">
        <v>1117</v>
      </c>
      <c r="F623" s="8" t="s">
        <v>1118</v>
      </c>
      <c r="G623" s="1" t="s">
        <v>898</v>
      </c>
      <c r="I623" s="25" t="s">
        <v>819</v>
      </c>
    </row>
    <row r="624" spans="1:9" ht="14.4" x14ac:dyDescent="0.3">
      <c r="A624" t="s">
        <v>409</v>
      </c>
      <c r="B624" t="s">
        <v>603</v>
      </c>
      <c r="C624" t="s">
        <v>408</v>
      </c>
      <c r="D624">
        <v>2005</v>
      </c>
      <c r="E624" s="6" t="s">
        <v>1117</v>
      </c>
      <c r="F624" s="8" t="s">
        <v>1118</v>
      </c>
      <c r="G624" s="1" t="s">
        <v>1126</v>
      </c>
      <c r="I624" s="25" t="s">
        <v>819</v>
      </c>
    </row>
    <row r="625" spans="1:9" ht="14.4" x14ac:dyDescent="0.3">
      <c r="A625" t="s">
        <v>409</v>
      </c>
      <c r="B625" t="s">
        <v>603</v>
      </c>
      <c r="C625" t="s">
        <v>408</v>
      </c>
      <c r="D625">
        <v>2006</v>
      </c>
      <c r="E625" s="6" t="s">
        <v>1117</v>
      </c>
      <c r="F625" s="8" t="s">
        <v>1118</v>
      </c>
      <c r="G625" s="1" t="s">
        <v>1127</v>
      </c>
      <c r="H625" t="s">
        <v>632</v>
      </c>
      <c r="I625" s="25" t="s">
        <v>819</v>
      </c>
    </row>
    <row r="626" spans="1:9" ht="14.4" x14ac:dyDescent="0.3">
      <c r="A626" t="s">
        <v>409</v>
      </c>
      <c r="B626" t="s">
        <v>603</v>
      </c>
      <c r="C626" t="s">
        <v>408</v>
      </c>
      <c r="D626">
        <v>2007</v>
      </c>
      <c r="E626" s="6" t="s">
        <v>1117</v>
      </c>
      <c r="F626" s="8" t="s">
        <v>1118</v>
      </c>
      <c r="G626" s="1" t="s">
        <v>1128</v>
      </c>
      <c r="H626" t="s">
        <v>632</v>
      </c>
      <c r="I626" s="25" t="s">
        <v>819</v>
      </c>
    </row>
    <row r="627" spans="1:9" ht="14.4" x14ac:dyDescent="0.3">
      <c r="A627" t="s">
        <v>409</v>
      </c>
      <c r="B627" t="s">
        <v>603</v>
      </c>
      <c r="C627" t="s">
        <v>408</v>
      </c>
      <c r="D627">
        <v>2008</v>
      </c>
      <c r="E627" s="6" t="s">
        <v>1117</v>
      </c>
      <c r="F627" s="8" t="s">
        <v>1118</v>
      </c>
      <c r="G627" s="1" t="s">
        <v>1129</v>
      </c>
      <c r="H627" t="s">
        <v>632</v>
      </c>
      <c r="I627" s="25" t="s">
        <v>819</v>
      </c>
    </row>
    <row r="628" spans="1:9" ht="14.4" x14ac:dyDescent="0.3">
      <c r="A628" t="s">
        <v>409</v>
      </c>
      <c r="B628" t="s">
        <v>603</v>
      </c>
      <c r="C628" t="s">
        <v>408</v>
      </c>
      <c r="D628">
        <v>2009</v>
      </c>
      <c r="E628" s="6" t="s">
        <v>1117</v>
      </c>
      <c r="F628" s="8" t="s">
        <v>1118</v>
      </c>
      <c r="G628" s="1" t="s">
        <v>1130</v>
      </c>
      <c r="H628" t="s">
        <v>632</v>
      </c>
      <c r="I628" s="25" t="s">
        <v>819</v>
      </c>
    </row>
    <row r="629" spans="1:9" ht="14.4" x14ac:dyDescent="0.3">
      <c r="A629" t="s">
        <v>409</v>
      </c>
      <c r="B629" t="s">
        <v>603</v>
      </c>
      <c r="C629" t="s">
        <v>408</v>
      </c>
      <c r="D629">
        <v>2010</v>
      </c>
      <c r="E629" s="6" t="s">
        <v>1117</v>
      </c>
      <c r="F629" s="8" t="s">
        <v>1118</v>
      </c>
      <c r="G629" s="1" t="s">
        <v>1130</v>
      </c>
      <c r="I629" s="25" t="s">
        <v>819</v>
      </c>
    </row>
    <row r="630" spans="1:9" ht="14.4" x14ac:dyDescent="0.3">
      <c r="A630" t="s">
        <v>409</v>
      </c>
      <c r="B630" t="s">
        <v>603</v>
      </c>
      <c r="C630" t="s">
        <v>408</v>
      </c>
      <c r="D630">
        <v>2011</v>
      </c>
      <c r="E630" s="6" t="s">
        <v>1117</v>
      </c>
      <c r="F630" s="8" t="s">
        <v>1118</v>
      </c>
      <c r="G630" s="1" t="s">
        <v>1131</v>
      </c>
      <c r="I630" s="25" t="s">
        <v>819</v>
      </c>
    </row>
    <row r="631" spans="1:9" ht="14.4" x14ac:dyDescent="0.3">
      <c r="A631" t="s">
        <v>409</v>
      </c>
      <c r="B631" t="s">
        <v>603</v>
      </c>
      <c r="C631" t="s">
        <v>408</v>
      </c>
      <c r="D631">
        <v>2012</v>
      </c>
      <c r="E631" s="6" t="s">
        <v>1117</v>
      </c>
      <c r="F631" s="8" t="s">
        <v>1118</v>
      </c>
      <c r="G631" s="1" t="s">
        <v>1132</v>
      </c>
      <c r="I631" s="25" t="s">
        <v>819</v>
      </c>
    </row>
    <row r="632" spans="1:9" ht="14.4" x14ac:dyDescent="0.3">
      <c r="A632" t="s">
        <v>409</v>
      </c>
      <c r="B632" t="s">
        <v>603</v>
      </c>
      <c r="C632" t="s">
        <v>408</v>
      </c>
      <c r="D632">
        <v>2013</v>
      </c>
      <c r="E632" s="6" t="s">
        <v>1117</v>
      </c>
      <c r="F632" s="8" t="s">
        <v>1118</v>
      </c>
      <c r="G632" s="1" t="s">
        <v>1133</v>
      </c>
      <c r="H632" t="s">
        <v>632</v>
      </c>
      <c r="I632" s="25" t="s">
        <v>819</v>
      </c>
    </row>
    <row r="633" spans="1:9" ht="14.4" x14ac:dyDescent="0.3">
      <c r="A633" t="s">
        <v>409</v>
      </c>
      <c r="B633" t="s">
        <v>603</v>
      </c>
      <c r="C633" t="s">
        <v>408</v>
      </c>
      <c r="D633">
        <v>2014</v>
      </c>
      <c r="E633" s="6" t="s">
        <v>1117</v>
      </c>
      <c r="F633" s="8" t="s">
        <v>1118</v>
      </c>
      <c r="G633" s="1" t="s">
        <v>1133</v>
      </c>
      <c r="I633" s="25" t="s">
        <v>819</v>
      </c>
    </row>
    <row r="634" spans="1:9" ht="14.4" x14ac:dyDescent="0.3">
      <c r="A634" t="s">
        <v>409</v>
      </c>
      <c r="B634" t="s">
        <v>603</v>
      </c>
      <c r="C634" t="s">
        <v>408</v>
      </c>
      <c r="D634">
        <v>2015</v>
      </c>
      <c r="E634" s="6" t="s">
        <v>1117</v>
      </c>
      <c r="F634" s="8" t="s">
        <v>1118</v>
      </c>
      <c r="G634" s="1" t="s">
        <v>1134</v>
      </c>
      <c r="I634" s="25" t="s">
        <v>819</v>
      </c>
    </row>
    <row r="635" spans="1:9" ht="14.4" x14ac:dyDescent="0.3">
      <c r="A635" t="s">
        <v>409</v>
      </c>
      <c r="B635" t="s">
        <v>603</v>
      </c>
      <c r="C635" t="s">
        <v>408</v>
      </c>
      <c r="D635">
        <v>2016</v>
      </c>
      <c r="E635" s="6" t="s">
        <v>1117</v>
      </c>
      <c r="F635" s="8" t="s">
        <v>1118</v>
      </c>
      <c r="G635" s="1" t="s">
        <v>1135</v>
      </c>
      <c r="I635" s="25" t="s">
        <v>819</v>
      </c>
    </row>
    <row r="636" spans="1:9" ht="14.4" x14ac:dyDescent="0.3">
      <c r="A636" t="s">
        <v>409</v>
      </c>
      <c r="B636" t="s">
        <v>603</v>
      </c>
      <c r="C636" t="s">
        <v>408</v>
      </c>
      <c r="D636">
        <v>2017</v>
      </c>
      <c r="E636" s="6" t="s">
        <v>1117</v>
      </c>
      <c r="F636" s="8" t="s">
        <v>1118</v>
      </c>
      <c r="G636" s="1" t="s">
        <v>1136</v>
      </c>
      <c r="I636" s="25" t="s">
        <v>819</v>
      </c>
    </row>
    <row r="637" spans="1:9" ht="14.4" x14ac:dyDescent="0.3">
      <c r="A637" t="s">
        <v>409</v>
      </c>
      <c r="B637" t="s">
        <v>603</v>
      </c>
      <c r="C637" t="s">
        <v>408</v>
      </c>
      <c r="D637">
        <v>2018</v>
      </c>
      <c r="E637" s="6" t="s">
        <v>1117</v>
      </c>
      <c r="F637" s="8" t="s">
        <v>1118</v>
      </c>
      <c r="G637" s="1" t="s">
        <v>1137</v>
      </c>
      <c r="I637" s="25" t="s">
        <v>819</v>
      </c>
    </row>
    <row r="638" spans="1:9" ht="14.4" x14ac:dyDescent="0.3">
      <c r="A638" t="s">
        <v>409</v>
      </c>
      <c r="B638" t="s">
        <v>603</v>
      </c>
      <c r="C638" t="s">
        <v>408</v>
      </c>
      <c r="D638">
        <v>2019</v>
      </c>
      <c r="E638" s="6" t="s">
        <v>1117</v>
      </c>
      <c r="F638" s="8" t="s">
        <v>1118</v>
      </c>
      <c r="G638" s="1" t="s">
        <v>1138</v>
      </c>
      <c r="I638" s="25" t="s">
        <v>819</v>
      </c>
    </row>
    <row r="639" spans="1:9" ht="14.4" x14ac:dyDescent="0.3">
      <c r="A639" t="s">
        <v>409</v>
      </c>
      <c r="B639" t="s">
        <v>603</v>
      </c>
      <c r="C639" t="s">
        <v>408</v>
      </c>
      <c r="D639">
        <v>2020</v>
      </c>
      <c r="E639" s="6" t="s">
        <v>1117</v>
      </c>
      <c r="F639" s="8" t="s">
        <v>1118</v>
      </c>
      <c r="G639" s="1" t="s">
        <v>1139</v>
      </c>
      <c r="I639" s="25" t="s">
        <v>819</v>
      </c>
    </row>
    <row r="640" spans="1:9" ht="14.4" x14ac:dyDescent="0.3">
      <c r="A640" t="s">
        <v>409</v>
      </c>
      <c r="B640" t="s">
        <v>603</v>
      </c>
      <c r="C640" t="s">
        <v>408</v>
      </c>
      <c r="D640">
        <v>2021</v>
      </c>
      <c r="E640" s="6" t="s">
        <v>1117</v>
      </c>
      <c r="F640" s="8" t="s">
        <v>1118</v>
      </c>
      <c r="G640" s="1" t="s">
        <v>1140</v>
      </c>
      <c r="I640" s="25" t="s">
        <v>819</v>
      </c>
    </row>
    <row r="641" spans="1:9" ht="14.4" x14ac:dyDescent="0.3">
      <c r="A641" t="s">
        <v>409</v>
      </c>
      <c r="B641" t="s">
        <v>603</v>
      </c>
      <c r="C641" t="s">
        <v>408</v>
      </c>
      <c r="D641">
        <v>2022</v>
      </c>
      <c r="E641" s="6" t="s">
        <v>1117</v>
      </c>
      <c r="F641" s="8" t="s">
        <v>1118</v>
      </c>
      <c r="G641" s="1" t="s">
        <v>1141</v>
      </c>
      <c r="I641" s="25" t="s">
        <v>819</v>
      </c>
    </row>
    <row r="642" spans="1:9" ht="14.4" x14ac:dyDescent="0.3">
      <c r="A642" t="s">
        <v>409</v>
      </c>
      <c r="B642" t="s">
        <v>603</v>
      </c>
      <c r="C642" t="s">
        <v>408</v>
      </c>
      <c r="D642">
        <v>2023</v>
      </c>
      <c r="E642" s="6" t="s">
        <v>1117</v>
      </c>
      <c r="F642" s="8" t="s">
        <v>1118</v>
      </c>
      <c r="G642" s="1" t="s">
        <v>1142</v>
      </c>
      <c r="I642" s="25" t="s">
        <v>819</v>
      </c>
    </row>
    <row r="643" spans="1:9" ht="14.4" x14ac:dyDescent="0.3">
      <c r="A643" t="s">
        <v>409</v>
      </c>
      <c r="B643" t="s">
        <v>603</v>
      </c>
      <c r="C643" t="s">
        <v>408</v>
      </c>
      <c r="D643">
        <v>2024</v>
      </c>
      <c r="E643" s="6" t="s">
        <v>1117</v>
      </c>
      <c r="F643" s="8" t="s">
        <v>1118</v>
      </c>
      <c r="G643" s="1" t="s">
        <v>1143</v>
      </c>
      <c r="I643" s="25" t="s">
        <v>819</v>
      </c>
    </row>
    <row r="644" spans="1:9" ht="14.4" x14ac:dyDescent="0.3">
      <c r="A644" t="s">
        <v>396</v>
      </c>
      <c r="B644" t="s">
        <v>604</v>
      </c>
      <c r="C644" t="s">
        <v>395</v>
      </c>
      <c r="D644">
        <v>2016</v>
      </c>
      <c r="E644" s="6" t="s">
        <v>1144</v>
      </c>
      <c r="F644" s="8" t="s">
        <v>1145</v>
      </c>
      <c r="G644" s="8" t="s">
        <v>1146</v>
      </c>
      <c r="H644" t="s">
        <v>778</v>
      </c>
      <c r="I644" s="25" t="s">
        <v>736</v>
      </c>
    </row>
    <row r="645" spans="1:9" ht="14.4" x14ac:dyDescent="0.3">
      <c r="A645" t="s">
        <v>396</v>
      </c>
      <c r="B645" t="s">
        <v>604</v>
      </c>
      <c r="C645" t="s">
        <v>395</v>
      </c>
      <c r="D645">
        <v>2017</v>
      </c>
      <c r="E645" s="6" t="s">
        <v>1144</v>
      </c>
      <c r="F645" s="8" t="s">
        <v>1145</v>
      </c>
      <c r="G645" s="8" t="s">
        <v>1147</v>
      </c>
      <c r="H645" t="s">
        <v>1148</v>
      </c>
      <c r="I645" s="25" t="s">
        <v>736</v>
      </c>
    </row>
    <row r="646" spans="1:9" ht="14.4" x14ac:dyDescent="0.3">
      <c r="A646" t="s">
        <v>396</v>
      </c>
      <c r="B646" t="s">
        <v>604</v>
      </c>
      <c r="C646" t="s">
        <v>395</v>
      </c>
      <c r="D646">
        <v>2018</v>
      </c>
      <c r="E646" s="6" t="s">
        <v>1144</v>
      </c>
      <c r="F646" s="8" t="s">
        <v>1145</v>
      </c>
      <c r="G646" s="8" t="s">
        <v>1149</v>
      </c>
      <c r="H646" t="s">
        <v>1148</v>
      </c>
      <c r="I646" s="25" t="s">
        <v>736</v>
      </c>
    </row>
    <row r="647" spans="1:9" ht="14.4" x14ac:dyDescent="0.3">
      <c r="A647" t="s">
        <v>396</v>
      </c>
      <c r="B647" t="s">
        <v>604</v>
      </c>
      <c r="C647" t="s">
        <v>395</v>
      </c>
      <c r="D647">
        <v>2019</v>
      </c>
      <c r="E647" s="6" t="s">
        <v>1144</v>
      </c>
      <c r="F647" s="8" t="s">
        <v>1145</v>
      </c>
      <c r="G647" s="8" t="s">
        <v>1150</v>
      </c>
      <c r="H647" t="s">
        <v>1148</v>
      </c>
      <c r="I647" s="25" t="s">
        <v>736</v>
      </c>
    </row>
    <row r="648" spans="1:9" ht="14.4" x14ac:dyDescent="0.3">
      <c r="A648" t="s">
        <v>396</v>
      </c>
      <c r="B648" t="s">
        <v>604</v>
      </c>
      <c r="C648" t="s">
        <v>395</v>
      </c>
      <c r="D648">
        <v>2020</v>
      </c>
      <c r="E648" s="6" t="s">
        <v>1144</v>
      </c>
      <c r="F648" s="8" t="s">
        <v>1145</v>
      </c>
      <c r="G648" s="8" t="s">
        <v>1151</v>
      </c>
      <c r="H648" t="s">
        <v>1148</v>
      </c>
      <c r="I648" s="25" t="s">
        <v>736</v>
      </c>
    </row>
    <row r="649" spans="1:9" ht="14.4" x14ac:dyDescent="0.3">
      <c r="A649" t="s">
        <v>396</v>
      </c>
      <c r="B649" t="s">
        <v>604</v>
      </c>
      <c r="C649" t="s">
        <v>395</v>
      </c>
      <c r="D649">
        <v>2021</v>
      </c>
      <c r="E649" s="6" t="s">
        <v>1144</v>
      </c>
      <c r="F649" s="8" t="s">
        <v>1145</v>
      </c>
      <c r="G649" s="8" t="s">
        <v>1152</v>
      </c>
      <c r="H649" t="s">
        <v>1148</v>
      </c>
      <c r="I649" s="25" t="s">
        <v>736</v>
      </c>
    </row>
    <row r="650" spans="1:9" ht="14.4" x14ac:dyDescent="0.3">
      <c r="A650" t="s">
        <v>396</v>
      </c>
      <c r="B650" t="s">
        <v>604</v>
      </c>
      <c r="C650" t="s">
        <v>395</v>
      </c>
      <c r="D650">
        <v>2022</v>
      </c>
      <c r="E650" s="6" t="s">
        <v>1144</v>
      </c>
      <c r="F650" s="8" t="s">
        <v>1145</v>
      </c>
      <c r="G650" s="8" t="s">
        <v>1153</v>
      </c>
      <c r="H650" t="s">
        <v>1148</v>
      </c>
      <c r="I650" s="25" t="s">
        <v>736</v>
      </c>
    </row>
    <row r="651" spans="1:9" ht="14.4" x14ac:dyDescent="0.3">
      <c r="A651" t="s">
        <v>396</v>
      </c>
      <c r="B651" t="s">
        <v>604</v>
      </c>
      <c r="C651" t="s">
        <v>395</v>
      </c>
      <c r="D651">
        <v>2023</v>
      </c>
      <c r="E651" s="6" t="s">
        <v>1144</v>
      </c>
      <c r="F651" s="8" t="s">
        <v>1145</v>
      </c>
      <c r="G651" s="8" t="s">
        <v>1154</v>
      </c>
      <c r="H651" t="s">
        <v>1148</v>
      </c>
      <c r="I651" s="25" t="s">
        <v>736</v>
      </c>
    </row>
    <row r="652" spans="1:9" ht="14.4" x14ac:dyDescent="0.3">
      <c r="A652" t="s">
        <v>396</v>
      </c>
      <c r="B652" t="s">
        <v>604</v>
      </c>
      <c r="C652" t="s">
        <v>395</v>
      </c>
      <c r="D652">
        <v>2024</v>
      </c>
      <c r="E652" s="6" t="s">
        <v>1144</v>
      </c>
      <c r="F652" s="8" t="s">
        <v>1145</v>
      </c>
      <c r="G652" s="8" t="s">
        <v>1155</v>
      </c>
      <c r="H652" t="s">
        <v>1148</v>
      </c>
      <c r="I652" s="25" t="s">
        <v>736</v>
      </c>
    </row>
    <row r="653" spans="1:9" ht="14.4" x14ac:dyDescent="0.3">
      <c r="A653" t="s">
        <v>401</v>
      </c>
      <c r="B653" t="s">
        <v>605</v>
      </c>
      <c r="C653" t="s">
        <v>400</v>
      </c>
      <c r="D653">
        <v>2002</v>
      </c>
      <c r="E653" s="6" t="s">
        <v>1156</v>
      </c>
      <c r="F653" s="8" t="s">
        <v>1157</v>
      </c>
      <c r="G653" s="8" t="s">
        <v>1158</v>
      </c>
      <c r="H653" t="s">
        <v>1159</v>
      </c>
      <c r="I653" s="25" t="s">
        <v>780</v>
      </c>
    </row>
    <row r="654" spans="1:9" ht="14.4" x14ac:dyDescent="0.3">
      <c r="A654" t="s">
        <v>401</v>
      </c>
      <c r="B654" t="s">
        <v>605</v>
      </c>
      <c r="C654" t="s">
        <v>400</v>
      </c>
      <c r="D654">
        <v>2003</v>
      </c>
      <c r="E654" s="6" t="s">
        <v>1156</v>
      </c>
      <c r="F654" s="8" t="s">
        <v>1157</v>
      </c>
      <c r="G654" s="8" t="s">
        <v>1158</v>
      </c>
      <c r="H654" t="s">
        <v>1159</v>
      </c>
      <c r="I654" s="25" t="s">
        <v>780</v>
      </c>
    </row>
    <row r="655" spans="1:9" ht="14.4" x14ac:dyDescent="0.3">
      <c r="A655" t="s">
        <v>401</v>
      </c>
      <c r="B655" t="s">
        <v>605</v>
      </c>
      <c r="C655" t="s">
        <v>400</v>
      </c>
      <c r="D655">
        <v>2004</v>
      </c>
      <c r="E655" s="6" t="s">
        <v>1156</v>
      </c>
      <c r="F655" s="8" t="s">
        <v>1157</v>
      </c>
      <c r="G655" s="17" t="s">
        <v>1160</v>
      </c>
      <c r="I655" s="25" t="s">
        <v>780</v>
      </c>
    </row>
    <row r="656" spans="1:9" ht="14.4" x14ac:dyDescent="0.3">
      <c r="A656" t="s">
        <v>401</v>
      </c>
      <c r="B656" t="s">
        <v>605</v>
      </c>
      <c r="C656" t="s">
        <v>400</v>
      </c>
      <c r="D656">
        <v>2005</v>
      </c>
      <c r="E656" s="6" t="s">
        <v>1156</v>
      </c>
      <c r="F656" s="8" t="s">
        <v>1157</v>
      </c>
      <c r="G656" s="7" t="s">
        <v>1160</v>
      </c>
      <c r="I656" s="25" t="s">
        <v>780</v>
      </c>
    </row>
    <row r="657" spans="1:9" ht="14.4" x14ac:dyDescent="0.3">
      <c r="A657" t="s">
        <v>401</v>
      </c>
      <c r="B657" t="s">
        <v>605</v>
      </c>
      <c r="C657" t="s">
        <v>400</v>
      </c>
      <c r="D657">
        <v>2006</v>
      </c>
      <c r="E657" s="6" t="s">
        <v>1156</v>
      </c>
      <c r="F657" s="8" t="s">
        <v>1157</v>
      </c>
      <c r="G657" s="17" t="s">
        <v>1161</v>
      </c>
      <c r="I657" s="25" t="s">
        <v>780</v>
      </c>
    </row>
    <row r="658" spans="1:9" ht="14.4" x14ac:dyDescent="0.3">
      <c r="A658" t="s">
        <v>401</v>
      </c>
      <c r="B658" t="s">
        <v>605</v>
      </c>
      <c r="C658" t="s">
        <v>400</v>
      </c>
      <c r="D658">
        <v>2007</v>
      </c>
      <c r="E658" s="6" t="s">
        <v>1156</v>
      </c>
      <c r="F658" s="8" t="s">
        <v>1157</v>
      </c>
      <c r="G658" s="7" t="s">
        <v>1162</v>
      </c>
      <c r="I658" s="25" t="s">
        <v>780</v>
      </c>
    </row>
    <row r="659" spans="1:9" ht="14.4" x14ac:dyDescent="0.3">
      <c r="A659" t="s">
        <v>401</v>
      </c>
      <c r="B659" t="s">
        <v>605</v>
      </c>
      <c r="C659" t="s">
        <v>400</v>
      </c>
      <c r="D659">
        <v>2008</v>
      </c>
      <c r="E659" s="6" t="s">
        <v>1156</v>
      </c>
      <c r="F659" s="8" t="s">
        <v>1157</v>
      </c>
      <c r="G659" s="7" t="s">
        <v>1163</v>
      </c>
      <c r="I659" s="25" t="s">
        <v>780</v>
      </c>
    </row>
    <row r="660" spans="1:9" ht="14.4" x14ac:dyDescent="0.3">
      <c r="A660" t="s">
        <v>401</v>
      </c>
      <c r="B660" t="s">
        <v>605</v>
      </c>
      <c r="C660" t="s">
        <v>400</v>
      </c>
      <c r="D660">
        <v>2009</v>
      </c>
      <c r="E660" s="6" t="s">
        <v>1156</v>
      </c>
      <c r="F660" s="8" t="s">
        <v>1157</v>
      </c>
      <c r="G660" s="17" t="s">
        <v>1164</v>
      </c>
      <c r="I660" s="25" t="s">
        <v>780</v>
      </c>
    </row>
    <row r="661" spans="1:9" ht="14.4" x14ac:dyDescent="0.3">
      <c r="A661" t="s">
        <v>401</v>
      </c>
      <c r="B661" t="s">
        <v>605</v>
      </c>
      <c r="C661" t="s">
        <v>400</v>
      </c>
      <c r="D661">
        <v>2010</v>
      </c>
      <c r="E661" s="6" t="s">
        <v>1156</v>
      </c>
      <c r="F661" s="8" t="s">
        <v>1157</v>
      </c>
      <c r="G661" s="7" t="s">
        <v>1165</v>
      </c>
      <c r="I661" s="25" t="s">
        <v>780</v>
      </c>
    </row>
    <row r="662" spans="1:9" ht="14.4" x14ac:dyDescent="0.3">
      <c r="A662" t="s">
        <v>401</v>
      </c>
      <c r="B662" t="s">
        <v>605</v>
      </c>
      <c r="C662" t="s">
        <v>400</v>
      </c>
      <c r="D662">
        <v>2011</v>
      </c>
      <c r="E662" s="6" t="s">
        <v>1156</v>
      </c>
      <c r="F662" s="8" t="s">
        <v>1157</v>
      </c>
      <c r="G662" s="7" t="s">
        <v>1166</v>
      </c>
      <c r="I662" s="25" t="s">
        <v>780</v>
      </c>
    </row>
    <row r="663" spans="1:9" ht="14.4" x14ac:dyDescent="0.3">
      <c r="A663" t="s">
        <v>401</v>
      </c>
      <c r="B663" t="s">
        <v>605</v>
      </c>
      <c r="C663" t="s">
        <v>400</v>
      </c>
      <c r="D663">
        <v>2012</v>
      </c>
      <c r="E663" s="6" t="s">
        <v>1156</v>
      </c>
      <c r="F663" s="8" t="s">
        <v>1157</v>
      </c>
      <c r="G663" s="7" t="s">
        <v>1167</v>
      </c>
      <c r="H663" s="7" t="s">
        <v>1168</v>
      </c>
      <c r="I663" s="25" t="s">
        <v>780</v>
      </c>
    </row>
    <row r="664" spans="1:9" ht="14.4" x14ac:dyDescent="0.3">
      <c r="A664" t="s">
        <v>401</v>
      </c>
      <c r="B664" t="s">
        <v>605</v>
      </c>
      <c r="C664" t="s">
        <v>400</v>
      </c>
      <c r="D664">
        <v>2013</v>
      </c>
      <c r="E664" s="6" t="s">
        <v>1156</v>
      </c>
      <c r="F664" s="8" t="s">
        <v>1157</v>
      </c>
      <c r="G664" s="7" t="s">
        <v>1169</v>
      </c>
      <c r="H664" s="7" t="s">
        <v>1170</v>
      </c>
      <c r="I664" s="25" t="s">
        <v>780</v>
      </c>
    </row>
    <row r="665" spans="1:9" ht="14.4" x14ac:dyDescent="0.3">
      <c r="A665" t="s">
        <v>401</v>
      </c>
      <c r="B665" t="s">
        <v>605</v>
      </c>
      <c r="C665" t="s">
        <v>400</v>
      </c>
      <c r="D665">
        <v>2014</v>
      </c>
      <c r="E665" s="6" t="s">
        <v>1156</v>
      </c>
      <c r="F665" s="8" t="s">
        <v>1157</v>
      </c>
      <c r="G665" s="7" t="s">
        <v>1171</v>
      </c>
      <c r="I665" s="25" t="s">
        <v>780</v>
      </c>
    </row>
    <row r="666" spans="1:9" ht="14.4" x14ac:dyDescent="0.3">
      <c r="A666" t="s">
        <v>401</v>
      </c>
      <c r="B666" t="s">
        <v>605</v>
      </c>
      <c r="C666" t="s">
        <v>400</v>
      </c>
      <c r="D666">
        <v>2015</v>
      </c>
      <c r="E666" s="6" t="s">
        <v>1156</v>
      </c>
      <c r="F666" s="8" t="s">
        <v>1157</v>
      </c>
      <c r="G666" s="7" t="s">
        <v>1172</v>
      </c>
      <c r="I666" s="25" t="s">
        <v>780</v>
      </c>
    </row>
    <row r="667" spans="1:9" ht="14.4" x14ac:dyDescent="0.3">
      <c r="A667" t="s">
        <v>401</v>
      </c>
      <c r="B667" t="s">
        <v>605</v>
      </c>
      <c r="C667" t="s">
        <v>400</v>
      </c>
      <c r="D667">
        <v>2016</v>
      </c>
      <c r="E667" s="6" t="s">
        <v>1156</v>
      </c>
      <c r="F667" s="8" t="s">
        <v>1157</v>
      </c>
      <c r="G667" s="7" t="s">
        <v>1173</v>
      </c>
      <c r="I667" s="25" t="s">
        <v>780</v>
      </c>
    </row>
    <row r="668" spans="1:9" ht="14.4" x14ac:dyDescent="0.3">
      <c r="A668" t="s">
        <v>401</v>
      </c>
      <c r="B668" t="s">
        <v>605</v>
      </c>
      <c r="C668" t="s">
        <v>400</v>
      </c>
      <c r="D668">
        <v>2017</v>
      </c>
      <c r="E668" s="6" t="s">
        <v>1156</v>
      </c>
      <c r="F668" s="8" t="s">
        <v>1157</v>
      </c>
      <c r="G668" s="7" t="s">
        <v>1174</v>
      </c>
      <c r="I668" s="25" t="s">
        <v>780</v>
      </c>
    </row>
    <row r="669" spans="1:9" ht="14.4" x14ac:dyDescent="0.3">
      <c r="A669" t="s">
        <v>401</v>
      </c>
      <c r="B669" t="s">
        <v>605</v>
      </c>
      <c r="C669" t="s">
        <v>400</v>
      </c>
      <c r="D669">
        <v>2018</v>
      </c>
      <c r="E669" s="6" t="s">
        <v>1156</v>
      </c>
      <c r="F669" s="8" t="s">
        <v>1157</v>
      </c>
      <c r="G669" s="7" t="s">
        <v>1175</v>
      </c>
      <c r="I669" s="25" t="s">
        <v>780</v>
      </c>
    </row>
    <row r="670" spans="1:9" ht="14.4" x14ac:dyDescent="0.3">
      <c r="A670" t="s">
        <v>401</v>
      </c>
      <c r="B670" t="s">
        <v>605</v>
      </c>
      <c r="C670" t="s">
        <v>400</v>
      </c>
      <c r="D670">
        <v>2019</v>
      </c>
      <c r="E670" s="6" t="s">
        <v>1156</v>
      </c>
      <c r="F670" s="8" t="s">
        <v>1157</v>
      </c>
      <c r="G670" s="7" t="s">
        <v>1176</v>
      </c>
      <c r="I670" s="25" t="s">
        <v>780</v>
      </c>
    </row>
    <row r="671" spans="1:9" ht="14.4" x14ac:dyDescent="0.3">
      <c r="A671" t="s">
        <v>401</v>
      </c>
      <c r="B671" t="s">
        <v>605</v>
      </c>
      <c r="C671" t="s">
        <v>400</v>
      </c>
      <c r="D671">
        <v>2020</v>
      </c>
      <c r="E671" s="6" t="s">
        <v>1156</v>
      </c>
      <c r="F671" s="8" t="s">
        <v>1157</v>
      </c>
      <c r="G671" s="7" t="s">
        <v>1177</v>
      </c>
      <c r="I671" s="25" t="s">
        <v>780</v>
      </c>
    </row>
    <row r="672" spans="1:9" ht="14.4" x14ac:dyDescent="0.3">
      <c r="A672" t="s">
        <v>401</v>
      </c>
      <c r="B672" t="s">
        <v>605</v>
      </c>
      <c r="C672" t="s">
        <v>400</v>
      </c>
      <c r="D672">
        <v>2021</v>
      </c>
      <c r="E672" s="6" t="s">
        <v>1156</v>
      </c>
      <c r="F672" s="8" t="s">
        <v>1157</v>
      </c>
      <c r="G672" s="7" t="s">
        <v>1178</v>
      </c>
      <c r="I672" s="25" t="s">
        <v>780</v>
      </c>
    </row>
    <row r="673" spans="1:9" ht="16.95" customHeight="1" x14ac:dyDescent="0.3">
      <c r="A673" t="s">
        <v>401</v>
      </c>
      <c r="B673" t="s">
        <v>605</v>
      </c>
      <c r="C673" t="s">
        <v>400</v>
      </c>
      <c r="D673">
        <v>2022</v>
      </c>
      <c r="E673" s="6" t="s">
        <v>1156</v>
      </c>
      <c r="F673" s="8" t="s">
        <v>1157</v>
      </c>
      <c r="G673" s="17" t="s">
        <v>1179</v>
      </c>
      <c r="I673" s="25" t="s">
        <v>780</v>
      </c>
    </row>
    <row r="674" spans="1:9" ht="14.4" x14ac:dyDescent="0.3">
      <c r="A674" t="s">
        <v>401</v>
      </c>
      <c r="B674" t="s">
        <v>605</v>
      </c>
      <c r="C674" t="s">
        <v>400</v>
      </c>
      <c r="D674">
        <v>2023</v>
      </c>
      <c r="E674" s="6" t="s">
        <v>1156</v>
      </c>
      <c r="F674" s="8" t="s">
        <v>1157</v>
      </c>
      <c r="G674" s="7" t="s">
        <v>1180</v>
      </c>
      <c r="I674" s="25" t="s">
        <v>780</v>
      </c>
    </row>
    <row r="675" spans="1:9" ht="14.4" x14ac:dyDescent="0.3">
      <c r="A675" t="s">
        <v>401</v>
      </c>
      <c r="B675" t="s">
        <v>605</v>
      </c>
      <c r="C675" t="s">
        <v>400</v>
      </c>
      <c r="D675">
        <v>2024</v>
      </c>
      <c r="E675" s="6" t="s">
        <v>1156</v>
      </c>
      <c r="F675" s="8" t="s">
        <v>1157</v>
      </c>
      <c r="G675" s="17" t="s">
        <v>1181</v>
      </c>
      <c r="I675" s="25" t="s">
        <v>780</v>
      </c>
    </row>
    <row r="676" spans="1:9" ht="14.4" x14ac:dyDescent="0.3">
      <c r="A676" t="s">
        <v>405</v>
      </c>
      <c r="B676" t="s">
        <v>606</v>
      </c>
      <c r="C676" t="s">
        <v>404</v>
      </c>
      <c r="D676">
        <v>2012</v>
      </c>
      <c r="E676" t="s">
        <v>404</v>
      </c>
      <c r="F676" s="1" t="s">
        <v>1182</v>
      </c>
      <c r="G676" s="1" t="s">
        <v>1183</v>
      </c>
      <c r="H676" t="s">
        <v>1184</v>
      </c>
      <c r="I676" s="20">
        <v>45669</v>
      </c>
    </row>
    <row r="677" spans="1:9" ht="14.4" x14ac:dyDescent="0.3">
      <c r="A677" t="s">
        <v>405</v>
      </c>
      <c r="B677" t="s">
        <v>606</v>
      </c>
      <c r="C677" t="s">
        <v>404</v>
      </c>
      <c r="D677">
        <v>2013</v>
      </c>
      <c r="E677" t="s">
        <v>404</v>
      </c>
      <c r="F677" s="1" t="s">
        <v>1182</v>
      </c>
      <c r="G677" s="1" t="s">
        <v>1185</v>
      </c>
      <c r="H677" t="s">
        <v>1186</v>
      </c>
      <c r="I677" s="20">
        <v>45669</v>
      </c>
    </row>
    <row r="678" spans="1:9" ht="14.4" x14ac:dyDescent="0.3">
      <c r="A678" t="s">
        <v>405</v>
      </c>
      <c r="B678" t="s">
        <v>606</v>
      </c>
      <c r="C678" t="s">
        <v>404</v>
      </c>
      <c r="D678">
        <v>2014</v>
      </c>
      <c r="E678" t="s">
        <v>404</v>
      </c>
      <c r="F678" s="1" t="s">
        <v>1182</v>
      </c>
      <c r="G678" t="s">
        <v>1187</v>
      </c>
      <c r="I678" s="20">
        <v>45669</v>
      </c>
    </row>
    <row r="679" spans="1:9" ht="14.4" x14ac:dyDescent="0.3">
      <c r="A679" t="s">
        <v>405</v>
      </c>
      <c r="B679" t="s">
        <v>606</v>
      </c>
      <c r="C679" t="s">
        <v>404</v>
      </c>
      <c r="D679">
        <v>2015</v>
      </c>
      <c r="E679" t="s">
        <v>404</v>
      </c>
      <c r="F679" s="1" t="s">
        <v>1182</v>
      </c>
      <c r="G679" t="s">
        <v>1188</v>
      </c>
      <c r="I679" s="20">
        <v>45669</v>
      </c>
    </row>
    <row r="680" spans="1:9" ht="14.4" x14ac:dyDescent="0.3">
      <c r="A680" t="s">
        <v>405</v>
      </c>
      <c r="B680" t="s">
        <v>606</v>
      </c>
      <c r="C680" t="s">
        <v>404</v>
      </c>
      <c r="D680">
        <v>2016</v>
      </c>
      <c r="E680" t="s">
        <v>404</v>
      </c>
      <c r="F680" s="1" t="s">
        <v>1182</v>
      </c>
      <c r="G680" t="s">
        <v>1189</v>
      </c>
      <c r="I680" s="20">
        <v>45669</v>
      </c>
    </row>
    <row r="681" spans="1:9" ht="14.4" x14ac:dyDescent="0.3">
      <c r="A681" t="s">
        <v>405</v>
      </c>
      <c r="B681" t="s">
        <v>606</v>
      </c>
      <c r="C681" t="s">
        <v>404</v>
      </c>
      <c r="D681">
        <v>2017</v>
      </c>
      <c r="E681" t="s">
        <v>404</v>
      </c>
      <c r="F681" s="1" t="s">
        <v>1182</v>
      </c>
      <c r="G681" t="s">
        <v>1190</v>
      </c>
      <c r="I681" s="20">
        <v>45669</v>
      </c>
    </row>
    <row r="682" spans="1:9" ht="14.4" x14ac:dyDescent="0.3">
      <c r="A682" t="s">
        <v>405</v>
      </c>
      <c r="B682" t="s">
        <v>606</v>
      </c>
      <c r="C682" t="s">
        <v>404</v>
      </c>
      <c r="D682">
        <v>2018</v>
      </c>
      <c r="E682" t="s">
        <v>404</v>
      </c>
      <c r="F682" s="1" t="s">
        <v>1182</v>
      </c>
      <c r="G682" t="s">
        <v>1191</v>
      </c>
      <c r="I682" s="20">
        <v>45669</v>
      </c>
    </row>
    <row r="683" spans="1:9" ht="14.4" x14ac:dyDescent="0.3">
      <c r="A683" t="s">
        <v>405</v>
      </c>
      <c r="B683" t="s">
        <v>606</v>
      </c>
      <c r="C683" t="s">
        <v>404</v>
      </c>
      <c r="D683">
        <v>2019</v>
      </c>
      <c r="E683" t="s">
        <v>404</v>
      </c>
      <c r="F683" s="1" t="s">
        <v>1182</v>
      </c>
      <c r="G683" t="s">
        <v>1192</v>
      </c>
      <c r="I683" s="20">
        <v>45669</v>
      </c>
    </row>
    <row r="684" spans="1:9" ht="14.4" x14ac:dyDescent="0.3">
      <c r="A684" t="s">
        <v>405</v>
      </c>
      <c r="B684" t="s">
        <v>606</v>
      </c>
      <c r="C684" t="s">
        <v>404</v>
      </c>
      <c r="D684">
        <v>2020</v>
      </c>
      <c r="E684" t="s">
        <v>404</v>
      </c>
      <c r="F684" s="1" t="s">
        <v>1182</v>
      </c>
      <c r="G684" t="s">
        <v>1193</v>
      </c>
      <c r="I684" s="20">
        <v>45669</v>
      </c>
    </row>
    <row r="685" spans="1:9" ht="14.4" x14ac:dyDescent="0.3">
      <c r="A685" t="s">
        <v>405</v>
      </c>
      <c r="B685" t="s">
        <v>606</v>
      </c>
      <c r="C685" t="s">
        <v>404</v>
      </c>
      <c r="D685">
        <v>2021</v>
      </c>
      <c r="E685" t="s">
        <v>404</v>
      </c>
      <c r="F685" s="1" t="s">
        <v>1182</v>
      </c>
      <c r="G685" t="s">
        <v>1194</v>
      </c>
      <c r="I685" s="20">
        <v>45669</v>
      </c>
    </row>
    <row r="686" spans="1:9" ht="14.4" x14ac:dyDescent="0.3">
      <c r="A686" t="s">
        <v>405</v>
      </c>
      <c r="B686" t="s">
        <v>606</v>
      </c>
      <c r="C686" t="s">
        <v>404</v>
      </c>
      <c r="D686">
        <v>2022</v>
      </c>
      <c r="E686" t="s">
        <v>404</v>
      </c>
      <c r="F686" s="1" t="s">
        <v>1182</v>
      </c>
      <c r="G686" t="s">
        <v>1195</v>
      </c>
      <c r="I686" s="20">
        <v>45669</v>
      </c>
    </row>
    <row r="687" spans="1:9" ht="14.4" x14ac:dyDescent="0.3">
      <c r="A687" t="s">
        <v>405</v>
      </c>
      <c r="B687" t="s">
        <v>606</v>
      </c>
      <c r="C687" t="s">
        <v>404</v>
      </c>
      <c r="D687">
        <v>2023</v>
      </c>
      <c r="E687" t="s">
        <v>404</v>
      </c>
      <c r="F687" s="1" t="s">
        <v>1182</v>
      </c>
      <c r="G687" t="s">
        <v>1196</v>
      </c>
      <c r="I687" s="20">
        <v>45669</v>
      </c>
    </row>
    <row r="688" spans="1:9" ht="14.4" x14ac:dyDescent="0.3">
      <c r="A688" t="s">
        <v>426</v>
      </c>
      <c r="B688" t="s">
        <v>607</v>
      </c>
      <c r="C688" t="s">
        <v>425</v>
      </c>
      <c r="D688">
        <v>2013</v>
      </c>
      <c r="E688" s="6" t="s">
        <v>1197</v>
      </c>
      <c r="F688" s="8" t="s">
        <v>1198</v>
      </c>
      <c r="G688" s="8" t="s">
        <v>1199</v>
      </c>
      <c r="I688" s="25" t="s">
        <v>840</v>
      </c>
    </row>
    <row r="689" spans="1:9" ht="14.4" x14ac:dyDescent="0.3">
      <c r="A689" t="s">
        <v>426</v>
      </c>
      <c r="B689" t="s">
        <v>607</v>
      </c>
      <c r="C689" t="s">
        <v>425</v>
      </c>
      <c r="D689">
        <v>2014</v>
      </c>
      <c r="E689" s="6" t="s">
        <v>1197</v>
      </c>
      <c r="F689" s="8" t="s">
        <v>1198</v>
      </c>
      <c r="G689" s="8" t="s">
        <v>1200</v>
      </c>
      <c r="I689" s="25" t="s">
        <v>840</v>
      </c>
    </row>
    <row r="690" spans="1:9" ht="14.4" x14ac:dyDescent="0.3">
      <c r="A690" t="s">
        <v>426</v>
      </c>
      <c r="B690" t="s">
        <v>607</v>
      </c>
      <c r="C690" t="s">
        <v>425</v>
      </c>
      <c r="D690">
        <v>2015</v>
      </c>
      <c r="E690" s="6" t="s">
        <v>1197</v>
      </c>
      <c r="F690" s="8" t="s">
        <v>1198</v>
      </c>
      <c r="G690" s="8" t="s">
        <v>1201</v>
      </c>
      <c r="I690" s="25" t="s">
        <v>840</v>
      </c>
    </row>
    <row r="691" spans="1:9" ht="14.4" x14ac:dyDescent="0.3">
      <c r="A691" t="s">
        <v>426</v>
      </c>
      <c r="B691" t="s">
        <v>607</v>
      </c>
      <c r="C691" t="s">
        <v>425</v>
      </c>
      <c r="D691">
        <v>2016</v>
      </c>
      <c r="E691" s="6" t="s">
        <v>1197</v>
      </c>
      <c r="F691" s="8" t="s">
        <v>1198</v>
      </c>
      <c r="G691" s="8" t="s">
        <v>1202</v>
      </c>
      <c r="I691" s="25" t="s">
        <v>840</v>
      </c>
    </row>
    <row r="692" spans="1:9" ht="14.4" x14ac:dyDescent="0.3">
      <c r="A692" t="s">
        <v>426</v>
      </c>
      <c r="B692" t="s">
        <v>607</v>
      </c>
      <c r="C692" t="s">
        <v>425</v>
      </c>
      <c r="D692">
        <v>2017</v>
      </c>
      <c r="E692" s="6" t="s">
        <v>1197</v>
      </c>
      <c r="F692" s="8" t="s">
        <v>1198</v>
      </c>
      <c r="G692" s="8" t="s">
        <v>1203</v>
      </c>
      <c r="I692" s="25" t="s">
        <v>840</v>
      </c>
    </row>
    <row r="693" spans="1:9" ht="14.4" x14ac:dyDescent="0.3">
      <c r="A693" t="s">
        <v>426</v>
      </c>
      <c r="B693" t="s">
        <v>607</v>
      </c>
      <c r="C693" t="s">
        <v>425</v>
      </c>
      <c r="D693">
        <v>2018</v>
      </c>
      <c r="E693" s="6" t="s">
        <v>1197</v>
      </c>
      <c r="F693" s="8" t="s">
        <v>1198</v>
      </c>
      <c r="G693" s="8" t="s">
        <v>1204</v>
      </c>
      <c r="I693" s="25" t="s">
        <v>840</v>
      </c>
    </row>
    <row r="694" spans="1:9" ht="14.4" x14ac:dyDescent="0.3">
      <c r="A694" t="s">
        <v>426</v>
      </c>
      <c r="B694" t="s">
        <v>607</v>
      </c>
      <c r="C694" t="s">
        <v>425</v>
      </c>
      <c r="D694">
        <v>2019</v>
      </c>
      <c r="E694" s="6" t="s">
        <v>1197</v>
      </c>
      <c r="F694" s="8" t="s">
        <v>1198</v>
      </c>
      <c r="G694" s="8" t="s">
        <v>1205</v>
      </c>
      <c r="I694" s="25" t="s">
        <v>840</v>
      </c>
    </row>
    <row r="695" spans="1:9" ht="14.4" x14ac:dyDescent="0.3">
      <c r="A695" t="s">
        <v>426</v>
      </c>
      <c r="B695" t="s">
        <v>607</v>
      </c>
      <c r="C695" t="s">
        <v>425</v>
      </c>
      <c r="D695">
        <v>2020</v>
      </c>
      <c r="E695" s="6" t="s">
        <v>1197</v>
      </c>
      <c r="F695" s="8" t="s">
        <v>1198</v>
      </c>
      <c r="G695" s="8" t="s">
        <v>1206</v>
      </c>
      <c r="I695" s="25" t="s">
        <v>840</v>
      </c>
    </row>
    <row r="696" spans="1:9" ht="14.4" x14ac:dyDescent="0.3">
      <c r="A696" t="s">
        <v>426</v>
      </c>
      <c r="B696" t="s">
        <v>607</v>
      </c>
      <c r="C696" t="s">
        <v>425</v>
      </c>
      <c r="D696">
        <v>2021</v>
      </c>
      <c r="E696" s="6" t="s">
        <v>1197</v>
      </c>
      <c r="F696" s="8" t="s">
        <v>1198</v>
      </c>
      <c r="G696" s="8" t="s">
        <v>1207</v>
      </c>
      <c r="I696" s="25" t="s">
        <v>840</v>
      </c>
    </row>
    <row r="697" spans="1:9" ht="14.4" x14ac:dyDescent="0.3">
      <c r="A697" t="s">
        <v>426</v>
      </c>
      <c r="B697" t="s">
        <v>607</v>
      </c>
      <c r="C697" t="s">
        <v>425</v>
      </c>
      <c r="D697">
        <v>2022</v>
      </c>
      <c r="E697" s="6" t="s">
        <v>1197</v>
      </c>
      <c r="F697" s="8" t="s">
        <v>1198</v>
      </c>
      <c r="G697" s="8" t="s">
        <v>1208</v>
      </c>
      <c r="I697" s="25" t="s">
        <v>840</v>
      </c>
    </row>
    <row r="698" spans="1:9" ht="14.4" x14ac:dyDescent="0.3">
      <c r="A698" t="s">
        <v>426</v>
      </c>
      <c r="B698" t="s">
        <v>607</v>
      </c>
      <c r="C698" t="s">
        <v>425</v>
      </c>
      <c r="D698">
        <v>2023</v>
      </c>
      <c r="E698" s="6" t="s">
        <v>1197</v>
      </c>
      <c r="F698" s="8" t="s">
        <v>1198</v>
      </c>
      <c r="G698" s="8" t="s">
        <v>1209</v>
      </c>
      <c r="I698" s="25" t="s">
        <v>840</v>
      </c>
    </row>
    <row r="699" spans="1:9" ht="14.4" x14ac:dyDescent="0.3">
      <c r="A699" t="s">
        <v>426</v>
      </c>
      <c r="B699" t="s">
        <v>607</v>
      </c>
      <c r="C699" t="s">
        <v>425</v>
      </c>
      <c r="D699">
        <v>2024</v>
      </c>
      <c r="E699" s="6" t="s">
        <v>1197</v>
      </c>
      <c r="F699" s="8" t="s">
        <v>1198</v>
      </c>
      <c r="G699" s="8" t="s">
        <v>1210</v>
      </c>
      <c r="I699" s="25" t="s">
        <v>840</v>
      </c>
    </row>
    <row r="700" spans="1:9" ht="14.4" x14ac:dyDescent="0.3">
      <c r="A700" t="s">
        <v>431</v>
      </c>
      <c r="B700" t="s">
        <v>608</v>
      </c>
      <c r="C700" t="s">
        <v>430</v>
      </c>
      <c r="D700">
        <v>2006</v>
      </c>
      <c r="E700" s="6" t="s">
        <v>1211</v>
      </c>
      <c r="F700" s="8" t="s">
        <v>1212</v>
      </c>
      <c r="G700" s="8" t="s">
        <v>1213</v>
      </c>
      <c r="H700" t="s">
        <v>1214</v>
      </c>
      <c r="I700" s="20">
        <v>45758</v>
      </c>
    </row>
    <row r="701" spans="1:9" ht="14.4" x14ac:dyDescent="0.3">
      <c r="A701" t="s">
        <v>431</v>
      </c>
      <c r="B701" t="s">
        <v>608</v>
      </c>
      <c r="C701" t="s">
        <v>430</v>
      </c>
      <c r="D701">
        <v>2007</v>
      </c>
      <c r="E701" s="6" t="s">
        <v>1211</v>
      </c>
      <c r="F701" s="8" t="s">
        <v>1212</v>
      </c>
      <c r="G701" s="8" t="s">
        <v>1213</v>
      </c>
      <c r="H701" t="s">
        <v>1214</v>
      </c>
      <c r="I701" s="20">
        <v>45758</v>
      </c>
    </row>
    <row r="702" spans="1:9" ht="14.4" x14ac:dyDescent="0.3">
      <c r="A702" t="s">
        <v>431</v>
      </c>
      <c r="B702" t="s">
        <v>608</v>
      </c>
      <c r="C702" t="s">
        <v>430</v>
      </c>
      <c r="D702">
        <v>2008</v>
      </c>
      <c r="E702" s="6" t="s">
        <v>1211</v>
      </c>
      <c r="F702" s="8" t="s">
        <v>1212</v>
      </c>
      <c r="G702" s="8" t="s">
        <v>1215</v>
      </c>
      <c r="H702" t="s">
        <v>1214</v>
      </c>
      <c r="I702" s="20">
        <v>45758</v>
      </c>
    </row>
    <row r="703" spans="1:9" ht="14.4" x14ac:dyDescent="0.3">
      <c r="A703" t="s">
        <v>431</v>
      </c>
      <c r="B703" t="s">
        <v>608</v>
      </c>
      <c r="C703" t="s">
        <v>430</v>
      </c>
      <c r="D703">
        <v>2009</v>
      </c>
      <c r="E703" s="6" t="s">
        <v>1211</v>
      </c>
      <c r="F703" s="8" t="s">
        <v>1212</v>
      </c>
      <c r="G703" s="8" t="s">
        <v>1216</v>
      </c>
      <c r="H703" t="s">
        <v>1214</v>
      </c>
      <c r="I703" s="20">
        <v>45758</v>
      </c>
    </row>
    <row r="704" spans="1:9" ht="14.4" x14ac:dyDescent="0.3">
      <c r="A704" t="s">
        <v>431</v>
      </c>
      <c r="B704" t="s">
        <v>608</v>
      </c>
      <c r="C704" t="s">
        <v>430</v>
      </c>
      <c r="D704">
        <v>2010</v>
      </c>
      <c r="E704" s="6" t="s">
        <v>1211</v>
      </c>
      <c r="F704" s="8" t="s">
        <v>1212</v>
      </c>
      <c r="G704" s="8" t="s">
        <v>1217</v>
      </c>
      <c r="H704" t="s">
        <v>1214</v>
      </c>
      <c r="I704" s="20">
        <v>45758</v>
      </c>
    </row>
    <row r="705" spans="1:9" ht="14.4" x14ac:dyDescent="0.3">
      <c r="A705" t="s">
        <v>431</v>
      </c>
      <c r="B705" t="s">
        <v>608</v>
      </c>
      <c r="C705" t="s">
        <v>430</v>
      </c>
      <c r="D705">
        <v>2011</v>
      </c>
      <c r="E705" s="6" t="s">
        <v>1211</v>
      </c>
      <c r="F705" s="8" t="s">
        <v>1212</v>
      </c>
      <c r="G705" s="8" t="s">
        <v>1218</v>
      </c>
      <c r="H705" t="s">
        <v>1214</v>
      </c>
      <c r="I705" s="20">
        <v>45758</v>
      </c>
    </row>
    <row r="706" spans="1:9" ht="14.4" x14ac:dyDescent="0.3">
      <c r="A706" t="s">
        <v>431</v>
      </c>
      <c r="B706" t="s">
        <v>608</v>
      </c>
      <c r="C706" t="s">
        <v>430</v>
      </c>
      <c r="D706">
        <v>2012</v>
      </c>
      <c r="E706" s="6" t="s">
        <v>1211</v>
      </c>
      <c r="F706" s="8" t="s">
        <v>1212</v>
      </c>
      <c r="G706" s="8" t="s">
        <v>1219</v>
      </c>
      <c r="H706" t="s">
        <v>1214</v>
      </c>
      <c r="I706" s="20">
        <v>45758</v>
      </c>
    </row>
    <row r="707" spans="1:9" ht="14.4" x14ac:dyDescent="0.3">
      <c r="A707" t="s">
        <v>431</v>
      </c>
      <c r="B707" t="s">
        <v>608</v>
      </c>
      <c r="C707" t="s">
        <v>430</v>
      </c>
      <c r="D707">
        <v>2013</v>
      </c>
      <c r="E707" s="6" t="s">
        <v>1211</v>
      </c>
      <c r="F707" s="8" t="s">
        <v>1212</v>
      </c>
      <c r="G707" s="8" t="s">
        <v>1220</v>
      </c>
      <c r="H707" t="s">
        <v>1214</v>
      </c>
      <c r="I707" s="20">
        <v>45758</v>
      </c>
    </row>
    <row r="708" spans="1:9" ht="14.4" x14ac:dyDescent="0.3">
      <c r="A708" t="s">
        <v>431</v>
      </c>
      <c r="B708" t="s">
        <v>608</v>
      </c>
      <c r="C708" t="s">
        <v>430</v>
      </c>
      <c r="D708">
        <v>2014</v>
      </c>
      <c r="E708" s="6" t="s">
        <v>1211</v>
      </c>
      <c r="F708" s="8" t="s">
        <v>1212</v>
      </c>
      <c r="G708" s="8" t="s">
        <v>1221</v>
      </c>
      <c r="H708" t="s">
        <v>1214</v>
      </c>
      <c r="I708" s="20">
        <v>45758</v>
      </c>
    </row>
    <row r="709" spans="1:9" ht="14.4" x14ac:dyDescent="0.3">
      <c r="A709" t="s">
        <v>431</v>
      </c>
      <c r="B709" t="s">
        <v>608</v>
      </c>
      <c r="C709" t="s">
        <v>430</v>
      </c>
      <c r="D709">
        <v>2015</v>
      </c>
      <c r="E709" s="6" t="s">
        <v>1211</v>
      </c>
      <c r="F709" s="8" t="s">
        <v>1212</v>
      </c>
      <c r="G709" t="s">
        <v>1222</v>
      </c>
      <c r="H709" t="s">
        <v>1214</v>
      </c>
      <c r="I709" s="20">
        <v>45758</v>
      </c>
    </row>
    <row r="710" spans="1:9" ht="14.4" x14ac:dyDescent="0.3">
      <c r="A710" t="s">
        <v>431</v>
      </c>
      <c r="B710" t="s">
        <v>608</v>
      </c>
      <c r="C710" t="s">
        <v>430</v>
      </c>
      <c r="D710">
        <v>2016</v>
      </c>
      <c r="E710" s="6" t="s">
        <v>1211</v>
      </c>
      <c r="F710" s="8" t="s">
        <v>1212</v>
      </c>
      <c r="G710" s="8" t="s">
        <v>1223</v>
      </c>
      <c r="H710" t="s">
        <v>1214</v>
      </c>
      <c r="I710" s="20">
        <v>45758</v>
      </c>
    </row>
    <row r="711" spans="1:9" ht="14.4" x14ac:dyDescent="0.3">
      <c r="A711" t="s">
        <v>431</v>
      </c>
      <c r="B711" t="s">
        <v>608</v>
      </c>
      <c r="C711" t="s">
        <v>430</v>
      </c>
      <c r="D711">
        <v>2017</v>
      </c>
      <c r="E711" s="6" t="s">
        <v>1211</v>
      </c>
      <c r="F711" s="8" t="s">
        <v>1212</v>
      </c>
      <c r="G711" t="s">
        <v>1224</v>
      </c>
      <c r="H711" t="s">
        <v>1214</v>
      </c>
      <c r="I711" s="20">
        <v>45758</v>
      </c>
    </row>
    <row r="712" spans="1:9" ht="14.4" x14ac:dyDescent="0.3">
      <c r="A712" t="s">
        <v>431</v>
      </c>
      <c r="B712" t="s">
        <v>608</v>
      </c>
      <c r="C712" t="s">
        <v>430</v>
      </c>
      <c r="D712">
        <v>2018</v>
      </c>
      <c r="E712" s="6" t="s">
        <v>1211</v>
      </c>
      <c r="F712" s="8" t="s">
        <v>1212</v>
      </c>
      <c r="G712" t="s">
        <v>1225</v>
      </c>
      <c r="H712" t="s">
        <v>1214</v>
      </c>
      <c r="I712" s="20">
        <v>45758</v>
      </c>
    </row>
    <row r="713" spans="1:9" ht="14.4" x14ac:dyDescent="0.3">
      <c r="A713" t="s">
        <v>431</v>
      </c>
      <c r="B713" t="s">
        <v>608</v>
      </c>
      <c r="C713" t="s">
        <v>430</v>
      </c>
      <c r="D713">
        <v>2019</v>
      </c>
      <c r="E713" s="6" t="s">
        <v>1211</v>
      </c>
      <c r="F713" s="8" t="s">
        <v>1212</v>
      </c>
      <c r="G713" t="s">
        <v>1226</v>
      </c>
      <c r="H713" t="s">
        <v>1214</v>
      </c>
      <c r="I713" s="20">
        <v>45758</v>
      </c>
    </row>
    <row r="714" spans="1:9" ht="14.4" x14ac:dyDescent="0.3">
      <c r="A714" t="s">
        <v>431</v>
      </c>
      <c r="B714" t="s">
        <v>608</v>
      </c>
      <c r="C714" t="s">
        <v>430</v>
      </c>
      <c r="D714">
        <v>2020</v>
      </c>
      <c r="E714" s="6" t="s">
        <v>1211</v>
      </c>
      <c r="F714" s="8" t="s">
        <v>1212</v>
      </c>
      <c r="G714" t="s">
        <v>1227</v>
      </c>
      <c r="H714" t="s">
        <v>1214</v>
      </c>
      <c r="I714" s="20">
        <v>45758</v>
      </c>
    </row>
    <row r="715" spans="1:9" ht="14.4" x14ac:dyDescent="0.3">
      <c r="A715" t="s">
        <v>431</v>
      </c>
      <c r="B715" t="s">
        <v>608</v>
      </c>
      <c r="C715" t="s">
        <v>430</v>
      </c>
      <c r="D715">
        <v>2021</v>
      </c>
      <c r="E715" s="6" t="s">
        <v>1211</v>
      </c>
      <c r="F715" s="8" t="s">
        <v>1212</v>
      </c>
      <c r="G715" t="s">
        <v>1228</v>
      </c>
      <c r="H715" t="s">
        <v>1214</v>
      </c>
      <c r="I715" s="20">
        <v>45758</v>
      </c>
    </row>
    <row r="716" spans="1:9" ht="14.4" x14ac:dyDescent="0.3">
      <c r="A716" t="s">
        <v>431</v>
      </c>
      <c r="B716" t="s">
        <v>608</v>
      </c>
      <c r="C716" t="s">
        <v>430</v>
      </c>
      <c r="D716">
        <v>2022</v>
      </c>
      <c r="E716" s="6" t="s">
        <v>1211</v>
      </c>
      <c r="F716" s="8" t="s">
        <v>1212</v>
      </c>
      <c r="G716" s="8" t="s">
        <v>1229</v>
      </c>
      <c r="H716" t="s">
        <v>1214</v>
      </c>
      <c r="I716" s="20">
        <v>45758</v>
      </c>
    </row>
    <row r="717" spans="1:9" ht="14.4" x14ac:dyDescent="0.3">
      <c r="A717" t="s">
        <v>431</v>
      </c>
      <c r="B717" t="s">
        <v>608</v>
      </c>
      <c r="C717" t="s">
        <v>430</v>
      </c>
      <c r="D717">
        <v>2023</v>
      </c>
      <c r="E717" s="6" t="s">
        <v>1211</v>
      </c>
      <c r="F717" s="8" t="s">
        <v>1212</v>
      </c>
      <c r="G717" s="8" t="s">
        <v>1230</v>
      </c>
      <c r="H717" t="s">
        <v>1214</v>
      </c>
      <c r="I717" s="20">
        <v>45758</v>
      </c>
    </row>
    <row r="718" spans="1:9" ht="14.4" x14ac:dyDescent="0.3">
      <c r="A718" t="s">
        <v>431</v>
      </c>
      <c r="B718" t="s">
        <v>608</v>
      </c>
      <c r="C718" t="s">
        <v>430</v>
      </c>
      <c r="D718">
        <v>2024</v>
      </c>
      <c r="E718" s="6" t="s">
        <v>1211</v>
      </c>
      <c r="F718" s="8" t="s">
        <v>1212</v>
      </c>
      <c r="G718" s="8" t="s">
        <v>1231</v>
      </c>
      <c r="H718" t="s">
        <v>1214</v>
      </c>
      <c r="I718" s="20">
        <v>45758</v>
      </c>
    </row>
    <row r="719" spans="1:9" ht="14.4" x14ac:dyDescent="0.3">
      <c r="A719" t="s">
        <v>437</v>
      </c>
      <c r="B719" t="s">
        <v>609</v>
      </c>
      <c r="C719" t="s">
        <v>436</v>
      </c>
      <c r="D719">
        <v>2018</v>
      </c>
      <c r="E719" s="6" t="s">
        <v>1232</v>
      </c>
      <c r="F719" s="8" t="s">
        <v>1233</v>
      </c>
      <c r="G719" s="8" t="s">
        <v>1233</v>
      </c>
      <c r="I719" s="25" t="s">
        <v>799</v>
      </c>
    </row>
    <row r="720" spans="1:9" ht="14.4" x14ac:dyDescent="0.3">
      <c r="A720" t="s">
        <v>437</v>
      </c>
      <c r="B720" t="s">
        <v>609</v>
      </c>
      <c r="C720" t="s">
        <v>436</v>
      </c>
      <c r="D720">
        <v>2019</v>
      </c>
      <c r="E720" s="6" t="s">
        <v>1232</v>
      </c>
      <c r="F720" s="8" t="s">
        <v>1233</v>
      </c>
      <c r="G720" s="8" t="s">
        <v>1233</v>
      </c>
      <c r="I720" s="25" t="s">
        <v>799</v>
      </c>
    </row>
    <row r="721" spans="1:9" ht="14.4" x14ac:dyDescent="0.3">
      <c r="A721" t="s">
        <v>437</v>
      </c>
      <c r="B721" t="s">
        <v>609</v>
      </c>
      <c r="C721" t="s">
        <v>436</v>
      </c>
      <c r="D721">
        <v>2020</v>
      </c>
      <c r="E721" s="6" t="s">
        <v>1232</v>
      </c>
      <c r="F721" s="8" t="s">
        <v>1233</v>
      </c>
      <c r="G721" s="8" t="s">
        <v>1233</v>
      </c>
      <c r="I721" s="25" t="s">
        <v>799</v>
      </c>
    </row>
    <row r="722" spans="1:9" ht="14.4" x14ac:dyDescent="0.3">
      <c r="A722" t="s">
        <v>437</v>
      </c>
      <c r="B722" t="s">
        <v>609</v>
      </c>
      <c r="C722" t="s">
        <v>436</v>
      </c>
      <c r="D722">
        <v>2021</v>
      </c>
      <c r="E722" s="6" t="s">
        <v>1232</v>
      </c>
      <c r="F722" s="8" t="s">
        <v>1233</v>
      </c>
      <c r="G722" s="8" t="s">
        <v>1233</v>
      </c>
      <c r="I722" s="25" t="s">
        <v>799</v>
      </c>
    </row>
    <row r="723" spans="1:9" ht="14.4" x14ac:dyDescent="0.3">
      <c r="A723" t="s">
        <v>437</v>
      </c>
      <c r="B723" t="s">
        <v>609</v>
      </c>
      <c r="C723" t="s">
        <v>436</v>
      </c>
      <c r="D723">
        <v>2022</v>
      </c>
      <c r="E723" s="6" t="s">
        <v>1232</v>
      </c>
      <c r="F723" s="8" t="s">
        <v>1233</v>
      </c>
      <c r="G723" s="8" t="s">
        <v>1233</v>
      </c>
      <c r="I723" s="25" t="s">
        <v>799</v>
      </c>
    </row>
    <row r="724" spans="1:9" ht="14.4" x14ac:dyDescent="0.3">
      <c r="A724" t="s">
        <v>437</v>
      </c>
      <c r="B724" t="s">
        <v>609</v>
      </c>
      <c r="C724" t="s">
        <v>436</v>
      </c>
      <c r="D724">
        <v>2023</v>
      </c>
      <c r="E724" s="6" t="s">
        <v>1232</v>
      </c>
      <c r="F724" s="8" t="s">
        <v>1233</v>
      </c>
      <c r="G724" s="8" t="s">
        <v>1233</v>
      </c>
      <c r="I724" s="25" t="s">
        <v>799</v>
      </c>
    </row>
    <row r="725" spans="1:9" ht="14.4" x14ac:dyDescent="0.3">
      <c r="A725" t="s">
        <v>437</v>
      </c>
      <c r="B725" t="s">
        <v>609</v>
      </c>
      <c r="C725" t="s">
        <v>436</v>
      </c>
      <c r="D725">
        <v>2024</v>
      </c>
      <c r="E725" s="6" t="s">
        <v>1232</v>
      </c>
      <c r="F725" s="8" t="s">
        <v>1233</v>
      </c>
      <c r="G725" s="8" t="s">
        <v>1233</v>
      </c>
      <c r="I725" s="25" t="s">
        <v>799</v>
      </c>
    </row>
    <row r="726" spans="1:9" ht="14.4" x14ac:dyDescent="0.3">
      <c r="A726" t="s">
        <v>445</v>
      </c>
      <c r="B726" t="s">
        <v>610</v>
      </c>
      <c r="C726" t="s">
        <v>444</v>
      </c>
      <c r="D726">
        <v>2008</v>
      </c>
      <c r="E726" s="6" t="s">
        <v>1234</v>
      </c>
      <c r="F726" s="8" t="s">
        <v>1235</v>
      </c>
      <c r="G726" s="8" t="s">
        <v>1236</v>
      </c>
      <c r="I726" s="25" t="s">
        <v>715</v>
      </c>
    </row>
    <row r="727" spans="1:9" ht="14.4" x14ac:dyDescent="0.3">
      <c r="A727" t="s">
        <v>445</v>
      </c>
      <c r="B727" t="s">
        <v>610</v>
      </c>
      <c r="C727" t="s">
        <v>444</v>
      </c>
      <c r="D727">
        <v>2009</v>
      </c>
      <c r="E727" s="6" t="s">
        <v>1234</v>
      </c>
      <c r="F727" s="8" t="s">
        <v>1235</v>
      </c>
      <c r="G727" s="8" t="s">
        <v>1236</v>
      </c>
      <c r="I727" s="25" t="s">
        <v>715</v>
      </c>
    </row>
    <row r="728" spans="1:9" ht="14.4" x14ac:dyDescent="0.3">
      <c r="A728" t="s">
        <v>445</v>
      </c>
      <c r="B728" t="s">
        <v>610</v>
      </c>
      <c r="C728" t="s">
        <v>444</v>
      </c>
      <c r="D728">
        <v>2010</v>
      </c>
      <c r="E728" s="6" t="s">
        <v>1234</v>
      </c>
      <c r="F728" s="8" t="s">
        <v>1235</v>
      </c>
      <c r="G728" s="8" t="s">
        <v>1236</v>
      </c>
      <c r="I728" s="25" t="s">
        <v>715</v>
      </c>
    </row>
    <row r="729" spans="1:9" ht="14.4" x14ac:dyDescent="0.3">
      <c r="A729" t="s">
        <v>445</v>
      </c>
      <c r="B729" t="s">
        <v>610</v>
      </c>
      <c r="C729" t="s">
        <v>444</v>
      </c>
      <c r="D729">
        <v>2011</v>
      </c>
      <c r="E729" s="6" t="s">
        <v>1234</v>
      </c>
      <c r="F729" s="8" t="s">
        <v>1235</v>
      </c>
      <c r="G729" s="8" t="s">
        <v>1236</v>
      </c>
      <c r="I729" s="25" t="s">
        <v>715</v>
      </c>
    </row>
    <row r="730" spans="1:9" ht="14.4" x14ac:dyDescent="0.3">
      <c r="A730" t="s">
        <v>445</v>
      </c>
      <c r="B730" t="s">
        <v>610</v>
      </c>
      <c r="C730" t="s">
        <v>444</v>
      </c>
      <c r="D730">
        <v>2012</v>
      </c>
      <c r="E730" s="6" t="s">
        <v>1234</v>
      </c>
      <c r="F730" s="8" t="s">
        <v>1235</v>
      </c>
      <c r="G730" s="8" t="s">
        <v>1236</v>
      </c>
      <c r="I730" s="25" t="s">
        <v>715</v>
      </c>
    </row>
    <row r="731" spans="1:9" ht="14.4" x14ac:dyDescent="0.3">
      <c r="A731" t="s">
        <v>445</v>
      </c>
      <c r="B731" t="s">
        <v>610</v>
      </c>
      <c r="C731" t="s">
        <v>444</v>
      </c>
      <c r="D731">
        <v>2013</v>
      </c>
      <c r="E731" s="6" t="s">
        <v>1234</v>
      </c>
      <c r="F731" s="8" t="s">
        <v>1235</v>
      </c>
      <c r="G731" s="8" t="s">
        <v>1236</v>
      </c>
      <c r="I731" s="25" t="s">
        <v>715</v>
      </c>
    </row>
    <row r="732" spans="1:9" ht="14.4" x14ac:dyDescent="0.3">
      <c r="A732" t="s">
        <v>445</v>
      </c>
      <c r="B732" t="s">
        <v>610</v>
      </c>
      <c r="C732" t="s">
        <v>444</v>
      </c>
      <c r="D732">
        <v>2014</v>
      </c>
      <c r="E732" s="6" t="s">
        <v>1234</v>
      </c>
      <c r="F732" s="8" t="s">
        <v>1235</v>
      </c>
      <c r="G732" s="8" t="s">
        <v>1236</v>
      </c>
      <c r="I732" s="25" t="s">
        <v>715</v>
      </c>
    </row>
    <row r="733" spans="1:9" ht="14.4" x14ac:dyDescent="0.3">
      <c r="A733" t="s">
        <v>445</v>
      </c>
      <c r="B733" t="s">
        <v>610</v>
      </c>
      <c r="C733" t="s">
        <v>444</v>
      </c>
      <c r="D733">
        <v>2015</v>
      </c>
      <c r="E733" s="6" t="s">
        <v>1234</v>
      </c>
      <c r="F733" s="8" t="s">
        <v>1235</v>
      </c>
      <c r="G733" s="8" t="s">
        <v>1236</v>
      </c>
      <c r="I733" s="25" t="s">
        <v>715</v>
      </c>
    </row>
    <row r="734" spans="1:9" ht="14.4" x14ac:dyDescent="0.3">
      <c r="A734" t="s">
        <v>445</v>
      </c>
      <c r="B734" t="s">
        <v>610</v>
      </c>
      <c r="C734" t="s">
        <v>444</v>
      </c>
      <c r="D734">
        <v>2016</v>
      </c>
      <c r="E734" s="6" t="s">
        <v>1234</v>
      </c>
      <c r="F734" s="8" t="s">
        <v>1235</v>
      </c>
      <c r="G734" s="8" t="s">
        <v>1236</v>
      </c>
      <c r="I734" s="25" t="s">
        <v>715</v>
      </c>
    </row>
    <row r="735" spans="1:9" ht="14.4" x14ac:dyDescent="0.3">
      <c r="A735" t="s">
        <v>445</v>
      </c>
      <c r="B735" t="s">
        <v>610</v>
      </c>
      <c r="C735" t="s">
        <v>444</v>
      </c>
      <c r="D735">
        <v>2017</v>
      </c>
      <c r="E735" s="6" t="s">
        <v>1234</v>
      </c>
      <c r="F735" s="8" t="s">
        <v>1235</v>
      </c>
      <c r="G735" s="8" t="s">
        <v>1236</v>
      </c>
      <c r="I735" s="25" t="s">
        <v>715</v>
      </c>
    </row>
    <row r="736" spans="1:9" ht="14.4" x14ac:dyDescent="0.3">
      <c r="A736" t="s">
        <v>445</v>
      </c>
      <c r="B736" t="s">
        <v>610</v>
      </c>
      <c r="C736" t="s">
        <v>444</v>
      </c>
      <c r="D736">
        <v>2018</v>
      </c>
      <c r="E736" s="6" t="s">
        <v>1234</v>
      </c>
      <c r="F736" s="8" t="s">
        <v>1235</v>
      </c>
      <c r="G736" s="8" t="s">
        <v>1236</v>
      </c>
      <c r="I736" s="25" t="s">
        <v>715</v>
      </c>
    </row>
    <row r="737" spans="1:9" ht="14.4" x14ac:dyDescent="0.3">
      <c r="A737" t="s">
        <v>445</v>
      </c>
      <c r="B737" t="s">
        <v>610</v>
      </c>
      <c r="C737" t="s">
        <v>444</v>
      </c>
      <c r="D737">
        <v>2019</v>
      </c>
      <c r="E737" s="6" t="s">
        <v>1234</v>
      </c>
      <c r="F737" s="8" t="s">
        <v>1235</v>
      </c>
      <c r="G737" s="8" t="s">
        <v>1236</v>
      </c>
      <c r="I737" s="25" t="s">
        <v>715</v>
      </c>
    </row>
    <row r="738" spans="1:9" ht="14.4" x14ac:dyDescent="0.3">
      <c r="A738" t="s">
        <v>445</v>
      </c>
      <c r="B738" t="s">
        <v>610</v>
      </c>
      <c r="C738" t="s">
        <v>444</v>
      </c>
      <c r="D738">
        <v>2020</v>
      </c>
      <c r="E738" s="6" t="s">
        <v>1234</v>
      </c>
      <c r="F738" s="8" t="s">
        <v>1235</v>
      </c>
      <c r="G738" s="8" t="s">
        <v>1236</v>
      </c>
      <c r="I738" s="25" t="s">
        <v>715</v>
      </c>
    </row>
    <row r="739" spans="1:9" ht="14.4" x14ac:dyDescent="0.3">
      <c r="A739" t="s">
        <v>445</v>
      </c>
      <c r="B739" t="s">
        <v>610</v>
      </c>
      <c r="C739" t="s">
        <v>444</v>
      </c>
      <c r="D739">
        <v>2021</v>
      </c>
      <c r="E739" s="6" t="s">
        <v>1234</v>
      </c>
      <c r="F739" s="8" t="s">
        <v>1235</v>
      </c>
      <c r="G739" s="8" t="s">
        <v>1236</v>
      </c>
      <c r="I739" s="25" t="s">
        <v>715</v>
      </c>
    </row>
    <row r="740" spans="1:9" ht="14.4" x14ac:dyDescent="0.3">
      <c r="A740" t="s">
        <v>445</v>
      </c>
      <c r="B740" t="s">
        <v>610</v>
      </c>
      <c r="C740" t="s">
        <v>444</v>
      </c>
      <c r="D740">
        <v>2022</v>
      </c>
      <c r="E740" s="6" t="s">
        <v>1234</v>
      </c>
      <c r="F740" s="8" t="s">
        <v>1235</v>
      </c>
      <c r="G740" s="8" t="s">
        <v>1236</v>
      </c>
      <c r="I740" s="25" t="s">
        <v>715</v>
      </c>
    </row>
    <row r="741" spans="1:9" ht="14.4" x14ac:dyDescent="0.3">
      <c r="A741" t="s">
        <v>445</v>
      </c>
      <c r="B741" t="s">
        <v>610</v>
      </c>
      <c r="C741" t="s">
        <v>444</v>
      </c>
      <c r="D741">
        <v>2023</v>
      </c>
      <c r="E741" s="6" t="s">
        <v>1234</v>
      </c>
      <c r="F741" s="8" t="s">
        <v>1235</v>
      </c>
      <c r="G741" s="8" t="s">
        <v>1236</v>
      </c>
      <c r="I741" s="25" t="s">
        <v>715</v>
      </c>
    </row>
    <row r="742" spans="1:9" ht="14.4" x14ac:dyDescent="0.3">
      <c r="A742" t="s">
        <v>445</v>
      </c>
      <c r="B742" t="s">
        <v>610</v>
      </c>
      <c r="C742" t="s">
        <v>444</v>
      </c>
      <c r="D742">
        <v>2024</v>
      </c>
      <c r="E742" s="6" t="s">
        <v>1234</v>
      </c>
      <c r="F742" s="8" t="s">
        <v>1235</v>
      </c>
      <c r="G742" s="8" t="s">
        <v>1236</v>
      </c>
      <c r="H742" t="s">
        <v>1237</v>
      </c>
      <c r="I742" s="25" t="s">
        <v>715</v>
      </c>
    </row>
    <row r="743" spans="1:9" ht="14.4" x14ac:dyDescent="0.3">
      <c r="A743" t="s">
        <v>458</v>
      </c>
      <c r="B743" t="s">
        <v>611</v>
      </c>
      <c r="C743" t="s">
        <v>457</v>
      </c>
      <c r="D743">
        <v>2018</v>
      </c>
      <c r="E743" s="6" t="s">
        <v>457</v>
      </c>
      <c r="F743" s="8" t="s">
        <v>1238</v>
      </c>
      <c r="G743" s="8" t="s">
        <v>1239</v>
      </c>
      <c r="H743" t="s">
        <v>1240</v>
      </c>
      <c r="I743" s="25" t="s">
        <v>715</v>
      </c>
    </row>
    <row r="744" spans="1:9" ht="14.4" x14ac:dyDescent="0.3">
      <c r="A744" t="s">
        <v>458</v>
      </c>
      <c r="B744" t="s">
        <v>611</v>
      </c>
      <c r="C744" t="s">
        <v>457</v>
      </c>
      <c r="D744">
        <v>2019</v>
      </c>
      <c r="E744" s="6" t="s">
        <v>457</v>
      </c>
      <c r="F744" s="8" t="s">
        <v>1238</v>
      </c>
      <c r="G744" s="8" t="s">
        <v>1239</v>
      </c>
      <c r="H744" t="s">
        <v>1240</v>
      </c>
      <c r="I744" s="25" t="s">
        <v>715</v>
      </c>
    </row>
    <row r="745" spans="1:9" ht="14.4" x14ac:dyDescent="0.3">
      <c r="A745" t="s">
        <v>458</v>
      </c>
      <c r="B745" t="s">
        <v>611</v>
      </c>
      <c r="C745" t="s">
        <v>457</v>
      </c>
      <c r="D745">
        <v>2020</v>
      </c>
      <c r="E745" s="6" t="s">
        <v>457</v>
      </c>
      <c r="F745" s="8" t="s">
        <v>1238</v>
      </c>
      <c r="G745" t="s">
        <v>1239</v>
      </c>
      <c r="H745" t="s">
        <v>1240</v>
      </c>
      <c r="I745" s="25" t="s">
        <v>715</v>
      </c>
    </row>
    <row r="746" spans="1:9" ht="14.4" x14ac:dyDescent="0.3">
      <c r="A746" t="s">
        <v>458</v>
      </c>
      <c r="B746" t="s">
        <v>611</v>
      </c>
      <c r="C746" t="s">
        <v>457</v>
      </c>
      <c r="D746">
        <v>2021</v>
      </c>
      <c r="E746" s="6" t="s">
        <v>457</v>
      </c>
      <c r="F746" s="8" t="s">
        <v>1238</v>
      </c>
      <c r="G746" t="s">
        <v>1239</v>
      </c>
      <c r="H746" t="s">
        <v>1240</v>
      </c>
      <c r="I746" s="25" t="s">
        <v>715</v>
      </c>
    </row>
    <row r="747" spans="1:9" ht="14.4" x14ac:dyDescent="0.3">
      <c r="A747" t="s">
        <v>458</v>
      </c>
      <c r="B747" t="s">
        <v>611</v>
      </c>
      <c r="C747" t="s">
        <v>457</v>
      </c>
      <c r="D747">
        <v>2022</v>
      </c>
      <c r="E747" s="6" t="s">
        <v>457</v>
      </c>
      <c r="F747" s="8" t="s">
        <v>1238</v>
      </c>
      <c r="G747" t="s">
        <v>1241</v>
      </c>
      <c r="H747" t="s">
        <v>1240</v>
      </c>
      <c r="I747" s="25" t="s">
        <v>715</v>
      </c>
    </row>
    <row r="748" spans="1:9" ht="14.4" x14ac:dyDescent="0.3">
      <c r="A748" t="s">
        <v>458</v>
      </c>
      <c r="B748" t="s">
        <v>611</v>
      </c>
      <c r="C748" t="s">
        <v>457</v>
      </c>
      <c r="D748">
        <v>2023</v>
      </c>
      <c r="E748" s="6" t="s">
        <v>457</v>
      </c>
      <c r="F748" s="8" t="s">
        <v>1238</v>
      </c>
      <c r="G748" t="s">
        <v>1241</v>
      </c>
      <c r="H748" t="s">
        <v>1240</v>
      </c>
      <c r="I748" s="25" t="s">
        <v>715</v>
      </c>
    </row>
    <row r="749" spans="1:9" ht="14.4" x14ac:dyDescent="0.3">
      <c r="A749" t="s">
        <v>458</v>
      </c>
      <c r="B749" t="s">
        <v>611</v>
      </c>
      <c r="C749" t="s">
        <v>457</v>
      </c>
      <c r="D749">
        <v>2024</v>
      </c>
      <c r="E749" s="6" t="s">
        <v>457</v>
      </c>
      <c r="F749" s="8" t="s">
        <v>1238</v>
      </c>
      <c r="G749" t="s">
        <v>1241</v>
      </c>
      <c r="H749" t="s">
        <v>1240</v>
      </c>
      <c r="I749" s="25" t="s">
        <v>715</v>
      </c>
    </row>
    <row r="750" spans="1:9" ht="14.4" x14ac:dyDescent="0.3">
      <c r="A750" t="s">
        <v>467</v>
      </c>
      <c r="B750" t="s">
        <v>612</v>
      </c>
      <c r="C750" t="s">
        <v>466</v>
      </c>
      <c r="D750">
        <v>2002</v>
      </c>
      <c r="E750" s="6" t="s">
        <v>1242</v>
      </c>
      <c r="F750" s="8" t="s">
        <v>1243</v>
      </c>
      <c r="G750" s="8" t="s">
        <v>1244</v>
      </c>
      <c r="I750" s="20">
        <v>45758</v>
      </c>
    </row>
    <row r="751" spans="1:9" ht="14.4" x14ac:dyDescent="0.3">
      <c r="A751" t="s">
        <v>467</v>
      </c>
      <c r="B751" t="s">
        <v>612</v>
      </c>
      <c r="C751" t="s">
        <v>466</v>
      </c>
      <c r="D751">
        <v>2003</v>
      </c>
      <c r="E751" s="6" t="s">
        <v>1242</v>
      </c>
      <c r="F751" s="8" t="s">
        <v>1243</v>
      </c>
      <c r="G751" s="8" t="s">
        <v>1245</v>
      </c>
      <c r="I751" s="20">
        <v>45758</v>
      </c>
    </row>
    <row r="752" spans="1:9" ht="14.4" x14ac:dyDescent="0.3">
      <c r="A752" t="s">
        <v>467</v>
      </c>
      <c r="B752" t="s">
        <v>612</v>
      </c>
      <c r="C752" t="s">
        <v>466</v>
      </c>
      <c r="D752">
        <v>2004</v>
      </c>
      <c r="E752" s="6" t="s">
        <v>1242</v>
      </c>
      <c r="F752" s="8" t="s">
        <v>1243</v>
      </c>
      <c r="G752" s="8" t="s">
        <v>1246</v>
      </c>
      <c r="I752" s="20">
        <v>45758</v>
      </c>
    </row>
    <row r="753" spans="1:9" ht="14.4" x14ac:dyDescent="0.3">
      <c r="A753" t="s">
        <v>467</v>
      </c>
      <c r="B753" t="s">
        <v>612</v>
      </c>
      <c r="C753" t="s">
        <v>466</v>
      </c>
      <c r="D753">
        <v>2005</v>
      </c>
      <c r="E753" s="6" t="s">
        <v>1242</v>
      </c>
      <c r="F753" s="8" t="s">
        <v>1243</v>
      </c>
      <c r="G753" s="8" t="s">
        <v>1247</v>
      </c>
      <c r="I753" s="20">
        <v>45758</v>
      </c>
    </row>
    <row r="754" spans="1:9" ht="14.4" x14ac:dyDescent="0.3">
      <c r="A754" t="s">
        <v>467</v>
      </c>
      <c r="B754" t="s">
        <v>612</v>
      </c>
      <c r="C754" t="s">
        <v>466</v>
      </c>
      <c r="D754">
        <v>2006</v>
      </c>
      <c r="E754" s="6" t="s">
        <v>1242</v>
      </c>
      <c r="F754" s="8" t="s">
        <v>1243</v>
      </c>
      <c r="G754" s="8" t="s">
        <v>1248</v>
      </c>
      <c r="I754" s="20">
        <v>45758</v>
      </c>
    </row>
    <row r="755" spans="1:9" ht="14.4" x14ac:dyDescent="0.3">
      <c r="A755" t="s">
        <v>467</v>
      </c>
      <c r="B755" t="s">
        <v>612</v>
      </c>
      <c r="C755" t="s">
        <v>466</v>
      </c>
      <c r="D755">
        <v>2007</v>
      </c>
      <c r="E755" s="6" t="s">
        <v>1242</v>
      </c>
      <c r="F755" s="8" t="s">
        <v>1243</v>
      </c>
      <c r="G755" s="8" t="s">
        <v>1249</v>
      </c>
      <c r="I755" s="20">
        <v>45758</v>
      </c>
    </row>
    <row r="756" spans="1:9" ht="14.4" x14ac:dyDescent="0.3">
      <c r="A756" t="s">
        <v>467</v>
      </c>
      <c r="B756" t="s">
        <v>612</v>
      </c>
      <c r="C756" t="s">
        <v>466</v>
      </c>
      <c r="D756">
        <v>2008</v>
      </c>
      <c r="E756" s="6" t="s">
        <v>1242</v>
      </c>
      <c r="F756" s="8" t="s">
        <v>1243</v>
      </c>
      <c r="G756" s="8" t="s">
        <v>1250</v>
      </c>
      <c r="H756" s="23"/>
      <c r="I756" s="20">
        <v>45758</v>
      </c>
    </row>
    <row r="757" spans="1:9" ht="14.4" x14ac:dyDescent="0.3">
      <c r="A757" t="s">
        <v>467</v>
      </c>
      <c r="B757" t="s">
        <v>612</v>
      </c>
      <c r="C757" t="s">
        <v>466</v>
      </c>
      <c r="D757">
        <v>2009</v>
      </c>
      <c r="E757" s="6" t="s">
        <v>1242</v>
      </c>
      <c r="F757" s="8" t="s">
        <v>1243</v>
      </c>
      <c r="G757" s="8" t="s">
        <v>1251</v>
      </c>
      <c r="H757" s="23"/>
      <c r="I757" s="20">
        <v>45758</v>
      </c>
    </row>
    <row r="758" spans="1:9" ht="14.4" x14ac:dyDescent="0.3">
      <c r="A758" t="s">
        <v>467</v>
      </c>
      <c r="B758" t="s">
        <v>612</v>
      </c>
      <c r="C758" t="s">
        <v>466</v>
      </c>
      <c r="D758">
        <v>2010</v>
      </c>
      <c r="E758" s="6" t="s">
        <v>1242</v>
      </c>
      <c r="F758" s="8" t="s">
        <v>1243</v>
      </c>
      <c r="G758" s="8" t="s">
        <v>1252</v>
      </c>
      <c r="H758" s="23"/>
      <c r="I758" s="20">
        <v>45758</v>
      </c>
    </row>
    <row r="759" spans="1:9" ht="14.4" x14ac:dyDescent="0.3">
      <c r="A759" t="s">
        <v>467</v>
      </c>
      <c r="B759" t="s">
        <v>612</v>
      </c>
      <c r="C759" t="s">
        <v>466</v>
      </c>
      <c r="D759">
        <v>2011</v>
      </c>
      <c r="E759" s="6" t="s">
        <v>1242</v>
      </c>
      <c r="F759" s="8" t="s">
        <v>1243</v>
      </c>
      <c r="G759" s="8" t="s">
        <v>1253</v>
      </c>
      <c r="H759" s="23"/>
      <c r="I759" s="20">
        <v>45758</v>
      </c>
    </row>
    <row r="760" spans="1:9" ht="14.4" x14ac:dyDescent="0.3">
      <c r="A760" t="s">
        <v>467</v>
      </c>
      <c r="B760" t="s">
        <v>612</v>
      </c>
      <c r="C760" t="s">
        <v>466</v>
      </c>
      <c r="D760">
        <v>2012</v>
      </c>
      <c r="E760" s="6" t="s">
        <v>1242</v>
      </c>
      <c r="F760" s="8" t="s">
        <v>1243</v>
      </c>
      <c r="G760" s="8" t="s">
        <v>1254</v>
      </c>
      <c r="H760" s="23"/>
      <c r="I760" s="20">
        <v>45758</v>
      </c>
    </row>
    <row r="761" spans="1:9" ht="14.4" x14ac:dyDescent="0.3">
      <c r="A761" t="s">
        <v>467</v>
      </c>
      <c r="B761" t="s">
        <v>612</v>
      </c>
      <c r="C761" t="s">
        <v>466</v>
      </c>
      <c r="D761">
        <v>2013</v>
      </c>
      <c r="E761" s="6" t="s">
        <v>1242</v>
      </c>
      <c r="F761" s="8" t="s">
        <v>1243</v>
      </c>
      <c r="G761" s="8" t="s">
        <v>1255</v>
      </c>
      <c r="H761" s="24" t="s">
        <v>1256</v>
      </c>
      <c r="I761" s="20">
        <v>45758</v>
      </c>
    </row>
    <row r="762" spans="1:9" ht="14.4" x14ac:dyDescent="0.3">
      <c r="A762" t="s">
        <v>467</v>
      </c>
      <c r="B762" t="s">
        <v>612</v>
      </c>
      <c r="C762" t="s">
        <v>466</v>
      </c>
      <c r="D762">
        <v>2014</v>
      </c>
      <c r="E762" s="6" t="s">
        <v>1242</v>
      </c>
      <c r="F762" s="8" t="s">
        <v>1243</v>
      </c>
      <c r="G762" s="8" t="s">
        <v>1257</v>
      </c>
      <c r="H762" s="24" t="s">
        <v>1256</v>
      </c>
      <c r="I762" s="20">
        <v>45758</v>
      </c>
    </row>
    <row r="763" spans="1:9" ht="14.4" x14ac:dyDescent="0.3">
      <c r="A763" t="s">
        <v>467</v>
      </c>
      <c r="B763" t="s">
        <v>612</v>
      </c>
      <c r="C763" t="s">
        <v>466</v>
      </c>
      <c r="D763">
        <v>2015</v>
      </c>
      <c r="E763" s="6" t="s">
        <v>1242</v>
      </c>
      <c r="F763" s="8" t="s">
        <v>1243</v>
      </c>
      <c r="G763" s="8" t="s">
        <v>1258</v>
      </c>
      <c r="H763" s="23"/>
      <c r="I763" s="20">
        <v>45758</v>
      </c>
    </row>
    <row r="764" spans="1:9" ht="14.4" x14ac:dyDescent="0.3">
      <c r="A764" t="s">
        <v>467</v>
      </c>
      <c r="B764" t="s">
        <v>612</v>
      </c>
      <c r="C764" t="s">
        <v>466</v>
      </c>
      <c r="D764">
        <v>2016</v>
      </c>
      <c r="E764" s="6" t="s">
        <v>1242</v>
      </c>
      <c r="F764" s="8" t="s">
        <v>1243</v>
      </c>
      <c r="G764" s="8" t="s">
        <v>1259</v>
      </c>
      <c r="H764" s="23"/>
      <c r="I764" s="20">
        <v>45758</v>
      </c>
    </row>
    <row r="765" spans="1:9" ht="14.4" x14ac:dyDescent="0.3">
      <c r="A765" t="s">
        <v>467</v>
      </c>
      <c r="B765" t="s">
        <v>612</v>
      </c>
      <c r="C765" t="s">
        <v>466</v>
      </c>
      <c r="D765">
        <v>2017</v>
      </c>
      <c r="E765" s="6" t="s">
        <v>1242</v>
      </c>
      <c r="F765" s="8" t="s">
        <v>1243</v>
      </c>
      <c r="G765" s="8" t="s">
        <v>1260</v>
      </c>
      <c r="H765" s="23"/>
      <c r="I765" s="20">
        <v>45758</v>
      </c>
    </row>
    <row r="766" spans="1:9" ht="14.4" x14ac:dyDescent="0.3">
      <c r="A766" t="s">
        <v>467</v>
      </c>
      <c r="B766" t="s">
        <v>612</v>
      </c>
      <c r="C766" t="s">
        <v>466</v>
      </c>
      <c r="D766">
        <v>2018</v>
      </c>
      <c r="E766" s="6" t="s">
        <v>1242</v>
      </c>
      <c r="F766" s="8" t="s">
        <v>1243</v>
      </c>
      <c r="G766" s="8" t="s">
        <v>1261</v>
      </c>
      <c r="H766" s="23"/>
      <c r="I766" s="20">
        <v>45758</v>
      </c>
    </row>
    <row r="767" spans="1:9" ht="14.4" x14ac:dyDescent="0.3">
      <c r="A767" t="s">
        <v>467</v>
      </c>
      <c r="B767" t="s">
        <v>612</v>
      </c>
      <c r="C767" t="s">
        <v>466</v>
      </c>
      <c r="D767">
        <v>2019</v>
      </c>
      <c r="E767" s="6" t="s">
        <v>1242</v>
      </c>
      <c r="F767" s="8" t="s">
        <v>1243</v>
      </c>
      <c r="G767" s="8" t="s">
        <v>1262</v>
      </c>
      <c r="I767" s="20">
        <v>45758</v>
      </c>
    </row>
    <row r="768" spans="1:9" ht="14.4" x14ac:dyDescent="0.3">
      <c r="A768" t="s">
        <v>467</v>
      </c>
      <c r="B768" t="s">
        <v>612</v>
      </c>
      <c r="C768" t="s">
        <v>466</v>
      </c>
      <c r="D768">
        <v>2020</v>
      </c>
      <c r="E768" s="6" t="s">
        <v>1242</v>
      </c>
      <c r="F768" s="8" t="s">
        <v>1243</v>
      </c>
      <c r="G768" s="8" t="s">
        <v>1263</v>
      </c>
      <c r="I768" s="20">
        <v>45758</v>
      </c>
    </row>
    <row r="769" spans="1:9" ht="14.4" x14ac:dyDescent="0.3">
      <c r="A769" t="s">
        <v>467</v>
      </c>
      <c r="B769" t="s">
        <v>612</v>
      </c>
      <c r="C769" t="s">
        <v>466</v>
      </c>
      <c r="D769">
        <v>2021</v>
      </c>
      <c r="E769" s="6" t="s">
        <v>1242</v>
      </c>
      <c r="F769" s="8" t="s">
        <v>1243</v>
      </c>
      <c r="G769" s="8" t="s">
        <v>1264</v>
      </c>
      <c r="I769" s="20">
        <v>45758</v>
      </c>
    </row>
    <row r="770" spans="1:9" ht="14.4" x14ac:dyDescent="0.3">
      <c r="A770" t="s">
        <v>467</v>
      </c>
      <c r="B770" t="s">
        <v>612</v>
      </c>
      <c r="C770" t="s">
        <v>466</v>
      </c>
      <c r="D770">
        <v>2022</v>
      </c>
      <c r="E770" s="6" t="s">
        <v>1242</v>
      </c>
      <c r="F770" s="8" t="s">
        <v>1243</v>
      </c>
      <c r="G770" s="8" t="s">
        <v>1265</v>
      </c>
      <c r="I770" s="20">
        <v>45758</v>
      </c>
    </row>
    <row r="771" spans="1:9" ht="14.4" x14ac:dyDescent="0.3">
      <c r="A771" t="s">
        <v>467</v>
      </c>
      <c r="B771" t="s">
        <v>612</v>
      </c>
      <c r="C771" t="s">
        <v>466</v>
      </c>
      <c r="D771">
        <v>2023</v>
      </c>
      <c r="E771" s="6" t="s">
        <v>1242</v>
      </c>
      <c r="F771" s="8" t="s">
        <v>1243</v>
      </c>
      <c r="G771" s="8" t="s">
        <v>1266</v>
      </c>
      <c r="I771" s="20">
        <v>45758</v>
      </c>
    </row>
    <row r="772" spans="1:9" ht="14.4" x14ac:dyDescent="0.3">
      <c r="A772" t="s">
        <v>467</v>
      </c>
      <c r="B772" t="s">
        <v>612</v>
      </c>
      <c r="C772" t="s">
        <v>466</v>
      </c>
      <c r="D772">
        <v>2024</v>
      </c>
      <c r="E772" s="6" t="s">
        <v>1242</v>
      </c>
      <c r="F772" s="8" t="s">
        <v>1243</v>
      </c>
      <c r="G772" s="8" t="s">
        <v>1267</v>
      </c>
      <c r="I772" s="20">
        <v>45758</v>
      </c>
    </row>
    <row r="773" spans="1:9" ht="14.4" x14ac:dyDescent="0.3">
      <c r="A773" t="s">
        <v>483</v>
      </c>
      <c r="B773" t="s">
        <v>613</v>
      </c>
      <c r="C773" t="s">
        <v>482</v>
      </c>
      <c r="D773">
        <v>2003</v>
      </c>
      <c r="E773" s="6" t="s">
        <v>482</v>
      </c>
      <c r="F773" s="8" t="s">
        <v>1268</v>
      </c>
      <c r="G773" s="8" t="s">
        <v>898</v>
      </c>
      <c r="H773" t="s">
        <v>1269</v>
      </c>
      <c r="I773" s="25" t="s">
        <v>736</v>
      </c>
    </row>
    <row r="774" spans="1:9" ht="14.4" x14ac:dyDescent="0.3">
      <c r="A774" t="s">
        <v>483</v>
      </c>
      <c r="B774" t="s">
        <v>613</v>
      </c>
      <c r="C774" t="s">
        <v>482</v>
      </c>
      <c r="D774">
        <v>2004</v>
      </c>
      <c r="E774" s="6" t="s">
        <v>482</v>
      </c>
      <c r="F774" s="8" t="s">
        <v>1268</v>
      </c>
      <c r="G774" s="8" t="s">
        <v>898</v>
      </c>
      <c r="H774" t="s">
        <v>1269</v>
      </c>
      <c r="I774" s="25" t="s">
        <v>736</v>
      </c>
    </row>
    <row r="775" spans="1:9" ht="14.4" x14ac:dyDescent="0.3">
      <c r="A775" t="s">
        <v>483</v>
      </c>
      <c r="B775" t="s">
        <v>613</v>
      </c>
      <c r="C775" t="s">
        <v>482</v>
      </c>
      <c r="D775">
        <v>2005</v>
      </c>
      <c r="E775" s="6" t="s">
        <v>482</v>
      </c>
      <c r="F775" s="8" t="s">
        <v>1268</v>
      </c>
      <c r="G775" s="8" t="s">
        <v>898</v>
      </c>
      <c r="H775" t="s">
        <v>1269</v>
      </c>
      <c r="I775" s="25" t="s">
        <v>736</v>
      </c>
    </row>
    <row r="776" spans="1:9" ht="14.4" x14ac:dyDescent="0.3">
      <c r="A776" t="s">
        <v>483</v>
      </c>
      <c r="B776" t="s">
        <v>613</v>
      </c>
      <c r="C776" t="s">
        <v>482</v>
      </c>
      <c r="D776">
        <v>2006</v>
      </c>
      <c r="E776" s="6" t="s">
        <v>482</v>
      </c>
      <c r="F776" s="8" t="s">
        <v>1268</v>
      </c>
      <c r="G776" s="8" t="s">
        <v>1270</v>
      </c>
      <c r="H776" t="s">
        <v>1269</v>
      </c>
      <c r="I776" s="25" t="s">
        <v>736</v>
      </c>
    </row>
    <row r="777" spans="1:9" ht="14.4" x14ac:dyDescent="0.3">
      <c r="A777" t="s">
        <v>483</v>
      </c>
      <c r="B777" t="s">
        <v>613</v>
      </c>
      <c r="C777" t="s">
        <v>482</v>
      </c>
      <c r="D777">
        <v>2007</v>
      </c>
      <c r="E777" s="6" t="s">
        <v>482</v>
      </c>
      <c r="F777" s="8" t="s">
        <v>1268</v>
      </c>
      <c r="G777" s="8" t="s">
        <v>1271</v>
      </c>
      <c r="H777" t="s">
        <v>1269</v>
      </c>
      <c r="I777" s="25" t="s">
        <v>736</v>
      </c>
    </row>
    <row r="778" spans="1:9" ht="14.4" x14ac:dyDescent="0.3">
      <c r="A778" t="s">
        <v>483</v>
      </c>
      <c r="B778" t="s">
        <v>613</v>
      </c>
      <c r="C778" t="s">
        <v>482</v>
      </c>
      <c r="D778">
        <v>2008</v>
      </c>
      <c r="E778" s="6" t="s">
        <v>482</v>
      </c>
      <c r="F778" s="8" t="s">
        <v>1268</v>
      </c>
      <c r="G778" s="8" t="s">
        <v>1272</v>
      </c>
      <c r="I778" s="25" t="s">
        <v>736</v>
      </c>
    </row>
    <row r="779" spans="1:9" ht="14.4" x14ac:dyDescent="0.3">
      <c r="A779" t="s">
        <v>483</v>
      </c>
      <c r="B779" t="s">
        <v>613</v>
      </c>
      <c r="C779" t="s">
        <v>482</v>
      </c>
      <c r="D779">
        <v>2009</v>
      </c>
      <c r="E779" s="6" t="s">
        <v>482</v>
      </c>
      <c r="F779" s="8" t="s">
        <v>1268</v>
      </c>
      <c r="G779" s="8" t="s">
        <v>1273</v>
      </c>
      <c r="I779" s="25" t="s">
        <v>736</v>
      </c>
    </row>
    <row r="780" spans="1:9" ht="14.4" x14ac:dyDescent="0.3">
      <c r="A780" t="s">
        <v>483</v>
      </c>
      <c r="B780" t="s">
        <v>613</v>
      </c>
      <c r="C780" t="s">
        <v>482</v>
      </c>
      <c r="D780">
        <v>2010</v>
      </c>
      <c r="E780" s="6" t="s">
        <v>482</v>
      </c>
      <c r="F780" s="8" t="s">
        <v>1268</v>
      </c>
      <c r="G780" s="8" t="s">
        <v>1274</v>
      </c>
      <c r="H780" t="s">
        <v>632</v>
      </c>
      <c r="I780" s="25" t="s">
        <v>736</v>
      </c>
    </row>
    <row r="781" spans="1:9" ht="14.4" x14ac:dyDescent="0.3">
      <c r="A781" t="s">
        <v>483</v>
      </c>
      <c r="B781" t="s">
        <v>613</v>
      </c>
      <c r="C781" t="s">
        <v>482</v>
      </c>
      <c r="D781">
        <v>2011</v>
      </c>
      <c r="E781" s="6" t="s">
        <v>482</v>
      </c>
      <c r="F781" s="8" t="s">
        <v>1268</v>
      </c>
      <c r="G781" s="8" t="s">
        <v>1275</v>
      </c>
      <c r="H781" t="s">
        <v>632</v>
      </c>
      <c r="I781" s="25" t="s">
        <v>736</v>
      </c>
    </row>
    <row r="782" spans="1:9" ht="14.4" x14ac:dyDescent="0.3">
      <c r="A782" t="s">
        <v>483</v>
      </c>
      <c r="B782" t="s">
        <v>613</v>
      </c>
      <c r="C782" t="s">
        <v>482</v>
      </c>
      <c r="D782">
        <v>2012</v>
      </c>
      <c r="E782" s="6" t="s">
        <v>482</v>
      </c>
      <c r="F782" s="8" t="s">
        <v>1268</v>
      </c>
      <c r="G782" s="8" t="s">
        <v>1275</v>
      </c>
      <c r="I782" s="25" t="s">
        <v>736</v>
      </c>
    </row>
    <row r="783" spans="1:9" ht="14.4" x14ac:dyDescent="0.3">
      <c r="A783" t="s">
        <v>483</v>
      </c>
      <c r="B783" t="s">
        <v>613</v>
      </c>
      <c r="C783" t="s">
        <v>482</v>
      </c>
      <c r="D783">
        <v>2013</v>
      </c>
      <c r="E783" s="6" t="s">
        <v>482</v>
      </c>
      <c r="F783" s="8" t="s">
        <v>1276</v>
      </c>
      <c r="G783" t="s">
        <v>1277</v>
      </c>
      <c r="I783" s="25" t="s">
        <v>736</v>
      </c>
    </row>
    <row r="784" spans="1:9" ht="14.4" x14ac:dyDescent="0.3">
      <c r="A784" t="s">
        <v>483</v>
      </c>
      <c r="B784" t="s">
        <v>613</v>
      </c>
      <c r="C784" t="s">
        <v>482</v>
      </c>
      <c r="D784">
        <v>2014</v>
      </c>
      <c r="E784" s="6" t="s">
        <v>482</v>
      </c>
      <c r="F784" s="8" t="s">
        <v>1276</v>
      </c>
      <c r="G784" t="s">
        <v>1277</v>
      </c>
      <c r="H784" t="s">
        <v>632</v>
      </c>
      <c r="I784" s="25" t="s">
        <v>736</v>
      </c>
    </row>
    <row r="785" spans="1:9" ht="14.4" x14ac:dyDescent="0.3">
      <c r="A785" t="s">
        <v>483</v>
      </c>
      <c r="B785" t="s">
        <v>613</v>
      </c>
      <c r="C785" t="s">
        <v>482</v>
      </c>
      <c r="D785">
        <v>2015</v>
      </c>
      <c r="E785" s="6" t="s">
        <v>482</v>
      </c>
      <c r="F785" s="8" t="s">
        <v>1276</v>
      </c>
      <c r="G785" t="s">
        <v>1277</v>
      </c>
      <c r="H785" t="s">
        <v>632</v>
      </c>
      <c r="I785" s="25" t="s">
        <v>736</v>
      </c>
    </row>
    <row r="786" spans="1:9" ht="14.4" x14ac:dyDescent="0.3">
      <c r="A786" t="s">
        <v>483</v>
      </c>
      <c r="B786" t="s">
        <v>613</v>
      </c>
      <c r="C786" t="s">
        <v>482</v>
      </c>
      <c r="D786">
        <v>2016</v>
      </c>
      <c r="E786" s="6" t="s">
        <v>482</v>
      </c>
      <c r="F786" s="8" t="s">
        <v>1276</v>
      </c>
      <c r="G786" t="s">
        <v>1277</v>
      </c>
      <c r="H786" t="s">
        <v>632</v>
      </c>
      <c r="I786" s="25" t="s">
        <v>736</v>
      </c>
    </row>
    <row r="787" spans="1:9" ht="14.4" x14ac:dyDescent="0.3">
      <c r="A787" t="s">
        <v>483</v>
      </c>
      <c r="B787" t="s">
        <v>613</v>
      </c>
      <c r="C787" t="s">
        <v>482</v>
      </c>
      <c r="D787">
        <v>2017</v>
      </c>
      <c r="E787" s="6" t="s">
        <v>482</v>
      </c>
      <c r="F787" s="8" t="s">
        <v>1276</v>
      </c>
      <c r="G787" t="s">
        <v>1277</v>
      </c>
      <c r="I787" s="25" t="s">
        <v>736</v>
      </c>
    </row>
    <row r="788" spans="1:9" ht="14.4" x14ac:dyDescent="0.3">
      <c r="A788" t="s">
        <v>483</v>
      </c>
      <c r="B788" t="s">
        <v>613</v>
      </c>
      <c r="C788" t="s">
        <v>482</v>
      </c>
      <c r="D788">
        <v>2018</v>
      </c>
      <c r="E788" s="6" t="s">
        <v>482</v>
      </c>
      <c r="F788" s="8" t="s">
        <v>1276</v>
      </c>
      <c r="G788" t="s">
        <v>1277</v>
      </c>
      <c r="I788" s="25" t="s">
        <v>736</v>
      </c>
    </row>
    <row r="789" spans="1:9" ht="14.4" x14ac:dyDescent="0.3">
      <c r="A789" t="s">
        <v>483</v>
      </c>
      <c r="B789" t="s">
        <v>613</v>
      </c>
      <c r="C789" t="s">
        <v>482</v>
      </c>
      <c r="D789">
        <v>2019</v>
      </c>
      <c r="E789" s="6" t="s">
        <v>482</v>
      </c>
      <c r="F789" s="8" t="s">
        <v>1276</v>
      </c>
      <c r="G789" t="s">
        <v>1277</v>
      </c>
      <c r="I789" s="25" t="s">
        <v>736</v>
      </c>
    </row>
    <row r="790" spans="1:9" ht="14.4" x14ac:dyDescent="0.3">
      <c r="A790" t="s">
        <v>483</v>
      </c>
      <c r="B790" t="s">
        <v>613</v>
      </c>
      <c r="C790" t="s">
        <v>482</v>
      </c>
      <c r="D790">
        <v>2020</v>
      </c>
      <c r="E790" s="6" t="s">
        <v>482</v>
      </c>
      <c r="F790" s="8" t="s">
        <v>1276</v>
      </c>
      <c r="G790" t="s">
        <v>1277</v>
      </c>
      <c r="I790" s="25" t="s">
        <v>736</v>
      </c>
    </row>
    <row r="791" spans="1:9" ht="14.4" x14ac:dyDescent="0.3">
      <c r="A791" t="s">
        <v>483</v>
      </c>
      <c r="B791" t="s">
        <v>613</v>
      </c>
      <c r="C791" t="s">
        <v>482</v>
      </c>
      <c r="D791">
        <v>2021</v>
      </c>
      <c r="E791" s="6" t="s">
        <v>482</v>
      </c>
      <c r="F791" s="8" t="s">
        <v>1276</v>
      </c>
      <c r="G791" t="s">
        <v>1277</v>
      </c>
      <c r="H791" t="s">
        <v>632</v>
      </c>
      <c r="I791" s="25" t="s">
        <v>736</v>
      </c>
    </row>
    <row r="792" spans="1:9" ht="14.4" x14ac:dyDescent="0.3">
      <c r="A792" t="s">
        <v>483</v>
      </c>
      <c r="B792" t="s">
        <v>613</v>
      </c>
      <c r="C792" t="s">
        <v>482</v>
      </c>
      <c r="D792">
        <v>2022</v>
      </c>
      <c r="E792" s="6" t="s">
        <v>482</v>
      </c>
      <c r="F792" s="8" t="s">
        <v>1276</v>
      </c>
      <c r="G792" t="s">
        <v>1277</v>
      </c>
      <c r="I792" s="25" t="s">
        <v>736</v>
      </c>
    </row>
    <row r="793" spans="1:9" ht="14.4" x14ac:dyDescent="0.3">
      <c r="A793" t="s">
        <v>483</v>
      </c>
      <c r="B793" t="s">
        <v>613</v>
      </c>
      <c r="C793" t="s">
        <v>482</v>
      </c>
      <c r="D793">
        <v>2023</v>
      </c>
      <c r="E793" s="6" t="s">
        <v>482</v>
      </c>
      <c r="F793" s="8" t="s">
        <v>1276</v>
      </c>
      <c r="G793" t="s">
        <v>1277</v>
      </c>
      <c r="I793" s="25" t="s">
        <v>736</v>
      </c>
    </row>
    <row r="794" spans="1:9" ht="14.4" x14ac:dyDescent="0.3">
      <c r="A794" t="s">
        <v>483</v>
      </c>
      <c r="B794" t="s">
        <v>613</v>
      </c>
      <c r="C794" t="s">
        <v>482</v>
      </c>
      <c r="D794">
        <v>2024</v>
      </c>
      <c r="E794" s="6" t="s">
        <v>482</v>
      </c>
      <c r="F794" s="8" t="s">
        <v>1276</v>
      </c>
      <c r="G794" t="s">
        <v>1277</v>
      </c>
      <c r="I794" s="25" t="s">
        <v>736</v>
      </c>
    </row>
    <row r="795" spans="1:9" ht="14.4" x14ac:dyDescent="0.3">
      <c r="A795" t="s">
        <v>493</v>
      </c>
      <c r="B795" t="s">
        <v>614</v>
      </c>
      <c r="C795" t="s">
        <v>492</v>
      </c>
      <c r="D795">
        <v>2001</v>
      </c>
      <c r="E795" t="s">
        <v>1278</v>
      </c>
      <c r="F795" s="1" t="s">
        <v>1279</v>
      </c>
      <c r="G795" s="1" t="s">
        <v>1280</v>
      </c>
      <c r="H795" t="s">
        <v>1281</v>
      </c>
      <c r="I795" s="25" t="s">
        <v>757</v>
      </c>
    </row>
    <row r="796" spans="1:9" ht="14.4" x14ac:dyDescent="0.3">
      <c r="A796" t="s">
        <v>493</v>
      </c>
      <c r="B796" t="s">
        <v>614</v>
      </c>
      <c r="C796" t="s">
        <v>492</v>
      </c>
      <c r="D796">
        <v>2002</v>
      </c>
      <c r="E796" t="s">
        <v>1278</v>
      </c>
      <c r="F796" s="1" t="s">
        <v>1279</v>
      </c>
      <c r="G796" s="1" t="s">
        <v>1282</v>
      </c>
      <c r="I796" s="25" t="s">
        <v>757</v>
      </c>
    </row>
    <row r="797" spans="1:9" ht="14.4" x14ac:dyDescent="0.3">
      <c r="A797" t="s">
        <v>493</v>
      </c>
      <c r="B797" t="s">
        <v>614</v>
      </c>
      <c r="C797" t="s">
        <v>492</v>
      </c>
      <c r="D797">
        <v>2003</v>
      </c>
      <c r="E797" t="s">
        <v>1278</v>
      </c>
      <c r="F797" s="1" t="s">
        <v>1279</v>
      </c>
      <c r="G797" s="1" t="s">
        <v>1282</v>
      </c>
      <c r="I797" s="25" t="s">
        <v>757</v>
      </c>
    </row>
    <row r="798" spans="1:9" ht="14.4" x14ac:dyDescent="0.3">
      <c r="A798" t="s">
        <v>493</v>
      </c>
      <c r="B798" t="s">
        <v>614</v>
      </c>
      <c r="C798" t="s">
        <v>492</v>
      </c>
      <c r="D798">
        <v>2004</v>
      </c>
      <c r="E798" t="s">
        <v>1278</v>
      </c>
      <c r="F798" s="1" t="s">
        <v>1279</v>
      </c>
      <c r="G798" s="1" t="s">
        <v>1282</v>
      </c>
      <c r="I798" s="25" t="s">
        <v>757</v>
      </c>
    </row>
    <row r="799" spans="1:9" ht="14.4" x14ac:dyDescent="0.3">
      <c r="A799" t="s">
        <v>493</v>
      </c>
      <c r="B799" t="s">
        <v>614</v>
      </c>
      <c r="C799" t="s">
        <v>492</v>
      </c>
      <c r="D799">
        <v>2005</v>
      </c>
      <c r="E799" t="s">
        <v>1278</v>
      </c>
      <c r="F799" s="1" t="s">
        <v>1279</v>
      </c>
      <c r="G799" s="1" t="s">
        <v>1282</v>
      </c>
      <c r="I799" s="25" t="s">
        <v>757</v>
      </c>
    </row>
    <row r="800" spans="1:9" ht="14.4" x14ac:dyDescent="0.3">
      <c r="A800" t="s">
        <v>493</v>
      </c>
      <c r="B800" t="s">
        <v>614</v>
      </c>
      <c r="C800" t="s">
        <v>492</v>
      </c>
      <c r="D800">
        <v>2006</v>
      </c>
      <c r="E800" t="s">
        <v>1278</v>
      </c>
      <c r="F800" s="1" t="s">
        <v>1279</v>
      </c>
      <c r="G800" s="1" t="s">
        <v>1282</v>
      </c>
      <c r="I800" s="25" t="s">
        <v>757</v>
      </c>
    </row>
    <row r="801" spans="1:9" ht="14.4" x14ac:dyDescent="0.3">
      <c r="A801" t="s">
        <v>493</v>
      </c>
      <c r="B801" t="s">
        <v>614</v>
      </c>
      <c r="C801" t="s">
        <v>492</v>
      </c>
      <c r="D801">
        <v>2007</v>
      </c>
      <c r="E801" t="s">
        <v>1278</v>
      </c>
      <c r="F801" s="1" t="s">
        <v>1279</v>
      </c>
      <c r="G801" s="1" t="s">
        <v>1283</v>
      </c>
      <c r="I801" s="25" t="s">
        <v>757</v>
      </c>
    </row>
    <row r="802" spans="1:9" ht="14.4" x14ac:dyDescent="0.3">
      <c r="A802" t="s">
        <v>493</v>
      </c>
      <c r="B802" t="s">
        <v>614</v>
      </c>
      <c r="C802" t="s">
        <v>492</v>
      </c>
      <c r="D802">
        <v>2008</v>
      </c>
      <c r="E802" t="s">
        <v>1278</v>
      </c>
      <c r="F802" s="1" t="s">
        <v>1279</v>
      </c>
      <c r="G802" s="1" t="s">
        <v>1283</v>
      </c>
      <c r="I802" s="25" t="s">
        <v>757</v>
      </c>
    </row>
    <row r="803" spans="1:9" ht="14.4" x14ac:dyDescent="0.3">
      <c r="A803" t="s">
        <v>493</v>
      </c>
      <c r="B803" t="s">
        <v>614</v>
      </c>
      <c r="C803" t="s">
        <v>492</v>
      </c>
      <c r="D803">
        <v>2009</v>
      </c>
      <c r="E803" t="s">
        <v>1278</v>
      </c>
      <c r="F803" s="1" t="s">
        <v>1279</v>
      </c>
      <c r="G803" s="1" t="s">
        <v>1284</v>
      </c>
      <c r="I803" s="25" t="s">
        <v>757</v>
      </c>
    </row>
    <row r="804" spans="1:9" ht="14.4" x14ac:dyDescent="0.3">
      <c r="A804" t="s">
        <v>493</v>
      </c>
      <c r="B804" t="s">
        <v>614</v>
      </c>
      <c r="C804" t="s">
        <v>492</v>
      </c>
      <c r="D804">
        <v>2010</v>
      </c>
      <c r="E804" t="s">
        <v>1278</v>
      </c>
      <c r="F804" s="1" t="s">
        <v>1279</v>
      </c>
      <c r="G804" s="1" t="s">
        <v>1284</v>
      </c>
      <c r="H804" t="s">
        <v>632</v>
      </c>
      <c r="I804" s="25" t="s">
        <v>757</v>
      </c>
    </row>
    <row r="805" spans="1:9" ht="14.4" x14ac:dyDescent="0.3">
      <c r="A805" t="s">
        <v>493</v>
      </c>
      <c r="B805" t="s">
        <v>614</v>
      </c>
      <c r="C805" t="s">
        <v>492</v>
      </c>
      <c r="D805">
        <v>2011</v>
      </c>
      <c r="E805" t="s">
        <v>1278</v>
      </c>
      <c r="F805" s="1" t="s">
        <v>1279</v>
      </c>
      <c r="G805" s="1" t="s">
        <v>1284</v>
      </c>
      <c r="I805" s="25" t="s">
        <v>757</v>
      </c>
    </row>
    <row r="806" spans="1:9" ht="14.4" x14ac:dyDescent="0.3">
      <c r="A806" t="s">
        <v>493</v>
      </c>
      <c r="B806" t="s">
        <v>614</v>
      </c>
      <c r="C806" t="s">
        <v>492</v>
      </c>
      <c r="D806">
        <v>2012</v>
      </c>
      <c r="E806" t="s">
        <v>1278</v>
      </c>
      <c r="F806" s="1" t="s">
        <v>1279</v>
      </c>
      <c r="G806" s="1" t="s">
        <v>1284</v>
      </c>
      <c r="I806" s="25" t="s">
        <v>757</v>
      </c>
    </row>
    <row r="807" spans="1:9" ht="14.4" x14ac:dyDescent="0.3">
      <c r="A807" t="s">
        <v>493</v>
      </c>
      <c r="B807" t="s">
        <v>614</v>
      </c>
      <c r="C807" t="s">
        <v>492</v>
      </c>
      <c r="D807">
        <v>2013</v>
      </c>
      <c r="E807" t="s">
        <v>1278</v>
      </c>
      <c r="F807" s="1" t="s">
        <v>1285</v>
      </c>
      <c r="G807" s="1" t="s">
        <v>1286</v>
      </c>
      <c r="I807" s="25" t="s">
        <v>757</v>
      </c>
    </row>
    <row r="808" spans="1:9" ht="14.4" x14ac:dyDescent="0.3">
      <c r="A808" t="s">
        <v>493</v>
      </c>
      <c r="B808" t="s">
        <v>614</v>
      </c>
      <c r="C808" t="s">
        <v>492</v>
      </c>
      <c r="D808">
        <v>2014</v>
      </c>
      <c r="E808" t="s">
        <v>1278</v>
      </c>
      <c r="F808" s="1" t="s">
        <v>1285</v>
      </c>
      <c r="G808" s="1" t="s">
        <v>1286</v>
      </c>
      <c r="I808" s="25" t="s">
        <v>757</v>
      </c>
    </row>
    <row r="809" spans="1:9" ht="14.4" x14ac:dyDescent="0.3">
      <c r="A809" t="s">
        <v>493</v>
      </c>
      <c r="B809" t="s">
        <v>614</v>
      </c>
      <c r="C809" t="s">
        <v>492</v>
      </c>
      <c r="D809">
        <v>2015</v>
      </c>
      <c r="E809" t="s">
        <v>1278</v>
      </c>
      <c r="F809" s="1" t="s">
        <v>1285</v>
      </c>
      <c r="G809" s="1" t="s">
        <v>1287</v>
      </c>
      <c r="I809" s="25" t="s">
        <v>757</v>
      </c>
    </row>
    <row r="810" spans="1:9" ht="14.4" x14ac:dyDescent="0.3">
      <c r="A810" t="s">
        <v>493</v>
      </c>
      <c r="B810" t="s">
        <v>614</v>
      </c>
      <c r="C810" t="s">
        <v>492</v>
      </c>
      <c r="D810">
        <v>2016</v>
      </c>
      <c r="E810" t="s">
        <v>1278</v>
      </c>
      <c r="F810" s="1" t="s">
        <v>1285</v>
      </c>
      <c r="G810" s="1" t="s">
        <v>1287</v>
      </c>
      <c r="I810" s="25" t="s">
        <v>757</v>
      </c>
    </row>
    <row r="811" spans="1:9" ht="14.4" x14ac:dyDescent="0.3">
      <c r="A811" t="s">
        <v>493</v>
      </c>
      <c r="B811" t="s">
        <v>614</v>
      </c>
      <c r="C811" t="s">
        <v>492</v>
      </c>
      <c r="D811">
        <v>2017</v>
      </c>
      <c r="E811" t="s">
        <v>1278</v>
      </c>
      <c r="F811" s="1" t="s">
        <v>1285</v>
      </c>
      <c r="G811" s="1" t="s">
        <v>1287</v>
      </c>
      <c r="I811" s="25" t="s">
        <v>757</v>
      </c>
    </row>
    <row r="812" spans="1:9" ht="14.4" x14ac:dyDescent="0.3">
      <c r="A812" t="s">
        <v>493</v>
      </c>
      <c r="B812" t="s">
        <v>614</v>
      </c>
      <c r="C812" t="s">
        <v>492</v>
      </c>
      <c r="D812">
        <v>2018</v>
      </c>
      <c r="E812" t="s">
        <v>1278</v>
      </c>
      <c r="F812" s="1" t="s">
        <v>1285</v>
      </c>
      <c r="G812" s="1" t="s">
        <v>1288</v>
      </c>
      <c r="I812" s="25" t="s">
        <v>757</v>
      </c>
    </row>
    <row r="813" spans="1:9" ht="14.4" x14ac:dyDescent="0.3">
      <c r="A813" t="s">
        <v>493</v>
      </c>
      <c r="B813" t="s">
        <v>614</v>
      </c>
      <c r="C813" t="s">
        <v>492</v>
      </c>
      <c r="D813">
        <v>2019</v>
      </c>
      <c r="E813" t="s">
        <v>1278</v>
      </c>
      <c r="F813" s="1" t="s">
        <v>1285</v>
      </c>
      <c r="G813" s="1" t="s">
        <v>1288</v>
      </c>
      <c r="I813" s="25" t="s">
        <v>757</v>
      </c>
    </row>
    <row r="814" spans="1:9" ht="14.4" x14ac:dyDescent="0.3">
      <c r="A814" t="s">
        <v>493</v>
      </c>
      <c r="B814" t="s">
        <v>614</v>
      </c>
      <c r="C814" t="s">
        <v>492</v>
      </c>
      <c r="D814">
        <v>2020</v>
      </c>
      <c r="E814" t="s">
        <v>1278</v>
      </c>
      <c r="F814" s="1" t="s">
        <v>1285</v>
      </c>
      <c r="G814" s="1" t="s">
        <v>1289</v>
      </c>
      <c r="I814" s="25" t="s">
        <v>757</v>
      </c>
    </row>
    <row r="815" spans="1:9" ht="14.4" x14ac:dyDescent="0.3">
      <c r="A815" t="s">
        <v>493</v>
      </c>
      <c r="B815" t="s">
        <v>614</v>
      </c>
      <c r="C815" t="s">
        <v>492</v>
      </c>
      <c r="D815">
        <v>2021</v>
      </c>
      <c r="E815" t="s">
        <v>1278</v>
      </c>
      <c r="F815" s="1" t="s">
        <v>1285</v>
      </c>
      <c r="G815" s="1" t="s">
        <v>1289</v>
      </c>
      <c r="I815" s="25" t="s">
        <v>757</v>
      </c>
    </row>
    <row r="816" spans="1:9" ht="14.4" x14ac:dyDescent="0.3">
      <c r="A816" t="s">
        <v>493</v>
      </c>
      <c r="B816" t="s">
        <v>614</v>
      </c>
      <c r="C816" t="s">
        <v>492</v>
      </c>
      <c r="D816">
        <v>2022</v>
      </c>
      <c r="E816" t="s">
        <v>1278</v>
      </c>
      <c r="F816" s="1" t="s">
        <v>1285</v>
      </c>
      <c r="G816" s="1" t="s">
        <v>1289</v>
      </c>
      <c r="I816" s="25" t="s">
        <v>757</v>
      </c>
    </row>
    <row r="817" spans="1:9" ht="14.4" x14ac:dyDescent="0.3">
      <c r="A817" t="s">
        <v>493</v>
      </c>
      <c r="B817" t="s">
        <v>614</v>
      </c>
      <c r="C817" t="s">
        <v>492</v>
      </c>
      <c r="D817">
        <v>2023</v>
      </c>
      <c r="E817" t="s">
        <v>1278</v>
      </c>
      <c r="F817" s="1" t="s">
        <v>1285</v>
      </c>
      <c r="G817" s="1" t="s">
        <v>1289</v>
      </c>
      <c r="I817" s="25" t="s">
        <v>757</v>
      </c>
    </row>
    <row r="818" spans="1:9" ht="14.4" x14ac:dyDescent="0.3">
      <c r="A818" t="s">
        <v>493</v>
      </c>
      <c r="B818" t="s">
        <v>614</v>
      </c>
      <c r="C818" t="s">
        <v>492</v>
      </c>
      <c r="D818">
        <v>2024</v>
      </c>
      <c r="E818" t="s">
        <v>1278</v>
      </c>
      <c r="F818" s="1" t="s">
        <v>1285</v>
      </c>
      <c r="G818" s="1" t="s">
        <v>1289</v>
      </c>
      <c r="I818" s="25" t="s">
        <v>757</v>
      </c>
    </row>
    <row r="819" spans="1:9" ht="14.4" x14ac:dyDescent="0.3">
      <c r="A819" t="s">
        <v>493</v>
      </c>
      <c r="B819" t="s">
        <v>614</v>
      </c>
      <c r="C819" t="s">
        <v>496</v>
      </c>
      <c r="D819">
        <v>2005</v>
      </c>
      <c r="E819" t="s">
        <v>1290</v>
      </c>
      <c r="F819" s="1" t="s">
        <v>1291</v>
      </c>
      <c r="G819" s="1" t="s">
        <v>1292</v>
      </c>
      <c r="H819" t="s">
        <v>1281</v>
      </c>
      <c r="I819" s="25" t="s">
        <v>757</v>
      </c>
    </row>
    <row r="820" spans="1:9" ht="14.4" x14ac:dyDescent="0.3">
      <c r="A820" t="s">
        <v>493</v>
      </c>
      <c r="B820" t="s">
        <v>614</v>
      </c>
      <c r="C820" t="s">
        <v>496</v>
      </c>
      <c r="D820">
        <v>2006</v>
      </c>
      <c r="E820" t="s">
        <v>1290</v>
      </c>
      <c r="F820" s="1" t="s">
        <v>1291</v>
      </c>
      <c r="G820" t="s">
        <v>1293</v>
      </c>
      <c r="I820" s="25" t="s">
        <v>757</v>
      </c>
    </row>
    <row r="821" spans="1:9" ht="14.4" x14ac:dyDescent="0.3">
      <c r="A821" t="s">
        <v>493</v>
      </c>
      <c r="B821" t="s">
        <v>614</v>
      </c>
      <c r="C821" t="s">
        <v>496</v>
      </c>
      <c r="D821">
        <v>2007</v>
      </c>
      <c r="E821" t="s">
        <v>1290</v>
      </c>
      <c r="F821" s="1" t="s">
        <v>1291</v>
      </c>
      <c r="G821" t="s">
        <v>1294</v>
      </c>
      <c r="I821" s="25" t="s">
        <v>757</v>
      </c>
    </row>
    <row r="822" spans="1:9" ht="14.4" x14ac:dyDescent="0.3">
      <c r="A822" t="s">
        <v>493</v>
      </c>
      <c r="B822" t="s">
        <v>614</v>
      </c>
      <c r="C822" t="s">
        <v>496</v>
      </c>
      <c r="D822">
        <v>2008</v>
      </c>
      <c r="E822" t="s">
        <v>1290</v>
      </c>
      <c r="F822" s="1" t="s">
        <v>1291</v>
      </c>
      <c r="G822" t="s">
        <v>1295</v>
      </c>
      <c r="I822" s="25" t="s">
        <v>757</v>
      </c>
    </row>
    <row r="823" spans="1:9" ht="14.4" x14ac:dyDescent="0.3">
      <c r="A823" t="s">
        <v>493</v>
      </c>
      <c r="B823" t="s">
        <v>614</v>
      </c>
      <c r="C823" t="s">
        <v>496</v>
      </c>
      <c r="D823">
        <v>2009</v>
      </c>
      <c r="E823" t="s">
        <v>1290</v>
      </c>
      <c r="F823" s="1" t="s">
        <v>1291</v>
      </c>
      <c r="G823" t="s">
        <v>1296</v>
      </c>
      <c r="I823" s="25" t="s">
        <v>757</v>
      </c>
    </row>
    <row r="824" spans="1:9" ht="14.4" x14ac:dyDescent="0.3">
      <c r="A824" t="s">
        <v>493</v>
      </c>
      <c r="B824" t="s">
        <v>614</v>
      </c>
      <c r="C824" t="s">
        <v>496</v>
      </c>
      <c r="D824">
        <v>2010</v>
      </c>
      <c r="E824" t="s">
        <v>1290</v>
      </c>
      <c r="F824" s="1" t="s">
        <v>1291</v>
      </c>
      <c r="G824" t="s">
        <v>1297</v>
      </c>
      <c r="I824" s="25" t="s">
        <v>757</v>
      </c>
    </row>
    <row r="825" spans="1:9" ht="14.4" x14ac:dyDescent="0.3">
      <c r="A825" t="s">
        <v>493</v>
      </c>
      <c r="B825" t="s">
        <v>614</v>
      </c>
      <c r="C825" t="s">
        <v>496</v>
      </c>
      <c r="D825">
        <v>2011</v>
      </c>
      <c r="E825" t="s">
        <v>1290</v>
      </c>
      <c r="F825" s="1" t="s">
        <v>1291</v>
      </c>
      <c r="G825" t="s">
        <v>1298</v>
      </c>
      <c r="I825" s="25" t="s">
        <v>757</v>
      </c>
    </row>
    <row r="826" spans="1:9" ht="14.4" x14ac:dyDescent="0.3">
      <c r="A826" t="s">
        <v>493</v>
      </c>
      <c r="B826" t="s">
        <v>614</v>
      </c>
      <c r="C826" t="s">
        <v>496</v>
      </c>
      <c r="D826">
        <v>2012</v>
      </c>
      <c r="E826" t="s">
        <v>1290</v>
      </c>
      <c r="F826" s="1" t="s">
        <v>1291</v>
      </c>
      <c r="G826" t="s">
        <v>1299</v>
      </c>
      <c r="I826" s="25" t="s">
        <v>757</v>
      </c>
    </row>
    <row r="827" spans="1:9" ht="14.4" x14ac:dyDescent="0.3">
      <c r="A827" t="s">
        <v>493</v>
      </c>
      <c r="B827" t="s">
        <v>614</v>
      </c>
      <c r="C827" t="s">
        <v>496</v>
      </c>
      <c r="D827">
        <v>2013</v>
      </c>
      <c r="E827" t="s">
        <v>1290</v>
      </c>
      <c r="F827" s="1" t="s">
        <v>1291</v>
      </c>
      <c r="G827" s="1" t="s">
        <v>1300</v>
      </c>
      <c r="I827" s="25" t="s">
        <v>757</v>
      </c>
    </row>
    <row r="828" spans="1:9" ht="14.4" x14ac:dyDescent="0.3">
      <c r="A828" t="s">
        <v>493</v>
      </c>
      <c r="B828" t="s">
        <v>614</v>
      </c>
      <c r="C828" t="s">
        <v>496</v>
      </c>
      <c r="D828">
        <v>2014</v>
      </c>
      <c r="E828" t="s">
        <v>1290</v>
      </c>
      <c r="F828" s="1" t="s">
        <v>1291</v>
      </c>
      <c r="G828" t="s">
        <v>1301</v>
      </c>
      <c r="I828" s="25" t="s">
        <v>757</v>
      </c>
    </row>
    <row r="829" spans="1:9" ht="14.4" x14ac:dyDescent="0.3">
      <c r="A829" t="s">
        <v>493</v>
      </c>
      <c r="B829" t="s">
        <v>614</v>
      </c>
      <c r="C829" t="s">
        <v>496</v>
      </c>
      <c r="D829">
        <v>2015</v>
      </c>
      <c r="E829" t="s">
        <v>1290</v>
      </c>
      <c r="F829" s="1" t="s">
        <v>1291</v>
      </c>
      <c r="G829" t="s">
        <v>1302</v>
      </c>
      <c r="I829" s="25" t="s">
        <v>757</v>
      </c>
    </row>
    <row r="830" spans="1:9" ht="14.4" x14ac:dyDescent="0.3">
      <c r="A830" t="s">
        <v>493</v>
      </c>
      <c r="B830" t="s">
        <v>614</v>
      </c>
      <c r="C830" t="s">
        <v>496</v>
      </c>
      <c r="D830">
        <v>2016</v>
      </c>
      <c r="E830" t="s">
        <v>1290</v>
      </c>
      <c r="F830" s="1" t="s">
        <v>1291</v>
      </c>
      <c r="G830" t="s">
        <v>1303</v>
      </c>
      <c r="I830" s="25" t="s">
        <v>757</v>
      </c>
    </row>
    <row r="831" spans="1:9" ht="14.4" x14ac:dyDescent="0.3">
      <c r="A831" t="s">
        <v>493</v>
      </c>
      <c r="B831" t="s">
        <v>614</v>
      </c>
      <c r="C831" t="s">
        <v>496</v>
      </c>
      <c r="D831">
        <v>2017</v>
      </c>
      <c r="E831" t="s">
        <v>1290</v>
      </c>
      <c r="F831" s="1" t="s">
        <v>1291</v>
      </c>
      <c r="G831" t="s">
        <v>1304</v>
      </c>
      <c r="I831" s="25" t="s">
        <v>757</v>
      </c>
    </row>
    <row r="832" spans="1:9" ht="14.4" x14ac:dyDescent="0.3">
      <c r="A832" t="s">
        <v>493</v>
      </c>
      <c r="B832" t="s">
        <v>614</v>
      </c>
      <c r="C832" t="s">
        <v>496</v>
      </c>
      <c r="D832">
        <v>2018</v>
      </c>
      <c r="E832" t="s">
        <v>1290</v>
      </c>
      <c r="F832" s="1" t="s">
        <v>1291</v>
      </c>
      <c r="G832" s="1" t="s">
        <v>1305</v>
      </c>
      <c r="I832" s="25" t="s">
        <v>757</v>
      </c>
    </row>
    <row r="833" spans="1:9" ht="14.4" x14ac:dyDescent="0.3">
      <c r="A833" t="s">
        <v>493</v>
      </c>
      <c r="B833" t="s">
        <v>614</v>
      </c>
      <c r="C833" t="s">
        <v>496</v>
      </c>
      <c r="D833">
        <v>2019</v>
      </c>
      <c r="E833" t="s">
        <v>1290</v>
      </c>
      <c r="F833" s="1" t="s">
        <v>1291</v>
      </c>
      <c r="G833" t="s">
        <v>1306</v>
      </c>
      <c r="I833" s="25" t="s">
        <v>757</v>
      </c>
    </row>
    <row r="834" spans="1:9" ht="14.4" x14ac:dyDescent="0.3">
      <c r="A834" t="s">
        <v>493</v>
      </c>
      <c r="B834" t="s">
        <v>614</v>
      </c>
      <c r="C834" t="s">
        <v>496</v>
      </c>
      <c r="D834">
        <v>2020</v>
      </c>
      <c r="E834" t="s">
        <v>1290</v>
      </c>
      <c r="F834" s="1" t="s">
        <v>1291</v>
      </c>
      <c r="G834" s="1" t="s">
        <v>1307</v>
      </c>
      <c r="I834" s="25" t="s">
        <v>757</v>
      </c>
    </row>
    <row r="835" spans="1:9" ht="14.4" x14ac:dyDescent="0.3">
      <c r="A835" t="s">
        <v>493</v>
      </c>
      <c r="B835" t="s">
        <v>614</v>
      </c>
      <c r="C835" t="s">
        <v>496</v>
      </c>
      <c r="D835">
        <v>2021</v>
      </c>
      <c r="E835" t="s">
        <v>1290</v>
      </c>
      <c r="F835" s="1" t="s">
        <v>1291</v>
      </c>
      <c r="G835" t="s">
        <v>1308</v>
      </c>
      <c r="I835" s="25" t="s">
        <v>757</v>
      </c>
    </row>
    <row r="836" spans="1:9" ht="14.4" x14ac:dyDescent="0.3">
      <c r="A836" t="s">
        <v>493</v>
      </c>
      <c r="B836" t="s">
        <v>614</v>
      </c>
      <c r="C836" t="s">
        <v>496</v>
      </c>
      <c r="D836">
        <v>2022</v>
      </c>
      <c r="E836" t="s">
        <v>1290</v>
      </c>
      <c r="F836" s="1" t="s">
        <v>1291</v>
      </c>
      <c r="G836" t="s">
        <v>1309</v>
      </c>
      <c r="I836" s="25" t="s">
        <v>757</v>
      </c>
    </row>
    <row r="837" spans="1:9" ht="14.4" x14ac:dyDescent="0.3">
      <c r="A837" t="s">
        <v>493</v>
      </c>
      <c r="B837" t="s">
        <v>614</v>
      </c>
      <c r="C837" t="s">
        <v>496</v>
      </c>
      <c r="D837">
        <v>2023</v>
      </c>
      <c r="E837" t="s">
        <v>1290</v>
      </c>
      <c r="F837" s="1" t="s">
        <v>1291</v>
      </c>
      <c r="G837" t="s">
        <v>1310</v>
      </c>
      <c r="I837" s="25" t="s">
        <v>757</v>
      </c>
    </row>
    <row r="838" spans="1:9" ht="14.4" x14ac:dyDescent="0.3">
      <c r="A838" t="s">
        <v>493</v>
      </c>
      <c r="B838" t="s">
        <v>614</v>
      </c>
      <c r="C838" t="s">
        <v>496</v>
      </c>
      <c r="D838">
        <v>2024</v>
      </c>
      <c r="E838" t="s">
        <v>1290</v>
      </c>
      <c r="F838" s="1" t="s">
        <v>1291</v>
      </c>
      <c r="G838" s="1" t="s">
        <v>1311</v>
      </c>
      <c r="I838" s="25" t="s">
        <v>757</v>
      </c>
    </row>
    <row r="839" spans="1:9" ht="14.4" x14ac:dyDescent="0.3">
      <c r="A839" t="s">
        <v>500</v>
      </c>
      <c r="B839" t="s">
        <v>615</v>
      </c>
      <c r="C839" t="s">
        <v>499</v>
      </c>
      <c r="D839">
        <v>2006</v>
      </c>
      <c r="E839" s="6" t="s">
        <v>1312</v>
      </c>
      <c r="F839" s="8" t="s">
        <v>1313</v>
      </c>
      <c r="G839" s="8" t="s">
        <v>1314</v>
      </c>
      <c r="H839" t="s">
        <v>1315</v>
      </c>
      <c r="I839" s="20">
        <v>45758</v>
      </c>
    </row>
    <row r="840" spans="1:9" ht="14.4" x14ac:dyDescent="0.3">
      <c r="A840" t="s">
        <v>500</v>
      </c>
      <c r="B840" t="s">
        <v>615</v>
      </c>
      <c r="C840" t="s">
        <v>499</v>
      </c>
      <c r="D840">
        <v>2007</v>
      </c>
      <c r="E840" s="6" t="s">
        <v>1312</v>
      </c>
      <c r="F840" s="8" t="s">
        <v>1313</v>
      </c>
      <c r="G840" s="8" t="s">
        <v>1316</v>
      </c>
      <c r="H840" t="s">
        <v>1317</v>
      </c>
      <c r="I840" s="20">
        <v>45758</v>
      </c>
    </row>
    <row r="841" spans="1:9" ht="14.4" x14ac:dyDescent="0.3">
      <c r="A841" t="s">
        <v>500</v>
      </c>
      <c r="B841" t="s">
        <v>615</v>
      </c>
      <c r="C841" t="s">
        <v>499</v>
      </c>
      <c r="D841">
        <v>2008</v>
      </c>
      <c r="E841" s="6" t="s">
        <v>1312</v>
      </c>
      <c r="F841" s="8" t="s">
        <v>1313</v>
      </c>
      <c r="G841" s="8" t="s">
        <v>1318</v>
      </c>
      <c r="H841" t="s">
        <v>1319</v>
      </c>
      <c r="I841" s="20">
        <v>45758</v>
      </c>
    </row>
    <row r="842" spans="1:9" ht="14.4" x14ac:dyDescent="0.3">
      <c r="A842" t="s">
        <v>500</v>
      </c>
      <c r="B842" t="s">
        <v>615</v>
      </c>
      <c r="C842" t="s">
        <v>499</v>
      </c>
      <c r="D842">
        <v>2009</v>
      </c>
      <c r="E842" s="6" t="s">
        <v>1312</v>
      </c>
      <c r="F842" s="8" t="s">
        <v>1313</v>
      </c>
      <c r="G842" s="8" t="s">
        <v>1320</v>
      </c>
      <c r="I842" s="20">
        <v>45758</v>
      </c>
    </row>
    <row r="843" spans="1:9" ht="14.4" x14ac:dyDescent="0.3">
      <c r="A843" t="s">
        <v>500</v>
      </c>
      <c r="B843" t="s">
        <v>615</v>
      </c>
      <c r="C843" t="s">
        <v>499</v>
      </c>
      <c r="D843">
        <v>2010</v>
      </c>
      <c r="E843" s="6" t="s">
        <v>1312</v>
      </c>
      <c r="F843" s="8" t="s">
        <v>1313</v>
      </c>
      <c r="G843" s="8" t="s">
        <v>1320</v>
      </c>
      <c r="I843" s="20">
        <v>45758</v>
      </c>
    </row>
    <row r="844" spans="1:9" ht="14.4" x14ac:dyDescent="0.3">
      <c r="A844" t="s">
        <v>500</v>
      </c>
      <c r="B844" t="s">
        <v>615</v>
      </c>
      <c r="C844" t="s">
        <v>499</v>
      </c>
      <c r="D844">
        <v>2011</v>
      </c>
      <c r="E844" s="6" t="s">
        <v>1312</v>
      </c>
      <c r="F844" s="8" t="s">
        <v>1313</v>
      </c>
      <c r="G844" s="8" t="s">
        <v>1321</v>
      </c>
      <c r="I844" s="20">
        <v>45758</v>
      </c>
    </row>
    <row r="845" spans="1:9" ht="14.4" x14ac:dyDescent="0.3">
      <c r="A845" t="s">
        <v>500</v>
      </c>
      <c r="B845" t="s">
        <v>615</v>
      </c>
      <c r="C845" t="s">
        <v>499</v>
      </c>
      <c r="D845">
        <v>2012</v>
      </c>
      <c r="E845" s="6" t="s">
        <v>1312</v>
      </c>
      <c r="F845" s="8" t="s">
        <v>1313</v>
      </c>
      <c r="G845" s="8" t="s">
        <v>1322</v>
      </c>
      <c r="I845" s="20">
        <v>45758</v>
      </c>
    </row>
    <row r="846" spans="1:9" ht="14.4" x14ac:dyDescent="0.3">
      <c r="A846" t="s">
        <v>500</v>
      </c>
      <c r="B846" t="s">
        <v>615</v>
      </c>
      <c r="C846" t="s">
        <v>499</v>
      </c>
      <c r="D846">
        <v>2013</v>
      </c>
      <c r="E846" s="6" t="s">
        <v>1312</v>
      </c>
      <c r="F846" s="8" t="s">
        <v>1313</v>
      </c>
      <c r="G846" s="8" t="s">
        <v>1323</v>
      </c>
      <c r="I846" s="20">
        <v>45758</v>
      </c>
    </row>
    <row r="847" spans="1:9" ht="14.4" x14ac:dyDescent="0.3">
      <c r="A847" t="s">
        <v>500</v>
      </c>
      <c r="B847" t="s">
        <v>615</v>
      </c>
      <c r="C847" t="s">
        <v>499</v>
      </c>
      <c r="D847">
        <v>2014</v>
      </c>
      <c r="E847" s="6" t="s">
        <v>1312</v>
      </c>
      <c r="F847" s="8" t="s">
        <v>1313</v>
      </c>
      <c r="G847" s="8" t="s">
        <v>1324</v>
      </c>
      <c r="I847" s="20">
        <v>45758</v>
      </c>
    </row>
    <row r="848" spans="1:9" ht="14.4" x14ac:dyDescent="0.3">
      <c r="A848" t="s">
        <v>500</v>
      </c>
      <c r="B848" t="s">
        <v>615</v>
      </c>
      <c r="C848" t="s">
        <v>499</v>
      </c>
      <c r="D848">
        <v>2015</v>
      </c>
      <c r="E848" s="6" t="s">
        <v>1312</v>
      </c>
      <c r="F848" s="8" t="s">
        <v>1313</v>
      </c>
      <c r="G848" s="8" t="s">
        <v>1325</v>
      </c>
      <c r="I848" s="20">
        <v>45758</v>
      </c>
    </row>
    <row r="849" spans="1:9" ht="14.4" x14ac:dyDescent="0.3">
      <c r="A849" t="s">
        <v>500</v>
      </c>
      <c r="B849" t="s">
        <v>615</v>
      </c>
      <c r="C849" t="s">
        <v>499</v>
      </c>
      <c r="D849">
        <v>2016</v>
      </c>
      <c r="E849" s="6" t="s">
        <v>1312</v>
      </c>
      <c r="F849" s="8" t="s">
        <v>1313</v>
      </c>
      <c r="G849" s="8" t="s">
        <v>1326</v>
      </c>
      <c r="I849" s="20">
        <v>45758</v>
      </c>
    </row>
    <row r="850" spans="1:9" ht="14.4" x14ac:dyDescent="0.3">
      <c r="A850" t="s">
        <v>500</v>
      </c>
      <c r="B850" t="s">
        <v>615</v>
      </c>
      <c r="C850" t="s">
        <v>499</v>
      </c>
      <c r="D850">
        <v>2017</v>
      </c>
      <c r="E850" s="6" t="s">
        <v>1312</v>
      </c>
      <c r="F850" s="8" t="s">
        <v>1313</v>
      </c>
      <c r="G850" s="8" t="s">
        <v>1327</v>
      </c>
      <c r="I850" s="20">
        <v>45758</v>
      </c>
    </row>
    <row r="851" spans="1:9" ht="14.4" x14ac:dyDescent="0.3">
      <c r="A851" t="s">
        <v>500</v>
      </c>
      <c r="B851" t="s">
        <v>615</v>
      </c>
      <c r="C851" t="s">
        <v>499</v>
      </c>
      <c r="D851">
        <v>2018</v>
      </c>
      <c r="E851" s="6" t="s">
        <v>1312</v>
      </c>
      <c r="F851" s="8" t="s">
        <v>1313</v>
      </c>
      <c r="G851" s="8" t="s">
        <v>1328</v>
      </c>
      <c r="I851" s="20">
        <v>45758</v>
      </c>
    </row>
    <row r="852" spans="1:9" ht="14.4" x14ac:dyDescent="0.3">
      <c r="A852" t="s">
        <v>500</v>
      </c>
      <c r="B852" t="s">
        <v>615</v>
      </c>
      <c r="C852" t="s">
        <v>499</v>
      </c>
      <c r="D852">
        <v>2019</v>
      </c>
      <c r="E852" s="6" t="s">
        <v>1312</v>
      </c>
      <c r="F852" s="8" t="s">
        <v>1313</v>
      </c>
      <c r="G852" s="8" t="s">
        <v>1328</v>
      </c>
      <c r="I852" s="20">
        <v>45758</v>
      </c>
    </row>
    <row r="853" spans="1:9" ht="14.4" x14ac:dyDescent="0.3">
      <c r="A853" t="s">
        <v>500</v>
      </c>
      <c r="B853" t="s">
        <v>615</v>
      </c>
      <c r="C853" t="s">
        <v>499</v>
      </c>
      <c r="D853">
        <v>2020</v>
      </c>
      <c r="E853" s="6" t="s">
        <v>1312</v>
      </c>
      <c r="F853" s="8" t="s">
        <v>1313</v>
      </c>
      <c r="G853" s="8" t="s">
        <v>1329</v>
      </c>
      <c r="I853" s="20">
        <v>45758</v>
      </c>
    </row>
    <row r="854" spans="1:9" ht="14.4" x14ac:dyDescent="0.3">
      <c r="A854" t="s">
        <v>500</v>
      </c>
      <c r="B854" t="s">
        <v>615</v>
      </c>
      <c r="C854" t="s">
        <v>499</v>
      </c>
      <c r="D854">
        <v>2021</v>
      </c>
      <c r="E854" s="6" t="s">
        <v>1312</v>
      </c>
      <c r="F854" s="8" t="s">
        <v>1313</v>
      </c>
      <c r="G854" s="8" t="s">
        <v>1330</v>
      </c>
      <c r="I854" s="20">
        <v>45758</v>
      </c>
    </row>
    <row r="855" spans="1:9" ht="14.4" x14ac:dyDescent="0.3">
      <c r="A855" t="s">
        <v>500</v>
      </c>
      <c r="B855" t="s">
        <v>615</v>
      </c>
      <c r="C855" t="s">
        <v>499</v>
      </c>
      <c r="D855">
        <v>2022</v>
      </c>
      <c r="E855" s="6" t="s">
        <v>1312</v>
      </c>
      <c r="F855" s="8" t="s">
        <v>1313</v>
      </c>
      <c r="G855" s="8" t="s">
        <v>1330</v>
      </c>
      <c r="I855" s="20">
        <v>45758</v>
      </c>
    </row>
    <row r="856" spans="1:9" ht="14.4" x14ac:dyDescent="0.3">
      <c r="A856" t="s">
        <v>500</v>
      </c>
      <c r="B856" t="s">
        <v>615</v>
      </c>
      <c r="C856" t="s">
        <v>499</v>
      </c>
      <c r="D856">
        <v>2023</v>
      </c>
      <c r="E856" s="6" t="s">
        <v>1312</v>
      </c>
      <c r="F856" s="8" t="s">
        <v>1313</v>
      </c>
      <c r="G856" s="8" t="s">
        <v>1331</v>
      </c>
      <c r="I856" s="20">
        <v>45758</v>
      </c>
    </row>
    <row r="857" spans="1:9" ht="14.4" x14ac:dyDescent="0.3">
      <c r="A857" t="s">
        <v>500</v>
      </c>
      <c r="B857" t="s">
        <v>615</v>
      </c>
      <c r="C857" t="s">
        <v>499</v>
      </c>
      <c r="D857">
        <v>2024</v>
      </c>
      <c r="E857" s="6" t="s">
        <v>1312</v>
      </c>
      <c r="F857" s="8" t="s">
        <v>1313</v>
      </c>
      <c r="G857" s="8" t="s">
        <v>1332</v>
      </c>
      <c r="I857" s="20">
        <v>45758</v>
      </c>
    </row>
    <row r="858" spans="1:9" ht="14.4" x14ac:dyDescent="0.3">
      <c r="A858" t="s">
        <v>505</v>
      </c>
      <c r="B858" t="s">
        <v>616</v>
      </c>
      <c r="C858" t="s">
        <v>504</v>
      </c>
      <c r="D858">
        <v>2007</v>
      </c>
      <c r="E858" s="6" t="s">
        <v>1333</v>
      </c>
      <c r="F858" s="8" t="s">
        <v>1334</v>
      </c>
      <c r="G858" s="8" t="s">
        <v>1335</v>
      </c>
      <c r="I858" s="20">
        <v>45758</v>
      </c>
    </row>
    <row r="859" spans="1:9" ht="14.4" x14ac:dyDescent="0.3">
      <c r="A859" t="s">
        <v>505</v>
      </c>
      <c r="B859" t="s">
        <v>616</v>
      </c>
      <c r="C859" t="s">
        <v>504</v>
      </c>
      <c r="D859">
        <v>2008</v>
      </c>
      <c r="E859" s="6" t="s">
        <v>1333</v>
      </c>
      <c r="F859" s="8" t="s">
        <v>1334</v>
      </c>
      <c r="G859" s="8" t="s">
        <v>1336</v>
      </c>
      <c r="I859" s="20">
        <v>45758</v>
      </c>
    </row>
    <row r="860" spans="1:9" ht="14.4" x14ac:dyDescent="0.3">
      <c r="A860" t="s">
        <v>505</v>
      </c>
      <c r="B860" t="s">
        <v>616</v>
      </c>
      <c r="C860" t="s">
        <v>504</v>
      </c>
      <c r="D860">
        <v>2009</v>
      </c>
      <c r="E860" s="6" t="s">
        <v>1333</v>
      </c>
      <c r="F860" s="8" t="s">
        <v>1334</v>
      </c>
      <c r="G860" s="8" t="s">
        <v>1337</v>
      </c>
      <c r="I860" s="20">
        <v>45758</v>
      </c>
    </row>
    <row r="861" spans="1:9" ht="14.4" x14ac:dyDescent="0.3">
      <c r="A861" t="s">
        <v>505</v>
      </c>
      <c r="B861" t="s">
        <v>616</v>
      </c>
      <c r="C861" t="s">
        <v>504</v>
      </c>
      <c r="D861">
        <v>2010</v>
      </c>
      <c r="E861" s="6" t="s">
        <v>1333</v>
      </c>
      <c r="F861" s="8" t="s">
        <v>1334</v>
      </c>
      <c r="G861" s="8" t="s">
        <v>1338</v>
      </c>
      <c r="H861" t="s">
        <v>632</v>
      </c>
      <c r="I861" s="20">
        <v>45758</v>
      </c>
    </row>
    <row r="862" spans="1:9" ht="14.4" x14ac:dyDescent="0.3">
      <c r="A862" t="s">
        <v>505</v>
      </c>
      <c r="B862" t="s">
        <v>616</v>
      </c>
      <c r="C862" t="s">
        <v>504</v>
      </c>
      <c r="D862">
        <v>2011</v>
      </c>
      <c r="E862" s="6" t="s">
        <v>1333</v>
      </c>
      <c r="F862" s="8" t="s">
        <v>1334</v>
      </c>
      <c r="G862" s="8" t="s">
        <v>1338</v>
      </c>
      <c r="H862" t="s">
        <v>632</v>
      </c>
      <c r="I862" s="20">
        <v>45758</v>
      </c>
    </row>
    <row r="863" spans="1:9" ht="14.4" x14ac:dyDescent="0.3">
      <c r="A863" t="s">
        <v>505</v>
      </c>
      <c r="B863" t="s">
        <v>616</v>
      </c>
      <c r="C863" t="s">
        <v>504</v>
      </c>
      <c r="D863">
        <v>2012</v>
      </c>
      <c r="E863" s="6" t="s">
        <v>1333</v>
      </c>
      <c r="F863" s="8" t="s">
        <v>1334</v>
      </c>
      <c r="G863" s="8" t="s">
        <v>1338</v>
      </c>
      <c r="I863" s="20">
        <v>45758</v>
      </c>
    </row>
    <row r="864" spans="1:9" ht="14.4" x14ac:dyDescent="0.3">
      <c r="A864" t="s">
        <v>505</v>
      </c>
      <c r="B864" t="s">
        <v>616</v>
      </c>
      <c r="C864" t="s">
        <v>504</v>
      </c>
      <c r="D864">
        <v>2013</v>
      </c>
      <c r="E864" s="6" t="s">
        <v>1333</v>
      </c>
      <c r="F864" s="8" t="s">
        <v>1334</v>
      </c>
      <c r="G864" s="8" t="s">
        <v>1339</v>
      </c>
      <c r="I864" s="20">
        <v>45758</v>
      </c>
    </row>
    <row r="865" spans="1:9" ht="14.4" x14ac:dyDescent="0.3">
      <c r="A865" t="s">
        <v>505</v>
      </c>
      <c r="B865" t="s">
        <v>616</v>
      </c>
      <c r="C865" t="s">
        <v>504</v>
      </c>
      <c r="D865">
        <v>2014</v>
      </c>
      <c r="E865" s="6" t="s">
        <v>1333</v>
      </c>
      <c r="F865" s="8" t="s">
        <v>1334</v>
      </c>
      <c r="G865" s="8" t="s">
        <v>1340</v>
      </c>
      <c r="I865" s="20">
        <v>45758</v>
      </c>
    </row>
    <row r="866" spans="1:9" ht="14.4" x14ac:dyDescent="0.3">
      <c r="A866" t="s">
        <v>505</v>
      </c>
      <c r="B866" t="s">
        <v>616</v>
      </c>
      <c r="C866" t="s">
        <v>504</v>
      </c>
      <c r="D866">
        <v>2015</v>
      </c>
      <c r="E866" s="6" t="s">
        <v>1333</v>
      </c>
      <c r="F866" s="8" t="s">
        <v>1334</v>
      </c>
      <c r="G866" s="8" t="s">
        <v>1341</v>
      </c>
      <c r="I866" s="20">
        <v>45758</v>
      </c>
    </row>
    <row r="867" spans="1:9" ht="14.4" x14ac:dyDescent="0.3">
      <c r="A867" t="s">
        <v>505</v>
      </c>
      <c r="B867" t="s">
        <v>616</v>
      </c>
      <c r="C867" t="s">
        <v>504</v>
      </c>
      <c r="D867">
        <v>2016</v>
      </c>
      <c r="E867" s="6" t="s">
        <v>1333</v>
      </c>
      <c r="F867" s="8" t="s">
        <v>1334</v>
      </c>
      <c r="G867" s="8" t="s">
        <v>1341</v>
      </c>
      <c r="I867" s="20">
        <v>45758</v>
      </c>
    </row>
    <row r="868" spans="1:9" ht="14.4" x14ac:dyDescent="0.3">
      <c r="A868" t="s">
        <v>505</v>
      </c>
      <c r="B868" t="s">
        <v>616</v>
      </c>
      <c r="C868" t="s">
        <v>504</v>
      </c>
      <c r="D868">
        <v>2017</v>
      </c>
      <c r="E868" s="6" t="s">
        <v>1333</v>
      </c>
      <c r="F868" s="8" t="s">
        <v>1334</v>
      </c>
      <c r="G868" s="8" t="s">
        <v>1342</v>
      </c>
      <c r="I868" s="20">
        <v>45758</v>
      </c>
    </row>
    <row r="869" spans="1:9" ht="14.4" x14ac:dyDescent="0.3">
      <c r="A869" t="s">
        <v>505</v>
      </c>
      <c r="B869" t="s">
        <v>616</v>
      </c>
      <c r="C869" t="s">
        <v>504</v>
      </c>
      <c r="D869">
        <v>2018</v>
      </c>
      <c r="E869" s="6" t="s">
        <v>1333</v>
      </c>
      <c r="F869" s="8" t="s">
        <v>1334</v>
      </c>
      <c r="G869" s="8" t="s">
        <v>1343</v>
      </c>
      <c r="I869" s="20">
        <v>45758</v>
      </c>
    </row>
    <row r="870" spans="1:9" ht="14.4" x14ac:dyDescent="0.3">
      <c r="A870" t="s">
        <v>505</v>
      </c>
      <c r="B870" t="s">
        <v>616</v>
      </c>
      <c r="C870" t="s">
        <v>504</v>
      </c>
      <c r="D870">
        <v>2019</v>
      </c>
      <c r="E870" s="6" t="s">
        <v>1333</v>
      </c>
      <c r="F870" s="8" t="s">
        <v>1334</v>
      </c>
      <c r="G870" s="8" t="s">
        <v>1344</v>
      </c>
      <c r="I870" s="20">
        <v>45758</v>
      </c>
    </row>
    <row r="871" spans="1:9" ht="14.4" x14ac:dyDescent="0.3">
      <c r="A871" t="s">
        <v>505</v>
      </c>
      <c r="B871" t="s">
        <v>616</v>
      </c>
      <c r="C871" t="s">
        <v>504</v>
      </c>
      <c r="D871">
        <v>2020</v>
      </c>
      <c r="E871" s="6" t="s">
        <v>1333</v>
      </c>
      <c r="F871" s="8" t="s">
        <v>1334</v>
      </c>
      <c r="G871" s="8" t="s">
        <v>1345</v>
      </c>
      <c r="I871" s="20">
        <v>45758</v>
      </c>
    </row>
    <row r="872" spans="1:9" ht="14.4" x14ac:dyDescent="0.3">
      <c r="A872" t="s">
        <v>505</v>
      </c>
      <c r="B872" t="s">
        <v>616</v>
      </c>
      <c r="C872" t="s">
        <v>504</v>
      </c>
      <c r="D872">
        <v>2021</v>
      </c>
      <c r="E872" s="6" t="s">
        <v>1333</v>
      </c>
      <c r="F872" s="8" t="s">
        <v>1334</v>
      </c>
      <c r="G872" s="8" t="s">
        <v>1346</v>
      </c>
      <c r="I872" s="20">
        <v>45758</v>
      </c>
    </row>
    <row r="873" spans="1:9" ht="14.4" x14ac:dyDescent="0.3">
      <c r="A873" t="s">
        <v>505</v>
      </c>
      <c r="B873" t="s">
        <v>616</v>
      </c>
      <c r="C873" t="s">
        <v>504</v>
      </c>
      <c r="D873">
        <v>2022</v>
      </c>
      <c r="E873" s="6" t="s">
        <v>1333</v>
      </c>
      <c r="F873" s="8" t="s">
        <v>1334</v>
      </c>
      <c r="G873" s="8" t="s">
        <v>1347</v>
      </c>
      <c r="I873" s="20">
        <v>45758</v>
      </c>
    </row>
    <row r="874" spans="1:9" ht="14.4" x14ac:dyDescent="0.3">
      <c r="A874" t="s">
        <v>505</v>
      </c>
      <c r="B874" t="s">
        <v>616</v>
      </c>
      <c r="C874" t="s">
        <v>504</v>
      </c>
      <c r="D874">
        <v>2023</v>
      </c>
      <c r="E874" s="6" t="s">
        <v>1333</v>
      </c>
      <c r="F874" s="8" t="s">
        <v>1334</v>
      </c>
      <c r="G874" s="8" t="s">
        <v>1348</v>
      </c>
      <c r="I874" s="20">
        <v>45758</v>
      </c>
    </row>
    <row r="875" spans="1:9" ht="14.4" x14ac:dyDescent="0.3">
      <c r="A875" t="s">
        <v>505</v>
      </c>
      <c r="B875" t="s">
        <v>616</v>
      </c>
      <c r="C875" t="s">
        <v>504</v>
      </c>
      <c r="D875">
        <v>2024</v>
      </c>
      <c r="E875" s="6" t="s">
        <v>1333</v>
      </c>
      <c r="F875" s="8" t="s">
        <v>1334</v>
      </c>
      <c r="G875" s="8" t="s">
        <v>1349</v>
      </c>
      <c r="I875" s="20">
        <v>45758</v>
      </c>
    </row>
    <row r="876" spans="1:9" ht="14.4" x14ac:dyDescent="0.3">
      <c r="A876" t="s">
        <v>510</v>
      </c>
      <c r="B876" t="s">
        <v>617</v>
      </c>
      <c r="C876" t="s">
        <v>509</v>
      </c>
      <c r="D876">
        <v>2017</v>
      </c>
      <c r="E876" s="6" t="s">
        <v>1350</v>
      </c>
      <c r="F876" s="8" t="s">
        <v>1351</v>
      </c>
      <c r="G876" s="8" t="s">
        <v>1352</v>
      </c>
      <c r="I876" s="25" t="s">
        <v>757</v>
      </c>
    </row>
    <row r="877" spans="1:9" ht="14.4" x14ac:dyDescent="0.3">
      <c r="A877" t="s">
        <v>510</v>
      </c>
      <c r="B877" t="s">
        <v>617</v>
      </c>
      <c r="C877" t="s">
        <v>509</v>
      </c>
      <c r="D877">
        <v>2018</v>
      </c>
      <c r="E877" s="6" t="s">
        <v>1350</v>
      </c>
      <c r="F877" s="8" t="s">
        <v>1351</v>
      </c>
      <c r="G877" s="8" t="s">
        <v>1352</v>
      </c>
      <c r="I877" s="25" t="s">
        <v>757</v>
      </c>
    </row>
    <row r="878" spans="1:9" ht="14.4" x14ac:dyDescent="0.3">
      <c r="A878" t="s">
        <v>510</v>
      </c>
      <c r="B878" t="s">
        <v>617</v>
      </c>
      <c r="C878" t="s">
        <v>509</v>
      </c>
      <c r="D878">
        <v>2019</v>
      </c>
      <c r="E878" s="6" t="s">
        <v>1350</v>
      </c>
      <c r="F878" s="8" t="s">
        <v>1351</v>
      </c>
      <c r="G878" s="8" t="s">
        <v>1353</v>
      </c>
      <c r="H878" t="s">
        <v>632</v>
      </c>
      <c r="I878" s="25" t="s">
        <v>757</v>
      </c>
    </row>
    <row r="879" spans="1:9" ht="14.4" x14ac:dyDescent="0.3">
      <c r="A879" t="s">
        <v>510</v>
      </c>
      <c r="B879" t="s">
        <v>617</v>
      </c>
      <c r="C879" t="s">
        <v>509</v>
      </c>
      <c r="D879">
        <v>2020</v>
      </c>
      <c r="E879" s="6" t="s">
        <v>1350</v>
      </c>
      <c r="F879" s="8" t="s">
        <v>1351</v>
      </c>
      <c r="G879" s="8" t="s">
        <v>1353</v>
      </c>
      <c r="I879" s="25" t="s">
        <v>757</v>
      </c>
    </row>
    <row r="880" spans="1:9" ht="14.4" x14ac:dyDescent="0.3">
      <c r="A880" t="s">
        <v>510</v>
      </c>
      <c r="B880" t="s">
        <v>617</v>
      </c>
      <c r="C880" t="s">
        <v>509</v>
      </c>
      <c r="D880">
        <v>2021</v>
      </c>
      <c r="E880" s="6" t="s">
        <v>1350</v>
      </c>
      <c r="F880" s="8" t="s">
        <v>1351</v>
      </c>
      <c r="G880" s="8" t="s">
        <v>1354</v>
      </c>
      <c r="I880" s="25" t="s">
        <v>757</v>
      </c>
    </row>
    <row r="881" spans="1:9" ht="14.4" x14ac:dyDescent="0.3">
      <c r="A881" t="s">
        <v>510</v>
      </c>
      <c r="B881" t="s">
        <v>617</v>
      </c>
      <c r="C881" t="s">
        <v>509</v>
      </c>
      <c r="D881">
        <v>2022</v>
      </c>
      <c r="E881" s="6" t="s">
        <v>1350</v>
      </c>
      <c r="F881" s="8" t="s">
        <v>1351</v>
      </c>
      <c r="G881" s="8" t="s">
        <v>1355</v>
      </c>
      <c r="H881" t="s">
        <v>632</v>
      </c>
      <c r="I881" s="25" t="s">
        <v>757</v>
      </c>
    </row>
    <row r="882" spans="1:9" ht="14.4" x14ac:dyDescent="0.3">
      <c r="A882" t="s">
        <v>510</v>
      </c>
      <c r="B882" t="s">
        <v>617</v>
      </c>
      <c r="C882" t="s">
        <v>509</v>
      </c>
      <c r="D882">
        <v>2023</v>
      </c>
      <c r="E882" s="6" t="s">
        <v>1350</v>
      </c>
      <c r="F882" s="8" t="s">
        <v>1351</v>
      </c>
      <c r="G882" s="8" t="s">
        <v>1355</v>
      </c>
      <c r="I882" s="25" t="s">
        <v>757</v>
      </c>
    </row>
    <row r="883" spans="1:9" ht="14.4" x14ac:dyDescent="0.3">
      <c r="A883" t="s">
        <v>510</v>
      </c>
      <c r="B883" t="s">
        <v>617</v>
      </c>
      <c r="C883" t="s">
        <v>509</v>
      </c>
      <c r="D883">
        <v>2024</v>
      </c>
      <c r="E883" s="6" t="s">
        <v>1350</v>
      </c>
      <c r="F883" s="8" t="s">
        <v>1351</v>
      </c>
      <c r="G883" s="8" t="s">
        <v>1356</v>
      </c>
      <c r="I883" s="25" t="s">
        <v>757</v>
      </c>
    </row>
    <row r="884" spans="1:9" ht="14.4" x14ac:dyDescent="0.3">
      <c r="A884" t="s">
        <v>524</v>
      </c>
      <c r="B884" t="s">
        <v>618</v>
      </c>
      <c r="C884" t="s">
        <v>527</v>
      </c>
      <c r="D884">
        <v>2007</v>
      </c>
      <c r="E884" s="6" t="s">
        <v>1357</v>
      </c>
      <c r="F884" s="8" t="s">
        <v>1358</v>
      </c>
      <c r="I884" s="25" t="s">
        <v>780</v>
      </c>
    </row>
    <row r="885" spans="1:9" ht="14.4" x14ac:dyDescent="0.3">
      <c r="A885" t="s">
        <v>524</v>
      </c>
      <c r="B885" t="s">
        <v>618</v>
      </c>
      <c r="C885" t="s">
        <v>527</v>
      </c>
      <c r="D885">
        <v>2008</v>
      </c>
      <c r="E885" s="6" t="s">
        <v>1357</v>
      </c>
      <c r="F885" s="8" t="s">
        <v>1358</v>
      </c>
      <c r="G885" s="8" t="s">
        <v>1359</v>
      </c>
      <c r="I885" s="25" t="s">
        <v>780</v>
      </c>
    </row>
    <row r="886" spans="1:9" ht="14.4" x14ac:dyDescent="0.3">
      <c r="A886" t="s">
        <v>524</v>
      </c>
      <c r="B886" t="s">
        <v>618</v>
      </c>
      <c r="C886" t="s">
        <v>527</v>
      </c>
      <c r="D886">
        <v>2009</v>
      </c>
      <c r="E886" s="6" t="s">
        <v>1357</v>
      </c>
      <c r="F886" s="8" t="s">
        <v>1358</v>
      </c>
      <c r="G886" s="8" t="s">
        <v>1359</v>
      </c>
      <c r="I886" s="25" t="s">
        <v>780</v>
      </c>
    </row>
    <row r="887" spans="1:9" ht="14.4" x14ac:dyDescent="0.3">
      <c r="A887" t="s">
        <v>524</v>
      </c>
      <c r="B887" t="s">
        <v>618</v>
      </c>
      <c r="C887" t="s">
        <v>527</v>
      </c>
      <c r="D887">
        <v>2010</v>
      </c>
      <c r="E887" s="6" t="s">
        <v>1357</v>
      </c>
      <c r="F887" s="8" t="s">
        <v>1358</v>
      </c>
      <c r="G887" s="8" t="s">
        <v>1359</v>
      </c>
      <c r="I887" s="25" t="s">
        <v>780</v>
      </c>
    </row>
    <row r="888" spans="1:9" ht="14.4" x14ac:dyDescent="0.3">
      <c r="A888" t="s">
        <v>524</v>
      </c>
      <c r="B888" t="s">
        <v>618</v>
      </c>
      <c r="C888" t="s">
        <v>527</v>
      </c>
      <c r="D888">
        <v>2011</v>
      </c>
      <c r="E888" s="6" t="s">
        <v>1357</v>
      </c>
      <c r="F888" s="8" t="s">
        <v>1358</v>
      </c>
      <c r="G888" s="8" t="s">
        <v>1359</v>
      </c>
      <c r="I888" s="25" t="s">
        <v>780</v>
      </c>
    </row>
    <row r="889" spans="1:9" ht="14.4" x14ac:dyDescent="0.3">
      <c r="A889" t="s">
        <v>524</v>
      </c>
      <c r="B889" t="s">
        <v>618</v>
      </c>
      <c r="C889" t="s">
        <v>527</v>
      </c>
      <c r="D889">
        <v>2012</v>
      </c>
      <c r="E889" s="6" t="s">
        <v>1357</v>
      </c>
      <c r="F889" s="8" t="s">
        <v>1358</v>
      </c>
      <c r="G889" s="8" t="s">
        <v>1359</v>
      </c>
      <c r="I889" s="25" t="s">
        <v>780</v>
      </c>
    </row>
    <row r="890" spans="1:9" ht="14.4" x14ac:dyDescent="0.3">
      <c r="A890" t="s">
        <v>524</v>
      </c>
      <c r="B890" t="s">
        <v>618</v>
      </c>
      <c r="C890" t="s">
        <v>527</v>
      </c>
      <c r="D890">
        <v>2013</v>
      </c>
      <c r="E890" s="6" t="s">
        <v>1357</v>
      </c>
      <c r="F890" s="8" t="s">
        <v>1358</v>
      </c>
      <c r="G890" s="8" t="s">
        <v>1359</v>
      </c>
      <c r="I890" s="25" t="s">
        <v>780</v>
      </c>
    </row>
    <row r="891" spans="1:9" ht="14.4" x14ac:dyDescent="0.3">
      <c r="A891" t="s">
        <v>524</v>
      </c>
      <c r="B891" t="s">
        <v>618</v>
      </c>
      <c r="C891" t="s">
        <v>527</v>
      </c>
      <c r="D891">
        <v>2014</v>
      </c>
      <c r="E891" s="6" t="s">
        <v>1357</v>
      </c>
      <c r="F891" s="8" t="s">
        <v>1358</v>
      </c>
      <c r="G891" s="8" t="s">
        <v>1359</v>
      </c>
      <c r="I891" s="25" t="s">
        <v>780</v>
      </c>
    </row>
    <row r="892" spans="1:9" ht="14.4" x14ac:dyDescent="0.3">
      <c r="A892" t="s">
        <v>524</v>
      </c>
      <c r="B892" t="s">
        <v>618</v>
      </c>
      <c r="C892" t="s">
        <v>527</v>
      </c>
      <c r="D892">
        <v>2015</v>
      </c>
      <c r="E892" s="6" t="s">
        <v>1357</v>
      </c>
      <c r="F892" s="8" t="s">
        <v>1358</v>
      </c>
      <c r="G892" s="8" t="s">
        <v>1359</v>
      </c>
      <c r="I892" s="25" t="s">
        <v>780</v>
      </c>
    </row>
    <row r="893" spans="1:9" ht="14.4" x14ac:dyDescent="0.3">
      <c r="A893" t="s">
        <v>524</v>
      </c>
      <c r="B893" t="s">
        <v>618</v>
      </c>
      <c r="C893" t="s">
        <v>527</v>
      </c>
      <c r="D893">
        <v>2016</v>
      </c>
      <c r="E893" s="6" t="s">
        <v>1357</v>
      </c>
      <c r="F893" s="8" t="s">
        <v>1358</v>
      </c>
      <c r="G893" s="8" t="s">
        <v>1359</v>
      </c>
      <c r="I893" s="25" t="s">
        <v>780</v>
      </c>
    </row>
    <row r="894" spans="1:9" ht="14.4" x14ac:dyDescent="0.3">
      <c r="A894" t="s">
        <v>524</v>
      </c>
      <c r="B894" t="s">
        <v>618</v>
      </c>
      <c r="C894" t="s">
        <v>527</v>
      </c>
      <c r="D894">
        <v>2017</v>
      </c>
      <c r="E894" s="6" t="s">
        <v>1357</v>
      </c>
      <c r="F894" s="8" t="s">
        <v>1358</v>
      </c>
      <c r="G894" s="8" t="s">
        <v>1359</v>
      </c>
      <c r="I894" s="25" t="s">
        <v>780</v>
      </c>
    </row>
    <row r="895" spans="1:9" ht="14.4" x14ac:dyDescent="0.3">
      <c r="A895" t="s">
        <v>524</v>
      </c>
      <c r="B895" t="s">
        <v>618</v>
      </c>
      <c r="C895" t="s">
        <v>527</v>
      </c>
      <c r="D895">
        <v>2018</v>
      </c>
      <c r="E895" s="6" t="s">
        <v>1357</v>
      </c>
      <c r="F895" s="8" t="s">
        <v>1358</v>
      </c>
      <c r="G895" s="8" t="s">
        <v>1359</v>
      </c>
      <c r="I895" s="25" t="s">
        <v>780</v>
      </c>
    </row>
    <row r="896" spans="1:9" ht="14.4" x14ac:dyDescent="0.3">
      <c r="A896" t="s">
        <v>524</v>
      </c>
      <c r="B896" t="s">
        <v>618</v>
      </c>
      <c r="C896" t="s">
        <v>527</v>
      </c>
      <c r="D896">
        <v>2019</v>
      </c>
      <c r="E896" s="6" t="s">
        <v>1357</v>
      </c>
      <c r="F896" s="8" t="s">
        <v>1358</v>
      </c>
      <c r="G896" s="8" t="s">
        <v>1359</v>
      </c>
      <c r="I896" s="25" t="s">
        <v>780</v>
      </c>
    </row>
    <row r="897" spans="1:9" ht="14.4" x14ac:dyDescent="0.3">
      <c r="A897" t="s">
        <v>524</v>
      </c>
      <c r="B897" t="s">
        <v>618</v>
      </c>
      <c r="C897" t="s">
        <v>527</v>
      </c>
      <c r="D897">
        <v>2020</v>
      </c>
      <c r="E897" s="6" t="s">
        <v>1357</v>
      </c>
      <c r="F897" s="8" t="s">
        <v>1358</v>
      </c>
      <c r="G897" s="8" t="s">
        <v>1359</v>
      </c>
      <c r="I897" s="25" t="s">
        <v>780</v>
      </c>
    </row>
    <row r="898" spans="1:9" ht="14.4" x14ac:dyDescent="0.3">
      <c r="A898" t="s">
        <v>524</v>
      </c>
      <c r="B898" t="s">
        <v>618</v>
      </c>
      <c r="C898" t="s">
        <v>527</v>
      </c>
      <c r="D898">
        <v>2021</v>
      </c>
      <c r="E898" s="6" t="s">
        <v>1357</v>
      </c>
      <c r="F898" s="8" t="s">
        <v>1358</v>
      </c>
      <c r="G898" s="8" t="s">
        <v>1359</v>
      </c>
      <c r="I898" s="25" t="s">
        <v>780</v>
      </c>
    </row>
    <row r="899" spans="1:9" ht="14.4" x14ac:dyDescent="0.3">
      <c r="A899" t="s">
        <v>524</v>
      </c>
      <c r="B899" t="s">
        <v>618</v>
      </c>
      <c r="C899" t="s">
        <v>527</v>
      </c>
      <c r="D899">
        <v>2022</v>
      </c>
      <c r="E899" s="6" t="s">
        <v>1357</v>
      </c>
      <c r="F899" s="8" t="s">
        <v>1360</v>
      </c>
      <c r="G899" s="8" t="s">
        <v>1359</v>
      </c>
      <c r="I899" s="25" t="s">
        <v>780</v>
      </c>
    </row>
    <row r="900" spans="1:9" ht="14.4" x14ac:dyDescent="0.3">
      <c r="A900" t="s">
        <v>524</v>
      </c>
      <c r="B900" t="s">
        <v>618</v>
      </c>
      <c r="C900" t="s">
        <v>527</v>
      </c>
      <c r="D900">
        <v>2023</v>
      </c>
      <c r="E900" s="6" t="s">
        <v>1357</v>
      </c>
      <c r="F900" s="8" t="s">
        <v>1361</v>
      </c>
      <c r="G900" s="8" t="s">
        <v>1359</v>
      </c>
      <c r="I900" s="25" t="s">
        <v>780</v>
      </c>
    </row>
    <row r="901" spans="1:9" ht="14.4" x14ac:dyDescent="0.3">
      <c r="A901" t="s">
        <v>524</v>
      </c>
      <c r="B901" t="s">
        <v>618</v>
      </c>
      <c r="C901" t="s">
        <v>527</v>
      </c>
      <c r="D901">
        <v>2024</v>
      </c>
      <c r="E901" s="6" t="s">
        <v>1357</v>
      </c>
      <c r="F901" s="8" t="s">
        <v>528</v>
      </c>
      <c r="G901" s="8" t="s">
        <v>1359</v>
      </c>
      <c r="I901" s="25" t="s">
        <v>780</v>
      </c>
    </row>
    <row r="902" spans="1:9" ht="14.4" x14ac:dyDescent="0.3">
      <c r="A902" t="s">
        <v>524</v>
      </c>
      <c r="B902" t="s">
        <v>618</v>
      </c>
      <c r="C902" t="s">
        <v>533</v>
      </c>
      <c r="D902">
        <v>2011</v>
      </c>
      <c r="E902" s="6" t="s">
        <v>533</v>
      </c>
      <c r="F902" s="1" t="s">
        <v>1362</v>
      </c>
      <c r="G902" s="8" t="s">
        <v>1363</v>
      </c>
      <c r="I902" s="20">
        <v>45758</v>
      </c>
    </row>
    <row r="903" spans="1:9" ht="14.4" x14ac:dyDescent="0.3">
      <c r="A903" t="s">
        <v>524</v>
      </c>
      <c r="B903" t="s">
        <v>618</v>
      </c>
      <c r="C903" t="s">
        <v>533</v>
      </c>
      <c r="D903">
        <v>2012</v>
      </c>
      <c r="E903" s="6" t="s">
        <v>533</v>
      </c>
      <c r="F903" s="1" t="s">
        <v>1362</v>
      </c>
      <c r="G903" s="8" t="s">
        <v>1364</v>
      </c>
      <c r="I903" s="20">
        <v>45758</v>
      </c>
    </row>
    <row r="904" spans="1:9" ht="14.4" x14ac:dyDescent="0.3">
      <c r="A904" t="s">
        <v>524</v>
      </c>
      <c r="B904" t="s">
        <v>618</v>
      </c>
      <c r="C904" t="s">
        <v>533</v>
      </c>
      <c r="D904">
        <v>2013</v>
      </c>
      <c r="E904" s="6" t="s">
        <v>533</v>
      </c>
      <c r="F904" s="1" t="s">
        <v>1362</v>
      </c>
      <c r="G904" s="8" t="s">
        <v>1365</v>
      </c>
      <c r="I904" s="20">
        <v>45758</v>
      </c>
    </row>
    <row r="905" spans="1:9" ht="14.4" x14ac:dyDescent="0.3">
      <c r="A905" t="s">
        <v>524</v>
      </c>
      <c r="B905" t="s">
        <v>618</v>
      </c>
      <c r="C905" t="s">
        <v>533</v>
      </c>
      <c r="D905">
        <v>2014</v>
      </c>
      <c r="E905" s="6" t="s">
        <v>533</v>
      </c>
      <c r="F905" s="1" t="s">
        <v>1362</v>
      </c>
      <c r="G905" s="8" t="s">
        <v>1366</v>
      </c>
      <c r="I905" s="20">
        <v>45758</v>
      </c>
    </row>
    <row r="906" spans="1:9" ht="14.4" x14ac:dyDescent="0.3">
      <c r="A906" t="s">
        <v>524</v>
      </c>
      <c r="B906" t="s">
        <v>618</v>
      </c>
      <c r="C906" t="s">
        <v>533</v>
      </c>
      <c r="D906">
        <v>2015</v>
      </c>
      <c r="E906" s="6" t="s">
        <v>533</v>
      </c>
      <c r="F906" s="1" t="s">
        <v>1362</v>
      </c>
      <c r="G906" s="8" t="s">
        <v>1367</v>
      </c>
      <c r="I906" s="20">
        <v>45758</v>
      </c>
    </row>
    <row r="907" spans="1:9" ht="14.4" x14ac:dyDescent="0.3">
      <c r="A907" t="s">
        <v>524</v>
      </c>
      <c r="B907" t="s">
        <v>618</v>
      </c>
      <c r="C907" t="s">
        <v>533</v>
      </c>
      <c r="D907">
        <v>2016</v>
      </c>
      <c r="E907" s="6" t="s">
        <v>533</v>
      </c>
      <c r="F907" s="1" t="s">
        <v>1362</v>
      </c>
      <c r="G907" s="8" t="s">
        <v>1368</v>
      </c>
      <c r="I907" s="20">
        <v>45758</v>
      </c>
    </row>
    <row r="908" spans="1:9" ht="14.4" x14ac:dyDescent="0.3">
      <c r="A908" t="s">
        <v>524</v>
      </c>
      <c r="B908" t="s">
        <v>618</v>
      </c>
      <c r="C908" t="s">
        <v>533</v>
      </c>
      <c r="D908">
        <v>2017</v>
      </c>
      <c r="E908" s="6" t="s">
        <v>533</v>
      </c>
      <c r="F908" s="1" t="s">
        <v>1362</v>
      </c>
      <c r="G908" s="8" t="s">
        <v>1369</v>
      </c>
      <c r="I908" s="20">
        <v>45758</v>
      </c>
    </row>
    <row r="909" spans="1:9" ht="14.4" x14ac:dyDescent="0.3">
      <c r="A909" t="s">
        <v>524</v>
      </c>
      <c r="B909" t="s">
        <v>618</v>
      </c>
      <c r="C909" t="s">
        <v>533</v>
      </c>
      <c r="D909">
        <v>2018</v>
      </c>
      <c r="E909" s="6" t="s">
        <v>533</v>
      </c>
      <c r="F909" s="1" t="s">
        <v>1362</v>
      </c>
      <c r="G909" s="8" t="s">
        <v>1370</v>
      </c>
      <c r="I909" s="20">
        <v>45758</v>
      </c>
    </row>
    <row r="910" spans="1:9" ht="14.4" x14ac:dyDescent="0.3">
      <c r="A910" t="s">
        <v>524</v>
      </c>
      <c r="B910" t="s">
        <v>618</v>
      </c>
      <c r="C910" t="s">
        <v>533</v>
      </c>
      <c r="D910">
        <v>2019</v>
      </c>
      <c r="E910" s="6" t="s">
        <v>533</v>
      </c>
      <c r="F910" s="1" t="s">
        <v>1362</v>
      </c>
      <c r="G910" s="8" t="s">
        <v>1370</v>
      </c>
      <c r="I910" s="20">
        <v>45758</v>
      </c>
    </row>
    <row r="911" spans="1:9" ht="14.4" x14ac:dyDescent="0.3">
      <c r="A911" t="s">
        <v>524</v>
      </c>
      <c r="B911" t="s">
        <v>618</v>
      </c>
      <c r="C911" t="s">
        <v>533</v>
      </c>
      <c r="D911">
        <v>2020</v>
      </c>
      <c r="E911" s="6" t="s">
        <v>533</v>
      </c>
      <c r="F911" s="1" t="s">
        <v>1362</v>
      </c>
      <c r="G911" s="8" t="s">
        <v>1370</v>
      </c>
      <c r="I911" s="20">
        <v>45758</v>
      </c>
    </row>
    <row r="912" spans="1:9" ht="14.4" x14ac:dyDescent="0.3">
      <c r="A912" t="s">
        <v>524</v>
      </c>
      <c r="B912" t="s">
        <v>618</v>
      </c>
      <c r="C912" t="s">
        <v>533</v>
      </c>
      <c r="D912">
        <v>2021</v>
      </c>
      <c r="E912" s="6" t="s">
        <v>533</v>
      </c>
      <c r="F912" s="1" t="s">
        <v>1362</v>
      </c>
      <c r="G912" s="8" t="s">
        <v>1370</v>
      </c>
      <c r="I912" s="20">
        <v>45758</v>
      </c>
    </row>
    <row r="913" spans="1:9" ht="14.4" x14ac:dyDescent="0.3">
      <c r="A913" t="s">
        <v>524</v>
      </c>
      <c r="B913" t="s">
        <v>618</v>
      </c>
      <c r="C913" t="s">
        <v>533</v>
      </c>
      <c r="D913">
        <v>2022</v>
      </c>
      <c r="E913" s="6" t="s">
        <v>533</v>
      </c>
      <c r="F913" s="1" t="s">
        <v>1362</v>
      </c>
      <c r="G913" s="8" t="s">
        <v>1370</v>
      </c>
      <c r="I913" s="20">
        <v>45758</v>
      </c>
    </row>
    <row r="914" spans="1:9" ht="14.4" x14ac:dyDescent="0.3">
      <c r="A914" t="s">
        <v>524</v>
      </c>
      <c r="B914" t="s">
        <v>618</v>
      </c>
      <c r="C914" t="s">
        <v>533</v>
      </c>
      <c r="D914">
        <v>2023</v>
      </c>
      <c r="E914" s="6" t="s">
        <v>533</v>
      </c>
      <c r="F914" s="1" t="s">
        <v>1362</v>
      </c>
      <c r="G914" s="8" t="s">
        <v>1370</v>
      </c>
      <c r="H914" t="s">
        <v>1371</v>
      </c>
      <c r="I914" s="20">
        <v>45758</v>
      </c>
    </row>
    <row r="915" spans="1:9" ht="14.4" x14ac:dyDescent="0.3">
      <c r="A915" t="s">
        <v>524</v>
      </c>
      <c r="B915" t="s">
        <v>618</v>
      </c>
      <c r="C915" t="s">
        <v>533</v>
      </c>
      <c r="D915">
        <v>2024</v>
      </c>
      <c r="E915" s="6" t="s">
        <v>533</v>
      </c>
      <c r="F915" s="1" t="s">
        <v>1362</v>
      </c>
      <c r="G915" s="8" t="s">
        <v>1370</v>
      </c>
      <c r="H915" t="s">
        <v>1372</v>
      </c>
      <c r="I915" s="20">
        <v>45758</v>
      </c>
    </row>
    <row r="916" spans="1:9" ht="14.4" x14ac:dyDescent="0.3">
      <c r="A916" t="s">
        <v>552</v>
      </c>
      <c r="B916" t="s">
        <v>619</v>
      </c>
      <c r="C916" t="s">
        <v>551</v>
      </c>
      <c r="D916">
        <v>2017</v>
      </c>
      <c r="E916" s="6" t="s">
        <v>1373</v>
      </c>
      <c r="F916" s="8" t="s">
        <v>1374</v>
      </c>
      <c r="G916" s="8" t="s">
        <v>1375</v>
      </c>
      <c r="I916" s="25" t="s">
        <v>799</v>
      </c>
    </row>
    <row r="917" spans="1:9" ht="14.4" x14ac:dyDescent="0.3">
      <c r="A917" t="s">
        <v>552</v>
      </c>
      <c r="B917" t="s">
        <v>619</v>
      </c>
      <c r="C917" t="s">
        <v>551</v>
      </c>
      <c r="D917">
        <v>2018</v>
      </c>
      <c r="E917" s="6" t="s">
        <v>1373</v>
      </c>
      <c r="F917" s="8" t="s">
        <v>1374</v>
      </c>
      <c r="G917" s="8" t="s">
        <v>1375</v>
      </c>
      <c r="I917" s="25" t="s">
        <v>799</v>
      </c>
    </row>
    <row r="918" spans="1:9" ht="14.4" x14ac:dyDescent="0.3">
      <c r="A918" t="s">
        <v>552</v>
      </c>
      <c r="B918" t="s">
        <v>619</v>
      </c>
      <c r="C918" t="s">
        <v>551</v>
      </c>
      <c r="D918">
        <v>2019</v>
      </c>
      <c r="E918" s="6" t="s">
        <v>1373</v>
      </c>
      <c r="F918" s="8" t="s">
        <v>1374</v>
      </c>
      <c r="G918" s="8" t="s">
        <v>1376</v>
      </c>
      <c r="H918" t="s">
        <v>632</v>
      </c>
      <c r="I918" s="25" t="s">
        <v>799</v>
      </c>
    </row>
    <row r="919" spans="1:9" ht="14.4" x14ac:dyDescent="0.3">
      <c r="A919" t="s">
        <v>552</v>
      </c>
      <c r="B919" t="s">
        <v>619</v>
      </c>
      <c r="C919" t="s">
        <v>551</v>
      </c>
      <c r="D919">
        <v>2020</v>
      </c>
      <c r="E919" s="6" t="s">
        <v>1373</v>
      </c>
      <c r="F919" s="8" t="s">
        <v>1374</v>
      </c>
      <c r="G919" s="8" t="s">
        <v>1377</v>
      </c>
      <c r="I919" s="25" t="s">
        <v>799</v>
      </c>
    </row>
    <row r="920" spans="1:9" ht="14.4" x14ac:dyDescent="0.3">
      <c r="A920" t="s">
        <v>552</v>
      </c>
      <c r="B920" t="s">
        <v>619</v>
      </c>
      <c r="C920" t="s">
        <v>551</v>
      </c>
      <c r="D920">
        <v>2021</v>
      </c>
      <c r="E920" s="6" t="s">
        <v>1373</v>
      </c>
      <c r="F920" s="8" t="s">
        <v>1374</v>
      </c>
      <c r="G920" s="8" t="s">
        <v>1378</v>
      </c>
      <c r="I920" s="25" t="s">
        <v>799</v>
      </c>
    </row>
    <row r="921" spans="1:9" ht="14.4" x14ac:dyDescent="0.3">
      <c r="A921" t="s">
        <v>552</v>
      </c>
      <c r="B921" t="s">
        <v>619</v>
      </c>
      <c r="C921" t="s">
        <v>551</v>
      </c>
      <c r="D921">
        <v>2022</v>
      </c>
      <c r="E921" s="6" t="s">
        <v>1373</v>
      </c>
      <c r="F921" s="8" t="s">
        <v>1374</v>
      </c>
      <c r="G921" s="8" t="s">
        <v>1379</v>
      </c>
      <c r="I921" s="25" t="s">
        <v>799</v>
      </c>
    </row>
    <row r="922" spans="1:9" ht="14.4" x14ac:dyDescent="0.3">
      <c r="A922" t="s">
        <v>552</v>
      </c>
      <c r="B922" t="s">
        <v>619</v>
      </c>
      <c r="C922" t="s">
        <v>551</v>
      </c>
      <c r="D922">
        <v>2023</v>
      </c>
      <c r="E922" s="6" t="s">
        <v>1373</v>
      </c>
      <c r="F922" s="8" t="s">
        <v>1374</v>
      </c>
      <c r="G922" s="8" t="s">
        <v>1380</v>
      </c>
      <c r="I922" s="25" t="s">
        <v>799</v>
      </c>
    </row>
  </sheetData>
  <phoneticPr fontId="4" type="noConversion"/>
  <hyperlinks>
    <hyperlink ref="G67" r:id="rId1" display="https://www.oilfund.az/report-and-statistics/get-download-file/flip/8_2002_en.pdf" xr:uid="{7401D45E-53A3-4C8C-8844-4391B29650B8}"/>
    <hyperlink ref="G68" r:id="rId2" display="https://www.oilfund.az/report-and-statistics/get-download-file/flip/8_2003_en.pdf" xr:uid="{2A9E9536-B24F-4CB3-9B3D-A9255F7F4F7B}"/>
    <hyperlink ref="G69" r:id="rId3" display="https://www.oilfund.az/report-and-statistics/get-download-file/flip/8_2004_en.pdf" xr:uid="{58B59A9F-4A65-4684-A294-9717C0584F0E}"/>
    <hyperlink ref="G72" r:id="rId4" xr:uid="{4154CD21-7F95-48E1-B2B1-922061CE70B5}"/>
    <hyperlink ref="G84" r:id="rId5" xr:uid="{464401A3-ECCD-4B4B-87CE-A646A812AC5B}"/>
    <hyperlink ref="G80" r:id="rId6" xr:uid="{1840BB3C-A6BA-4BEB-8817-3CC6E297DC53}"/>
    <hyperlink ref="G66" r:id="rId7" display="https://www.oilfund.az/report-and-statistics/get-download-file/flip/8_2002_en.pdf" xr:uid="{4EFBE68B-AFC6-4A6F-B226-1B57828825B7}"/>
    <hyperlink ref="F109:F127" r:id="rId8" display="https://sfpim.be/en/publications-and-news/" xr:uid="{BC89AE83-94FB-417A-8B3E-C0AD39E15984}"/>
    <hyperlink ref="G137" r:id="rId9" display="https://thot-arquivos.tesouro.gov.br/publicacao/30318" xr:uid="{2225E4EE-64FC-4D83-9C60-DAD7259854F7}"/>
    <hyperlink ref="G136" r:id="rId10" display="https://cdn.tesouro.gov.br/sistemas-internos/apex/producao/sistemas/thot/arquivos/publicacoes/32474_1021886/RG FSB Ext 2019_final-1-37.pdf?utm_source=chatgpt.com" xr:uid="{5599903A-AE9C-4B45-92BB-FF3960D3AB3C}"/>
    <hyperlink ref="F128" r:id="rId11" display="https://www.tesourotransparente.gov.br/ckan/dataset/fundo-soberano-do-brasil?utm_source=chatgpt.com" xr:uid="{29012EBA-339D-40E8-8F6D-FC79CF5A6AC1}"/>
    <hyperlink ref="F129:F136" r:id="rId12" display="https://www.tesourotransparente.gov.br/ckan/dataset/fundo-soberano-do-brasil?utm_source=chatgpt.com" xr:uid="{4096019A-BD4C-4F5B-B896-7E8D06F0EFFF}"/>
    <hyperlink ref="F137" r:id="rId13" display="https://www.gov.br/tesouronacional/pt-br/ativos-da-uniao/fundos-governamentais/fundo-soberano-do-brasil-fsb/publicacoes-do-fsb" xr:uid="{C9B83C12-27A2-48FE-9AFF-ECB554C0D81B}"/>
    <hyperlink ref="F138" r:id="rId14" display="https://www.gov.br/tesouronacional/pt-br/ativos-da-uniao/fundos-governamentais/fundo-soberano-do-brasil-fsb/publicacoes-do-fsb" xr:uid="{135F4869-2ABC-4D08-A812-C116DFD3BAD1}"/>
    <hyperlink ref="G139" r:id="rId15" display="https://www.mf.gov.cv/web/mf/informa%C3%A7%C3%B5es-individuais-das-empresas-p%C3%BAblicas-e-participadas-do-estado/-/document_library/0Hex4KiPTOcH/view_file/4001777?_com_liferay_document_library_web_portlet_DLPortlet_INSTANCE_0Hex4KiPTOcH_redirect=https%3A%2F%2Fwww.mf.gov.cv%2Fweb%2Fmf%2Finforma%25C3%25A7%25C3%25B5es-individuais-das-empresas-p%25C3%25BAblicas-e-participadas-do-estado%2F-%2Fdocument_library%2F0Hex4KiPTOcH%2Fview%2F4001868%3F_com_liferay_document_library_web_portlet_DLPortlet_INSTANCE_0Hex4KiPTOcH_redirect%3Dhttps%253A%252F%252Fwww.mf.gov.cv%252Fweb%252Fmf%252Finforma%2525C3%2525A7%2525C3%2525B5es-individuais-das-empresas-p%2525C3%2525BAblicas-e-participadas-do-estado%252F-%252Fdocument_library%252F0Hex4KiPTOcH%252Fview%252F3630088%253F_com_liferay_document_library_web_portlet_DLPortlet_INSTANCE_0Hex4KiPTOcH_displayStyle%253Ddescriptive%2526_com_liferay_document_library_web_portlet_DLPortlet_INSTANCE_0Hex4KiPTOcH_navigation%253Dhome" xr:uid="{F9A4B055-C157-40FA-8036-A2AA3D7B410B}"/>
    <hyperlink ref="G140" r:id="rId16" display="https://www.mf.gov.cv/web/mf/informa%C3%A7%C3%B5es-individuais-das-empresas-p%C3%BAblicas-e-participadas-do-estado/-/document_library/0Hex4KiPTOcH/view_file/4001777?_com_liferay_document_library_web_portlet_DLPortlet_INSTANCE_0Hex4KiPTOcH_redirect=https%3A%2F%2Fwww.mf.gov.cv%2Fweb%2Fmf%2Finforma%25C3%25A7%25C3%25B5es-individuais-das-empresas-p%25C3%25BAblicas-e-participadas-do-estado%2F-%2Fdocument_library%2F0Hex4KiPTOcH%2Fview%2F4001868%3F_com_liferay_document_library_web_portlet_DLPortlet_INSTANCE_0Hex4KiPTOcH_redirect%3Dhttps%253A%252F%252Fwww.mf.gov.cv%252Fweb%252Fmf%252Finforma%2525C3%2525A7%2525C3%2525B5es-individuais-das-empresas-p%2525C3%2525BAblicas-e-participadas-do-estado%252F-%252Fdocument_library%252F0Hex4KiPTOcH%252Fview%252F3630088%253F_com_liferay_document_library_web_portlet_DLPortlet_INSTANCE_0Hex4KiPTOcH_displayStyle%253Ddescriptive%2526_com_liferay_document_library_web_portlet_DLPortlet_INSTANCE_0Hex4KiPTOcH_navigation%253Dhome" xr:uid="{FE7CF8C8-08AC-4AAA-96EE-CE3AE4E9EE7A}"/>
    <hyperlink ref="G141" r:id="rId17" display="https://www.mf.gov.cv/web/mf/informa%C3%A7%C3%B5es-individuais-das-empresas-p%C3%BAblicas-e-participadas-do-estado/-/document_library/0Hex4KiPTOcH/view_file/4966424?_com_liferay_document_library_web_portlet_DLPortlet_INSTANCE_0Hex4KiPTOcH_redirect=https%3A%2F%2Fwww.mf.gov.cv%2Fweb%2Fmf%2Finforma%25C3%25A7%25C3%25B5es-individuais-das-empresas-p%25C3%25BAblicas-e-participadas-do-estado%2F-%2Fdocument_library%2F0Hex4KiPTOcH%2Fview%2F4966413%3F_com_liferay_document_library_web_portlet_DLPortlet_INSTANCE_0Hex4KiPTOcH_redirect%3Dhttps%253A%252F%252Fwww.mf.gov.cv%252Fweb%252Fmf%252Finforma%2525C3%2525A7%2525C3%2525B5es-individuais-das-empresas-p%2525C3%2525BAblicas-e-participadas-do-estado%252F-%252Fdocument_library%252F0Hex4KiPTOcH%252Fview%252F3630088" xr:uid="{C6FB2E8D-5850-4654-9EBB-873424503D21}"/>
    <hyperlink ref="G285" r:id="rId18" xr:uid="{2607EEA7-EBEF-4B24-83DC-08749750A208}"/>
    <hyperlink ref="G283" r:id="rId19" xr:uid="{9541FFF5-6F3E-4B2F-BC5B-17D2B2A49AFD}"/>
    <hyperlink ref="F180" r:id="rId20" display="https://www.china-inv.cn/chinainven/Media/Annual_Report.shtml" xr:uid="{5C625CA2-983A-4894-BB9A-732F1B556064}"/>
    <hyperlink ref="F181:F195" r:id="rId21" display="https://www.china-inv.cn/chinainven/Media/Annual_Report.shtml" xr:uid="{A7D6A4EF-F126-4BCB-BF9D-07AA9B8A272D}"/>
    <hyperlink ref="F251" r:id="rId22" xr:uid="{08496AB1-1AF5-463F-87BA-54851CF30D64}"/>
    <hyperlink ref="F196" r:id="rId23" display="https://www.china-inv.cn/chinainven/Media/Annual_Report.shtml" xr:uid="{CF9402E7-DA9E-4220-B944-FA2D236B04F6}"/>
    <hyperlink ref="G181" r:id="rId24" display="https://www.china-inv.cn/wps/wcm/connect/7c8d7b47-d278-4900-b3b5-4e50061d4e2a/CIC_2008_annualreport_en.pdf?MOD=AJPERES&amp;CACHEID=7c8d7b47-d278-4900-b3b5-4e50061d4e2a" xr:uid="{36788C35-23CD-4A1B-A6E9-AC3E0372CCC4}"/>
    <hyperlink ref="G182" r:id="rId25" display="https://www.china-inv.cn/wps/wcm/connect/0126eee4-9737-4d5e-a9a0-1c11aac7fca2/CIC_2009_annualreport_en.pdf?MOD=AJPERES&amp;CACHEID=0126eee4-9737-4d5e-a9a0-1c11aac7fca2" xr:uid="{CFF7B410-F5F4-4059-9627-9D0602555B9C}"/>
    <hyperlink ref="G183" r:id="rId26" display="https://www.china-inv.cn/wps/wcm/connect/cb5c1ff5-c3db-42ea-bd62-541b0b22e8cc/CICAnnualReport2010.pdf?MOD=AJPERES&amp;CACHEID=cb5c1ff5-c3db-42ea-bd62-541b0b22e8cc" xr:uid="{4AC10628-607B-4187-9DE7-5F1CB7BACE08}"/>
    <hyperlink ref="G184" r:id="rId27" display="https://www.china-inv.cn/wps/wcm/connect/dd2750af-c025-4886-8ee6-8ce3a9178cbf/CICAnnualReport2011.pdf?MOD=AJPERES&amp;CACHEID=dd2750af-c025-4886-8ee6-8ce3a9178cbf" xr:uid="{346D3470-D561-4314-8BF2-4873DD1D8C25}"/>
    <hyperlink ref="G185" r:id="rId28" display="https://www.china-inv.cn/wps/wcm/connect/6486390b-3211-4aca-97af-06746798d6c9/CIC_2012_annualreport_en.pdf?MOD=AJPERES&amp;CACHEID=6486390b-3211-4aca-97af-06746798d6c9" xr:uid="{818CA590-1C66-44C1-9207-B9464790A047}"/>
    <hyperlink ref="G187" r:id="rId29" display="https://www.china-inv.cn/wps/wcm/connect/56536bd1-bb44-4254-ae08-fe1703894843/CICAnnualReport2014.pdf?MOD=AJPERES&amp;CACHEID=56536bd1-bb44-4254-ae08-fe1703894843" xr:uid="{1E0FA3E5-2CEB-4F81-9248-41F1BF6A7B6C}"/>
    <hyperlink ref="G188" r:id="rId30" display="https://www.china-inv.cn/wps/wcm/connect/62e332fc-8ddd-4eb9-b21c-b5cc3585e82a/CICAnnualReport2015.pdf?MOD=AJPERES&amp;CACHEID=62e332fc-8ddd-4eb9-b21c-b5cc3585e82a" xr:uid="{59559671-114E-4083-B568-88AF9E245358}"/>
    <hyperlink ref="G189" r:id="rId31" display="https://www.china-inv.cn/wps/wcm/connect/f16ecfee-5ce2-453e-8a5c-45c0f0874a9a/CICAnnualReport2016.pdf?MOD=AJPERES&amp;CACHEID=f16ecfee-5ce2-453e-8a5c-45c0f0874a9a" xr:uid="{1E46C434-43F7-4A5E-A4B7-222B2BB71239}"/>
    <hyperlink ref="G190" r:id="rId32" display="https://www.china-inv.cn/wps/wcm/connect/e6947335-0efd-492b-bd2f-09a3a9187f69/CICAnnualReport2017.pdf?MOD=AJPERES&amp;CACHEID=e6947335-0efd-492b-bd2f-09a3a9187f69" xr:uid="{2A787BF9-CC17-4276-B328-BC52A1B6FD16}"/>
    <hyperlink ref="G191" r:id="rId33" display="https://www.china-inv.cn/chinainven/xhtml/Media/2018EN.pdf" xr:uid="{EC0A78AD-6613-418E-AAA0-009911E43F4C}"/>
    <hyperlink ref="G192" r:id="rId34" display="https://www.china-inv.cn/chinainven/xhtml/Media/2019EN.pdf" xr:uid="{0CDD9306-4A1F-4421-883A-C204C097F5AC}"/>
    <hyperlink ref="G193" r:id="rId35" display="https://www.china-inv.cn/chinainven/xhtml/Media/2020EN.pdf" xr:uid="{2BB8733C-D9B7-4C8A-8CB6-FB08CD5BE9B0}"/>
    <hyperlink ref="G194" r:id="rId36" display="https://www.china-inv.cn/chinainven/xhtml/Media/2021EN.pdf" xr:uid="{4E91A68B-9045-4D46-921B-AC8C059909BB}"/>
    <hyperlink ref="G195" r:id="rId37" display="https://www.china-inv.cn/chinainven/xhtml/Media/2022EN.pdf" xr:uid="{3D89988D-565E-43E2-A57E-ABC973EBCE62}"/>
    <hyperlink ref="G196" r:id="rId38" display="https://www.china-inv.cn/chinainven/xhtml/Media/2023EN.pdf" xr:uid="{CA99E12B-57E0-4790-8882-760FC37C066A}"/>
    <hyperlink ref="G186" r:id="rId39" display="https://www.china-inv.cn/wps/wcm/connect/56536bd1-bb44-4254-ae08-fe1703894843/CICAnnualReport2014.pdf?MOD=AJPERES&amp;CACHEID=56536bd1-bb44-4254-ae08-fe1703894843" xr:uid="{8EB0B0C1-7D32-4380-A287-A04C4F43D048}"/>
    <hyperlink ref="G313" r:id="rId40" display="https://growthfund.gr/wp-content/uploads/2018/09/Annual_Report_FY2017_en.pdf" xr:uid="{3D29F01B-14C9-484C-B67E-895F5BDD7443}"/>
    <hyperlink ref="G314" r:id="rId41" display="https://growthfund.gr/wp-content/uploads/2018/09/Annual_Report_FY2017_en.pdf" xr:uid="{9D68290E-79BE-41E7-89EA-6A0A5A667851}"/>
    <hyperlink ref="G315" r:id="rId42" display="https://growthfund.gr/wp-content/uploads/2019/12/Annual-Financial-Statements-2018.pdf" xr:uid="{B9D6B27F-CF7B-43BE-9219-CBFE9FC61C1C}"/>
    <hyperlink ref="G316" r:id="rId43" xr:uid="{4CF87FFE-7BA7-4BD4-9673-9E57BF48DD92}"/>
    <hyperlink ref="G317" r:id="rId44" display="https://growthfund.gr/wp-content/uploads/2023/01/Annual-Report-2021_EN.pdf" xr:uid="{3FF155C4-579D-45D8-AA72-38ABDE839074}"/>
    <hyperlink ref="G318" r:id="rId45" display="https://growthfund.gr/wp-content/uploads/2024/01/2022_GROWTHFUND_ANNUAL_EN_WEB.pdf" xr:uid="{31A505C0-CB98-42DC-A92B-853663A5738E}"/>
    <hyperlink ref="G319" r:id="rId46" display="https://growthfund.gr/wp-content/uploads/2024/03/EN-ANNUAL-REPORT-GROWTHFUND-24-04-2025.pdf" xr:uid="{972489DF-0CA9-44AF-B42B-9F305CA381A5}"/>
    <hyperlink ref="G320" r:id="rId47" display="https://growthfund.gr/wp-content/uploads/2025/03/Fourth-quarterly-report_Q4_2024.pdf" xr:uid="{15AA6697-E6C2-46C6-B3DF-746514FBABE9}"/>
    <hyperlink ref="G321" r:id="rId48" display="https://growthfund.gr/wp-content/uploads/2025/03/Fourth-quarterly-report_Q4_2024.pdf" xr:uid="{53169FE0-4D98-452F-83B9-11C2147FC42F}"/>
    <hyperlink ref="F322" r:id="rId49" display="https://bankofguyana.org.gy/bog/publications/natural-resource-fund/audited-financial-statements" xr:uid="{32A40DDF-77B9-464C-888F-4C73A8C351F2}"/>
    <hyperlink ref="F323:F326" r:id="rId50" display="https://bankofguyana.org.gy/bog/publications/natural-resource-fund/audited-financial-statements" xr:uid="{703BD3C7-BDD0-4C2E-96B4-87C92479863B}"/>
    <hyperlink ref="F327" r:id="rId51" display="https://www.ntma.ie/national-pensions-reserve-fund-nprf?utm_source=chatgpt.com" xr:uid="{BE622B69-D031-4083-8ACD-4B2834CDDBD3}"/>
    <hyperlink ref="G326" r:id="rId52" display="https://bankofguyana.org.gy/bog/images/accounts_budgeting/natural_resource_fund/financial_statements/nrf_audited_financial_statements_2024.pdf" xr:uid="{E76EFABE-EF61-4970-8D73-4B9C4400A307}"/>
    <hyperlink ref="G325" r:id="rId53" display="https://bankofguyana.org.gy/bog/images/accounts_budgeting/natural_resource_fund/financial_statements/nrf_audited_financial_statements_2023.pdf" xr:uid="{603A53AE-BBD2-436A-B161-111F0072CD78}"/>
    <hyperlink ref="G324" r:id="rId54" display="https://bankofguyana.org.gy/bog/images/accounts_budgeting/natural_resource_fund/financial_statements/nrf_audited_financial_statements_2022.pdf" xr:uid="{F86C5D18-E8E1-4E85-8C93-79996B9D7BA7}"/>
    <hyperlink ref="G323" r:id="rId55" display="https://bankofguyana.org.gy/bog/images/accounts_budgeting/natural_resource_fund/financial_statements/nrf_audited_financial_statements_2021.pdf" xr:uid="{BD76786E-4F2A-40DF-AB12-69C1EBAD820F}"/>
    <hyperlink ref="G322" r:id="rId56" display="https://bankofguyana.org.gy/bog/images/accounts_budgeting/natural_resource_fund/financial_statements/nrf_audited_financial_statements_2020.pdf" xr:uid="{4B1E2212-E689-4D90-B2DD-FB8DD5620BA8}"/>
    <hyperlink ref="G327" r:id="rId57" display="https://www.ntma.ie/uploads/publication-articles/NPRF-Annual-Report-2002.pdf" xr:uid="{5BC94A29-7863-4EEF-9E69-DA8BF083B20D}"/>
    <hyperlink ref="G329" r:id="rId58" display="https://www.ntma.ie/uploads/publication-articles/NPRF-Annual-Report-2003.pdf" xr:uid="{56A18DCA-76FE-4262-8331-10CBE1446AE0}"/>
    <hyperlink ref="G328" r:id="rId59" display="https://www.ntma.ie/uploads/publication-articles/NPRF-Annual-Report-2002.pdf" xr:uid="{9E72ED7E-36BB-4312-8553-5D15E047D906}"/>
    <hyperlink ref="G330" r:id="rId60" display="https://www.ntma.ie/uploads/publication-articles/NPRF-Annual-Report-2004.pdf" xr:uid="{4982D8BD-A9AC-4FFE-8E25-A1BB37FE54AF}"/>
    <hyperlink ref="G331" r:id="rId61" display="https://www.ntma.ie/uploads/publication-articles/NPRF-Annual-Report-2005.pdf" xr:uid="{BB6D0E20-8FDB-4699-98DA-7A4B1D125347}"/>
    <hyperlink ref="G332" r:id="rId62" display="https://www.ntma.ie/uploads/publication-articles/NPRF-Annual-Report-2006.pdf" xr:uid="{AAC14040-48C8-445A-9AFF-F5506C1AB0BD}"/>
    <hyperlink ref="G333" r:id="rId63" display="https://www.ntma.ie/uploads/publication-articles/NPRF-Annual-Report-2007.pdf" xr:uid="{F04BCAF6-E41E-4B6D-A7E4-6B7A9E64C8DF}"/>
    <hyperlink ref="G334" r:id="rId64" display="https://www.ntma.ie/uploads/publication-articles/NPRF-Annual-Report-2008.pdf" xr:uid="{6A56FF41-AF91-478C-97BA-C5C26041EC71}"/>
    <hyperlink ref="G335" r:id="rId65" display="https://www.ntma.ie/uploads/publication-articles/NPRF-Annual-Report-2009.pdf" xr:uid="{35924B83-C04E-410A-8CAE-23BB672D28BE}"/>
    <hyperlink ref="G336" r:id="rId66" display="https://www.ntma.ie/uploads/publication-articles/NPRF-Annual-Report-2010.pdf" xr:uid="{F5395BC8-367E-45B0-BB56-C5C671FDA549}"/>
    <hyperlink ref="G337" r:id="rId67" display="https://www.ntma.ie/uploads/publication-articles/NPRF-Annual-Report-2011.pdf" xr:uid="{61989E1F-3854-4542-A75C-CB02E27229D8}"/>
    <hyperlink ref="G338" r:id="rId68" display="https://www.ntma.ie/uploads/publication-articles/NPRF-Annual-Report-2012.pdf" xr:uid="{802BC3C6-5AB8-44BB-B3DC-2B0FD49D6906}"/>
    <hyperlink ref="G339" r:id="rId69" display="https://www.ntma.ie/uploads/publication-articles/NPRF-Annual-Report-2013.pdf" xr:uid="{74F5E0D6-8ED9-4D09-8D14-3B1BC4734F45}"/>
    <hyperlink ref="G354" r:id="rId70" display="https://www.cdp.it/internet/public/cms/documents/FSI_RFA_2012_ITA.pdf" xr:uid="{DA361A82-7162-42C6-97B2-235223AEDC35}"/>
    <hyperlink ref="G356" r:id="rId71" display="https://www.cdp.it/internet/public/cms/documents/FSI_RFA_2013_ITA.pdf" xr:uid="{1FF821BE-7933-4FBB-A9C4-7DC062E2872B}"/>
    <hyperlink ref="G355" r:id="rId72" display="https://www.cdp.it/internet/public/cms/documents/FSI_RFA_2013_ITA.pdf" xr:uid="{401A0C6E-3755-4149-A187-21463B35F1C8}"/>
    <hyperlink ref="G357" r:id="rId73" display="https://www.cdp.it/internet/public/cms/documents/FSI_RFA_2015_ENG.pdf" xr:uid="{975953EE-9709-43C7-82EB-AF40FDA1E7BA}"/>
    <hyperlink ref="G358" r:id="rId74" display="https://www.cdp.it/internet/public/cms/documents/FSI_RFA_2015_ENG.pdf" xr:uid="{11DCFFE4-D464-4BF8-801D-F35E00538BD0}"/>
    <hyperlink ref="G360" r:id="rId75" display="https://www.cdp.it/internet/public/cms/documents/CDP_EQUITY_RFA_2017_ITA.pdf" xr:uid="{0E827C51-AE37-49D1-890F-95C812ABDCBD}"/>
    <hyperlink ref="G361" r:id="rId76" display="https://www.cdp.it/internet/public/cms/documents/CDP_EQUITY_RFA_2018_ITA.pdf" xr:uid="{F6D82967-499F-4301-A99E-98852F3CC88A}"/>
    <hyperlink ref="G359" r:id="rId77" display="https://www.cdp.it/internet/public/cms/documents/CDP_EQUITY_RFA_2017_ITA.pdf" xr:uid="{3D9CE837-1741-4C46-9F37-D431B9F7E99B}"/>
    <hyperlink ref="G362" r:id="rId78" display="https://www.cdp.it/internet/public/cms/documents/CDP_EQUITY_RFA_2019_ENG.pdf" xr:uid="{A4DFF5B3-C51B-4BFE-AC64-218F88B333C2}"/>
    <hyperlink ref="G363" r:id="rId79" display="https://www.cdp.it/internet/public/cms/documents/CDP_EQUITY_RFA_2020_ENG.pdf" xr:uid="{288942CC-D7D2-42F5-9A63-1A5DFCE76E5D}"/>
    <hyperlink ref="G364" r:id="rId80" display="https://www.cdp.it/internet/public/cms/documents/CDP_EQUITY_RFA_2021_ENG.pdf" xr:uid="{E2D793B8-8A9E-4FB4-B011-91B2E27100D8}"/>
    <hyperlink ref="G365" r:id="rId81" display="https://www.cdp.it/internet/public/cms/documents/CDP_Equity_RFA-2022_ENG.pdf" xr:uid="{FA7B9C59-80C9-416A-AF4D-E8EA5EB6F60D}"/>
    <hyperlink ref="G366" r:id="rId82" display="https://www.cdp.it/internet/public/cms/documents/CDP_Equity_RFA-2023_ENG.pdf" xr:uid="{944824C6-FF2E-44D2-AF82-AEE72F6C17D6}"/>
    <hyperlink ref="G367" r:id="rId83" display="https://www.cdp.it/internet/public/cms/documents/CDP_Equity_RFA-2024_ENG.pdf" xr:uid="{DF07084E-652D-4140-AF13-8E0E8ECC68F7}"/>
    <hyperlink ref="F354" r:id="rId84" display="https://www.cdp.it/sitointernet/en/cdp_equity_bilanci.page" xr:uid="{A54CC310-62C1-4D12-A29D-6B4D66CE3634}"/>
    <hyperlink ref="F355:F367" r:id="rId85" display="https://www.cdp.it/sitointernet/en/cdp_equity_bilanci.page" xr:uid="{796DFA6B-17FE-4AD8-82E9-23B9B6806555}"/>
    <hyperlink ref="F259" r:id="rId86" xr:uid="{8C1208B4-62A1-40E5-8BBD-362EE4EB5A39}"/>
    <hyperlink ref="F396" r:id="rId87" location="corporation" xr:uid="{11A54729-2D5D-4457-BAF3-88A6A925FEB5}"/>
    <hyperlink ref="G396" r:id="rId88" display="https://www.nicnbk.kz/backend/web/uploads/files/slider-documents/1590046213_XoKfEihvLS.pdf" xr:uid="{75E6436D-AD54-462D-A3CE-B18A04F59923}"/>
    <hyperlink ref="G397" r:id="rId89" display="https://www.nicnbk.kz/backend/web/uploads/files/slider-documents/1590046376_HIE7AfxO5U.pdf" xr:uid="{45581CDA-0494-4A10-8E25-F778B805247E}"/>
    <hyperlink ref="G398" r:id="rId90" display="https://www.nicnbk.kz/backend/web/uploads/files/slider-documents/1590046488_FspjxwBfe5.pdf" xr:uid="{B24ED7A4-C1AF-4C42-A1D7-3E5FBF0E9792}"/>
    <hyperlink ref="G399" r:id="rId91" display="https://www.nicnbk.kz/backend/web/uploads/files/slider-documents/1590046370_RXby7UGjLx.pdf" xr:uid="{BB779720-E8F2-4E59-920C-12724AE94E14}"/>
    <hyperlink ref="G400" r:id="rId92" display="https://www.nicnbk.kz/backend/web/uploads/files/slider-documents/1590046392_soavjUNDOe.pdf" xr:uid="{27B3CA59-CF2D-44A1-9893-3718EC35E96A}"/>
    <hyperlink ref="G401" r:id="rId93" display="https://www.nicnbk.kz/backend/web/uploads/files/slider-documents/1590046429_Pq8Bksz4do.pdf" xr:uid="{B5E4C044-392B-41BC-90FD-D2815D4106BC}"/>
    <hyperlink ref="G402" r:id="rId94" display="https://www.nicnbk.kz/backend/web/uploads/files/slider-documents/1590136581_ykpYJzL2LN.pdf" xr:uid="{2B07FCC5-F202-422A-B101-2FAA7DEBC483}"/>
    <hyperlink ref="G403" r:id="rId95" display="https://www.nicnbk.kz/backend/web/uploads/files/slider-documents/1590046664_UO9UZ9VuJb.pdf" xr:uid="{7CAB6201-331A-47CB-89FB-0743FD5646B6}"/>
    <hyperlink ref="G404" r:id="rId96" display="https://www.nicnbk.kz/backend/web/uploads/files/slider-documents/1623237564_N6q-gFxabU.pdf" xr:uid="{BC990445-7CD1-4193-95E7-7842C1F9362F}"/>
    <hyperlink ref="G405" r:id="rId97" display="https://www.nicnbk.kz/backend/web/uploads/files/slider-documents/1653635861_evX3X7oZqg.pdf" xr:uid="{FA6FC653-4D7E-4EBF-9F07-8BCE00061D4F}"/>
    <hyperlink ref="G406" r:id="rId98" display="https://www.nicnbk.kz/backend/web/uploads/files/slider-documents/1685591580_D1DR37uyZz.pdf" xr:uid="{3866A8AB-855F-429E-AF32-1EF7B8CF7672}"/>
    <hyperlink ref="G407" r:id="rId99" display="https://www.nicnbk.kz/backend/web/uploads/files/slider-documents/1716963457_--xXMeENFK.pdf" xr:uid="{E6D59456-285D-411C-ACD0-0A31688CE523}"/>
    <hyperlink ref="G408" r:id="rId100" display="https://www.nicnbk.kz/backend/web/uploads/files/slider-documents/1747982831_pHxGD9uCqO.pdf" xr:uid="{EA8FC160-7424-472C-83C6-F250C69193FD}"/>
    <hyperlink ref="G492" r:id="rId101" display="https://mfin.gouvernement.lu/dam-assets/le-minist%C3%A8re/fondssouveraininteregenerationnel/comptes-et-rapports-d%E2%80%99activit%C3%A9s-annuels/comptes-an-121066.pdf" xr:uid="{D5C65838-EA86-4420-82D7-56321906A459}"/>
    <hyperlink ref="G493" r:id="rId102" display="https://mfin.gouvernement.lu/dam-assets/le-minist%C3%A8re/fondssouveraininteregenerationnel/comptes-et-rapports-d%E2%80%99activit%C3%A9s-annuels/comptes-an-ra-050417.pdf" xr:uid="{FE2FAFFE-FC44-4E4D-8102-F4F60679A6C0}"/>
    <hyperlink ref="G494" r:id="rId103" display="https://mfin.gouvernement.lu/dam-assets/le-minist%C3%A8re/fondssouveraininteregenerationnel/comptes-et-rapports-d%E2%80%99activit%C3%A9s-annuels/comptes-an-ra-311217.pdf" xr:uid="{1C1FA33D-6EFA-46C0-99D4-8CE58C2EF87D}"/>
    <hyperlink ref="G495" r:id="rId104" display="https://mfin.gouvernement.lu/dam-assets/le-minist%C3%A8re/fondssouveraininteregenerationnel/comptes-et-rapports-d%E2%80%99activit%C3%A9s-annuels/20190320-Fonds-Souverain-Comptes-annuels-311218-V2-pdfA.pdf" xr:uid="{1AC9B503-C92F-4D63-BD87-794882BD1774}"/>
    <hyperlink ref="G496" r:id="rId105" display="https://mfin.gouvernement.lu/dam-assets/le-minist%C3%A8re/fondssouveraininteregenerationnel/comptes-et-rapports-d%E2%80%99activit%C3%A9s-annuels/Fonds-souverain-Comptes-annuels-31122019-pdf-A-final-002-.pdf" xr:uid="{79771ADB-C191-4DD1-8587-5D420A3E11FA}"/>
    <hyperlink ref="G498" r:id="rId106" display="https://mfin.gouvernement.lu/dam-assets/le-minist%C3%A8re/fondssouveraininteregenerationnel/comptes-et-rapports-d%E2%80%99activit%C3%A9s-annuels/comptes-et-rapport-d-activites-annuels-2021.pdf" xr:uid="{2E188013-BC4A-4248-81D8-D3770EB51B02}"/>
    <hyperlink ref="G497" r:id="rId107" display="https://mfin.gouvernement.lu/dam-assets/le-minist%C3%A8re/fondssouveraininteregenerationnel/comptes-et-rapports-d%E2%80%99activit%C3%A9s-annuels/Comptes-et-rapport-d-activites-annuels-2020.pdf" xr:uid="{F368076C-8A7B-4F9D-BEC8-E0731339D761}"/>
    <hyperlink ref="G499" r:id="rId108" display="https://mfin.gouvernement.lu/dam-assets/le-minist%C3%A8re/fondssouveraininteregenerationnel/comptes-et-rapports-d%E2%80%99activit%C3%A9s-annuels/comptes-et-rapport-dactivits-annuels-2022.pdf" xr:uid="{B097304C-7D6C-46B1-AFE7-293616DE54D2}"/>
    <hyperlink ref="G500" r:id="rId109" display="https://mfin.gouvernement.lu/dam-assets/le-minist%C3%A8re/fondssouveraininteregenerationnel/comptes-et-rapports-d%E2%80%99activit%C3%A9s-annuels/comptes-et-rapport-dactivits-annuels-2023.pdf" xr:uid="{894C66CC-FEB0-44D9-944C-59D1FBE7CEDC}"/>
    <hyperlink ref="G501" r:id="rId110" display="https://mfin.gouvernement.lu/dam-assets/le-minist%C3%A8re/fondssouveraininteregenerationnel/comptes-et-rapports-d%E2%80%99activit%C3%A9s-annuels/comptes-et-rapport-dactivits-annuels-2024.pdf" xr:uid="{2C6A8A0F-A63A-4C95-9558-6A3782A493A6}"/>
    <hyperlink ref="F492" r:id="rId111" display="https://mfin.gouvernement.lu/fr/le-ministere/fonds-souverain-intergenerationnel-luxembourg/Comptes_et_rapports_d_activites_annuels.html" xr:uid="{01C113FD-C1E0-424A-A111-D9C05513984E}"/>
    <hyperlink ref="F493:F499" r:id="rId112" display="https://mfin.gouvernement.lu/fr/le-ministere/fonds-souverain-intergenerationnel-luxembourg/Comptes_et_rapports_d_activites_annuels.html" xr:uid="{E88368C0-C368-474E-82CC-B5BAF279FB21}"/>
    <hyperlink ref="F500:F501" r:id="rId113" display="https://mfin.gouvernement.lu/fr/le-ministere/fonds-souverain-intergenerationnel-luxembourg/Comptes_et_rapports_d_activites_annuels.html" xr:uid="{CE8F0583-917C-48EA-9121-2B1551351786}"/>
    <hyperlink ref="G529" r:id="rId114" display="https://ndsf.com.mt/wp-content/uploads/2023/08/Annual-Report-2016.pdf" xr:uid="{EBF1F2B4-2BCD-457C-B1A6-7C5A529E05E2}"/>
    <hyperlink ref="G530" r:id="rId115" display="https://ndsf.com.mt/wp-content/uploads/2023/08/Annual-Report-2017.pdf" xr:uid="{88E333EE-81EA-489F-BA00-A6DC35659E29}"/>
    <hyperlink ref="G531" r:id="rId116" display="https://ndsf.com.mt/wp-content/uploads/2023/08/Annual-Report-2018.pdf" xr:uid="{4511921C-7070-4FE0-A518-FC0A7946E949}"/>
    <hyperlink ref="G532" r:id="rId117" display="https://ndsf.com.mt/wp-content/uploads/2023/08/Annual-Report-2019.pdf" xr:uid="{C1D942EF-AA09-4942-A218-B33D6192BB5C}"/>
    <hyperlink ref="G533" r:id="rId118" display="https://ndsf.com.mt/wp-content/uploads/2023/08/Annual-Report-2020.pdf" xr:uid="{47375C55-EB1F-47A4-93FE-A3860CA05559}"/>
    <hyperlink ref="G534" r:id="rId119" display="https://ndsf.com.mt/wp-content/uploads/2024/04/NDSF_AnnualReport2021.pdf" xr:uid="{691E9226-4366-4EC3-9618-922DF6B3EE0D}"/>
    <hyperlink ref="G535" r:id="rId120" display="https://ndsf.com.mt/wp-content/uploads/2025/01/0000-EQ93-National-Development-and-Social-Fund-NDSF-Annual-Report-2022-v5-LR.pdf" xr:uid="{6D799D8F-14A0-4527-8DD2-0DD1B6A48BD8}"/>
    <hyperlink ref="G536" r:id="rId121" display="https://ndsf.com.mt/wp-content/uploads/2025/07/Annual-Report-and-Financial-Statements-2023-.pdf" xr:uid="{51C4F04F-45A1-4E9D-8E3B-74613E22D3A6}"/>
    <hyperlink ref="F529:F536" r:id="rId122" display="https://ndsf.com.mt/annual-reports-and-financial-statements/" xr:uid="{584CCA61-700C-41E4-B100-2F62D7D035DA}"/>
    <hyperlink ref="G537" r:id="rId123" display="https://drive.google.com/file/d/0B4gcUaZXjZztSUdMZWt1QzhHQVk/preview?rm=minimal&amp;resourcekey=0-c_tIRXf1qUvlgAz4yK3QTg" xr:uid="{676468E8-71FD-453B-867A-8D1AABEA9313}"/>
    <hyperlink ref="G538" r:id="rId124" display="https://drive.google.com/file/d/0B4gcUaZXjZztSUdMZWt1QzhHQVk/preview?rm=minimal&amp;resourcekey=0-c_tIRXf1qUvlgAz4yK3QTg" xr:uid="{391351BA-0647-4F9E-9104-F7CCFE76B497}"/>
    <hyperlink ref="G540" r:id="rId125" display="https://drive.google.com/file/d/0B4gcUaZXjZztdmcydVJuZlBuSnM/preview?rm=minimal&amp;resourcekey=0-bKmbgLPVb2B80mcUsKOEuw" xr:uid="{1CB97BDE-B0A4-4605-BEA3-D5860BC405E4}"/>
    <hyperlink ref="G539" r:id="rId126" display="https://drive.google.com/file/d/0B4gcUaZXjZztdmcydVJuZlBuSnM/preview?rm=minimal&amp;resourcekey=0-bKmbgLPVb2B80mcUsKOEuw" xr:uid="{CC04D939-3908-4D1E-A44A-BFB49B075D62}"/>
    <hyperlink ref="G541" r:id="rId127" display="https://drive.google.com/file/d/0B4gcUaZXjZztdmVtX1JnSjhvUW8/preview?rm=minimal&amp;resourcekey=0-dHrFRQOOFexyGzIq3wRG5A" xr:uid="{EA2F00C1-A121-4898-8A79-C6717F32328A}"/>
    <hyperlink ref="G542" r:id="rId128" display="https://drive.google.com/file/d/0B4gcUaZXjZztYXpTR1FKSUpwTTQ/preview?rm=minimal&amp;resourcekey=0-UHx2ANNWZLCDZE5zJonE1A" xr:uid="{F598977B-751E-4E3D-8E7E-94E4D7F9CE8B}"/>
    <hyperlink ref="G543" r:id="rId129" display="https://drive.google.com/file/d/0B4gcUaZXjZztSGlYWE5CeHMzN2M/preview?rm=minimal&amp;resourcekey=0-vgyZZOSSJG0Hu4jUoWPB8g" xr:uid="{CAA69F9F-1312-48C6-953F-4770209DC4B7}"/>
    <hyperlink ref="G544" r:id="rId130" display="https://drive.google.com/file/d/0B4gcUaZXjZztQ0tqemNlbHc2U1E/preview?rm=minimal&amp;resourcekey=0-mVnptePKkbCKByQM820j3Q" xr:uid="{434A3C73-B8C2-4CED-8B31-1D15D515AC47}"/>
    <hyperlink ref="G545" r:id="rId131" display="https://drive.google.com/file/d/0B4gcUaZXjZztSmxHd3RvT2xzZmM/preview?rm=minimal&amp;resourcekey=0-UD4rE38Aj0hHbTA5VqsmXg" xr:uid="{9BC6CB7E-3E0A-4EC7-BE20-FEF6BDE63A21}"/>
    <hyperlink ref="G546" r:id="rId132" display="https://drive.google.com/file/d/0B4gcUaZXjZztTzIzQUZwQzlidnc/preview?rm=minimal&amp;resourcekey=0-jdixAN-uOGfs249zL2Pgfw" xr:uid="{C2138836-A793-4E55-8446-C8254F97A0C4}"/>
    <hyperlink ref="G547" r:id="rId133" display="https://drive.google.com/file/d/0B4gcUaZXjZztakJJUU1laUlqVm8/preview?rm=minimal&amp;resourcekey=0-tjYKCGXUIfTOMvz89K5edg" xr:uid="{731CC97D-789A-4AF1-AD98-F8C876961702}"/>
    <hyperlink ref="G548" r:id="rId134" display="https://drive.google.com/file/d/0B4gcUaZXjZzteGY0RnA2UENwWlU/preview?rm=minimal&amp;resourcekey=0-v4Ls3wuap5-GmYS7oPSuOQ" xr:uid="{E04390A4-A4F7-429B-BAF7-78B0F67A812A}"/>
    <hyperlink ref="G549" r:id="rId135" display="https://drive.google.com/file/d/0B4gcUaZXjZztZFItTFUwOHI2Vms/preview?rm=minimal&amp;resourcekey=0-Bwud-2x4ooXKQaMji_joHw" xr:uid="{40C6A112-019E-4215-A7E9-17A73D37BD5E}"/>
    <hyperlink ref="G550" r:id="rId136" display="https://drive.google.com/file/d/1Q2ZCyLvhjMVgdOM8bpX1HMblsDCfDKgd/preview?rm=minimal" xr:uid="{32BA29F7-E033-40EC-A857-94FF198B8A0A}"/>
    <hyperlink ref="G551" r:id="rId137" display="https://drive.google.com/file/d/1vAnp9ExuHf7srZZKy5YfapdNGgBm3aya/preview?rm=minimal" xr:uid="{043A6F45-9310-4F84-8B32-B90BA898A6B1}"/>
    <hyperlink ref="G552" r:id="rId138" display="https://drive.google.com/file/d/1hTQaHn_t1bBW_Ai3BvqrBKp7Zk8Ln-Vx/preview?rm=minimal" xr:uid="{11A1BAFD-2CB0-4F18-8D2E-A91F7985F3D7}"/>
    <hyperlink ref="G553" r:id="rId139" display="https://drive.google.com/file/d/100UGrk7VRxFo49i_K9T_izAFjQ9E2rFi/preview?rm=minimal" xr:uid="{CE8EFC20-2EDF-4804-B9F8-1EEA8F9095C3}"/>
    <hyperlink ref="G554" r:id="rId140" display="https://drive.google.com/file/d/1cfDOkqHWRf0x9zCWN7cisx238nWOhf70/preview?rm=minimal" xr:uid="{40F8333D-D499-450B-B346-E7FCA512DE06}"/>
    <hyperlink ref="G555" r:id="rId141" display="https://drive.google.com/file/d/1He3_YJK4kc3EqxDV6D4gBEDlZrzHiY55/preview?rm=minimal" xr:uid="{5E1696EE-373E-42CA-8317-748C5985FE66}"/>
    <hyperlink ref="G556" r:id="rId142" display="https://drive.google.com/file/d/1_vxfE9ItazvpKgHxxFdqBf0oryVAPffE/preview?rm=minimal" xr:uid="{FD3EF588-25F0-4FC1-B1AE-55CC22CA4B7D}"/>
    <hyperlink ref="G557" r:id="rId143" display="https://drive.google.com/file/d/1-gsSzCm2Dtl4PC7DyHcObGbDTejG7wYo/preview?rm=minimal" xr:uid="{6EF92988-56F1-4A03-9A2D-39356D660B3C}"/>
    <hyperlink ref="F537" r:id="rId144" display="https://rmicfatf.com/file-repository/" xr:uid="{E7BDAD54-D61F-4FC7-AA5A-BC4BA4E3C740}"/>
    <hyperlink ref="F538:F557" r:id="rId145" display="https://rmicfatf.com/file-repository/" xr:uid="{C4090FF2-E653-4794-B1F0-F2C86758C0D2}"/>
    <hyperlink ref="G569" r:id="rId146" display="https://www.fmped.org.mx/informes/%7BF5053D62-DDFD-1D6F-B977-E116C1AC90C3%7D.pdf" xr:uid="{9D256039-B559-474B-A20D-560AAD3AB4F6}"/>
    <hyperlink ref="G570" r:id="rId147" display="https://www.fmped.org.mx/informes/%7BF5053D62-DDFD-1D6F-B977-E116C1AC90C3%7D.pdf" xr:uid="{B1190B91-C391-4946-B0EB-C569D78C3FA2}"/>
    <hyperlink ref="G571" r:id="rId148" display="https://www.fmped.org.mx/informes/%7B7DBA511A-28DB-82A0-9C7D-73921B4858F7%7D.pdf" xr:uid="{9A7103A7-204A-48F5-BAE5-300E0D2122BA}"/>
    <hyperlink ref="G572" r:id="rId149" display="https://www.fmped.org.mx/transparencia/%7B2917A6FA-869E-4A67-E354-91AF0BD45513%7D.pdf" xr:uid="{D4FD41D1-0843-47C7-8886-F2A45AB937E2}"/>
    <hyperlink ref="G573" r:id="rId150" display="https://www.fmped.org.mx/transparencia/%7BFF5EC50F-7250-8FED-EE87-19563671227B%7D.pdf" xr:uid="{6D0CB3DD-CAD0-459B-8303-EB1F6D1A1E70}"/>
    <hyperlink ref="G574" r:id="rId151" display="https://www.fmped.org.mx/transparencia/%7B6BA8FB0E-26B0-993D-532C-AFCBC875AC9D%7D.pdf" xr:uid="{EA3D8201-587A-4683-9EE6-EC4B0ECF7A00}"/>
    <hyperlink ref="G575" r:id="rId152" display="https://www.fmped.org.mx/informes/%7BD6C25C33-88D3-8004-377E-3F2A0D473607%7D.pdf" xr:uid="{4D613D2E-011B-4D2F-A4C1-AA2DB55884E2}"/>
    <hyperlink ref="G576" r:id="rId153" display="https://www.fmped.org.mx/informes/%7BE49279F3-9902-08C1-9D72-7D506A4248CF%7D.pdf" xr:uid="{A5A3A7BE-6AE7-4A66-A62E-747EC0EBABA7}"/>
    <hyperlink ref="G577" r:id="rId154" display="https://www.fmped.org.mx/informes/%7BEE17B43B-D440-989F-2110-F74E6F72E221%7D.pdf" xr:uid="{3B7A134E-3051-4A1E-BD66-1B236ECC4A5F}"/>
    <hyperlink ref="G578" r:id="rId155" display="https://www.fmped.org.mx/informes/%7B4DEB780B-66B4-36D8-15AF-D83A7D9B6DCE%7D.pdf" xr:uid="{C66FCF93-C5A0-47D1-958E-724E360F1CF6}"/>
    <hyperlink ref="G579" r:id="rId156" display="https://www.fmped.org.mx/informes/%7BF5053D62-DDFD-1D6F-B977-E116C1AC90C3%7D.pdf" xr:uid="{E5070271-3A18-4FDD-BD98-185A6653EB50}"/>
    <hyperlink ref="G581" r:id="rId157" display="https://drive.google.com/file/d/0B25lQaincvKeRDdhcWtYYmJmZU0/preview?rm=minimal&amp;resourcekey=0-92_L2M_Cr22X_QBLoXsOOg" xr:uid="{A53D9596-30BF-4270-B9B3-C8CB1DBA0EF6}"/>
    <hyperlink ref="G580" r:id="rId158" display="https://drive.google.com/file/d/0B25lQaincvKeRDdhcWtYYmJmZU0/preview?rm=minimal&amp;resourcekey=0-92_L2M_Cr22X_QBLoXsOOg" xr:uid="{AA7EA151-94BE-4C4A-8082-8B74D25DF5FA}"/>
    <hyperlink ref="G582" r:id="rId159" display="https://drive.google.com/file/d/0B25lQaincvKeUmVvajdvOXR3SmM/preview?rm=minimal&amp;resourcekey=0-yIAqeO1PAvzMYVO31NKT7Q" xr:uid="{E19D6217-7229-4FDB-B12D-C2DC9E159694}"/>
    <hyperlink ref="G583" r:id="rId160" display="https://drive.google.com/file/d/0B25lQaincvKeX29XblBLV3JkR0k/preview?rm=minimal&amp;resourcekey=0-FN16Ba6zdXol45KPLYSu3Q" xr:uid="{757A8723-A4DA-4479-8432-D6E5C3E3A604}"/>
    <hyperlink ref="G584" r:id="rId161" display="https://drive.google.com/file/d/0B25lQaincvKeMGY2bHFydWNVeWs/preview?rm=minimal&amp;resourcekey=0-CoJVUAnEJokLNe8DvnseDA" xr:uid="{C05A7236-D198-4441-B819-7CC06E6D16CE}"/>
    <hyperlink ref="G585" r:id="rId162" display="https://drive.google.com/file/d/0B25lQaincvKebE94Qlo4RW4xNkU/preview?rm=minimal&amp;resourcekey=0-TSP191ENFJnarXJwrmTU3Q" xr:uid="{DD6BF203-C7BC-4FE7-8609-D263FB86F5C0}"/>
    <hyperlink ref="G586" r:id="rId163" display="https://drive.google.com/file/d/0B25lQaincvKeREJmczUwemo1SGs/preview?rm=minimal&amp;resourcekey=0-A4edt9Wv313ExPF2wQLi_g" xr:uid="{BF2FB740-8001-4322-8A95-FB66F0336049}"/>
    <hyperlink ref="G587" r:id="rId164" display="https://drive.google.com/file/d/0B25lQaincvKeWlREZjNObkR2N2c/preview?rm=minimal&amp;resourcekey=0-aOSOCgo9_t2U9iKqnBLtKQ" xr:uid="{8AFF7933-524D-4C6F-B943-06F78E30B281}"/>
    <hyperlink ref="G588" r:id="rId165" display="https://drive.google.com/file/d/0B25lQaincvKecE1UUkNqN3FGd1k/preview?rm=minimal&amp;resourcekey=0-oEfYsceQ_cVfCnnOQldO8Q" xr:uid="{A0D6D21C-40E6-411F-84DB-84015EA0406A}"/>
    <hyperlink ref="G589" r:id="rId166" display="https://drive.google.com/file/d/0B25lQaincvKeXy0tbTljd0Ytekk/preview?rm=minimal&amp;resourcekey=0-dlAERycljHVVxnc7Glq2nw" xr:uid="{153BA9CD-D2E2-428B-AF18-7CA8DE19CD27}"/>
    <hyperlink ref="G590" r:id="rId167" display="https://drive.google.com/file/d/0B25lQaincvKebS1MR1NVa1VmXzA/preview?rm=minimal&amp;resourcekey=0-dLJ8gX2leSHFgMpRn_9Ahg" xr:uid="{31361169-CCD5-414A-A370-E671E0777A8E}"/>
    <hyperlink ref="G593" r:id="rId168" display="https://drive.google.com/file/d/1mMnsjppLk-BdBvaL1ifYykdW94hk0L5j/preview?rm=minimal" xr:uid="{EF29CA23-0F5D-40B8-B024-D587CF92DBD8}"/>
    <hyperlink ref="G594" r:id="rId169" display="https://drive.google.com/file/d/1rM8M94_JxqDzaUC256dkA_2FnrFhtTMF/preview?rm=minimal" xr:uid="{7A2BEDAF-7E7D-4399-98F8-07D137121535}"/>
    <hyperlink ref="G595" r:id="rId170" display="https://drive.google.com/file/d/11bBbjBMAO6qWuQIrSrXzSW_WmD9DDxaw/preview?rm=minimal" xr:uid="{ECF5E3E5-1B17-440E-9401-BDD9CC4A67A8}"/>
    <hyperlink ref="G596" r:id="rId171" display="https://drive.google.com/file/d/1RTyN7xLQFEE54LrsdsX92FVjsug5Jl5_/preview?rm=minimal" xr:uid="{65F47851-D2BD-440F-8909-786E7BC7B919}"/>
    <hyperlink ref="G597" r:id="rId172" display="https://drive.google.com/file/d/19y2tT6tVScFMGxTg2STlSFFyZrqSk-NN/preview?rm=minimal" xr:uid="{8A9EA549-F2FA-4FA0-9E55-A97CF6FE7F97}"/>
    <hyperlink ref="G598" r:id="rId173" xr:uid="{503A88FC-6B0D-41D5-B66E-6A687435F19B}"/>
    <hyperlink ref="G599" r:id="rId174" display="https://drive.google.com/file/d/1pGPJtYz8A9K5AJR8Jsuft7GmYkFdW9Qp/preview?rm=minimal" xr:uid="{82A98693-2404-4741-A267-671204DA7584}"/>
    <hyperlink ref="G592" r:id="rId175" display="https://drive.google.com/file/d/1rfoSk9WM21rSwXUq8dzJLWU5_aoGhnv9/preview?rm=minimal" xr:uid="{6291DB7D-7D19-403A-8CF3-7656B2A4D06E}"/>
    <hyperlink ref="G591" r:id="rId176" display="https://drive.google.com/file/d/0B25lQaincvKebEIxOXdDdm5LSnc/preview?rm=minimal&amp;resourcekey=0-LRI9FWvaMboMnjBb0pmceA" xr:uid="{A8D44640-75DC-4584-888E-E91206BA605A}"/>
    <hyperlink ref="F580" r:id="rId177" display="https://fsmcfatf.com/file-repository/" xr:uid="{EC91A28D-5367-4C69-83CC-661916966483}"/>
    <hyperlink ref="F581:F599" r:id="rId178" display="https://fsmcfatf.com/file-repository/" xr:uid="{BA09D07C-56EC-4476-B507-16BA35DD768A}"/>
    <hyperlink ref="F644:F652" r:id="rId179" display="https://naurufinance.info/intergenerational-trust-fund/?utm_source=chatgpt.com" xr:uid="{5CB7817F-7A01-498A-8D98-B857E7A47C37}"/>
    <hyperlink ref="G644" r:id="rId180" display="https://naurufinance.info/wp-content/uploads/2020/07/signed_audited_-_2016_audited_financial_statements.pdf" xr:uid="{D4BAD621-9944-4603-9DFE-010972407FB8}"/>
    <hyperlink ref="G645" r:id="rId181" display="https://naurufinance.info/wp-content/uploads/2020/07/2017_annual_report_-_final.pdf" xr:uid="{6EE55A9B-5255-4336-A6D2-7D4980764B20}"/>
    <hyperlink ref="G646" r:id="rId182" display="https://naurufinance.info/wp-content/uploads/2020/07/2018_annual_report_-_final.pdf" xr:uid="{BF3F2342-AA45-4410-8271-8F02E5CEABA9}"/>
    <hyperlink ref="G647" r:id="rId183" display="https://naurufinance.info/wp-content/uploads/2020/07/finals_2019_annual_report.pdf" xr:uid="{7C1CC7E0-32C2-4A56-B491-4F6D1116FAC5}"/>
    <hyperlink ref="G648" r:id="rId184" display="https://naurufinance.info/wp-content/uploads/2020/12/2020-Annual-Report.pdf" xr:uid="{A75547CD-CDF0-4004-AD7E-11FE894737EB}"/>
    <hyperlink ref="G649" r:id="rId185" display="https://naurufinance.info/wp-content/uploads/2021/12/2021-Annual-Report-Signed.pdf" xr:uid="{4D182F17-B353-47F7-8F95-282644EB52DF}"/>
    <hyperlink ref="G650" r:id="rId186" display="https://naurufinance.info/wp-content/uploads/2022/12/FINAL-2022-Annual-Report-15-December-2022.pdf" xr:uid="{BA5FE5E5-5192-42F5-9169-68A40D4B8970}"/>
    <hyperlink ref="G651" r:id="rId187" display="https://naurufinance.info/wp-content/uploads/2024/01/NTF-2023-Annual-Report.pdf" xr:uid="{674C82F2-59F3-44B7-9D0B-29D8DF1A5D59}"/>
    <hyperlink ref="G652" r:id="rId188" display="https://naurufinance.info/wp-content/uploads/2024/12/2024-Annual-Report-FINAL.pdf" xr:uid="{50C21F55-EFDC-4DE8-A42B-482F8DA6D217}"/>
    <hyperlink ref="G653" r:id="rId189" xr:uid="{BF1A2352-184F-4B3E-823D-5CB3F4685794}"/>
    <hyperlink ref="G657" r:id="rId190" xr:uid="{966F5696-95DF-4940-9B15-52D3F361710F}"/>
    <hyperlink ref="G660" r:id="rId191" xr:uid="{0F27651B-A31A-4E3A-A04B-085DD1AB85F3}"/>
    <hyperlink ref="G673" r:id="rId192" xr:uid="{226B5DFF-856B-4818-BAFF-CFA4D2D0F058}"/>
    <hyperlink ref="F653" r:id="rId193" display="https://nzsuperfund.nz/publications/annual-reports/" xr:uid="{9312E3C0-5219-4CA6-9081-15F27AAB2143}"/>
    <hyperlink ref="F654:F675" r:id="rId194" display="https://nzsuperfund.nz/publications/annual-reports/" xr:uid="{8A833818-9EC7-4CBC-9EF6-84972B9B117A}"/>
    <hyperlink ref="G688" r:id="rId195" display="https://static1.squarespace.com/static/53924649e4b010f4651fd393/t/5436f1b2e4b0a4c7845cb1af/1412886962555/%5BPUB%5D+Informe+Anual+2013-FINAL.pdf" xr:uid="{9CBD85AD-0FA6-4016-A630-41634E475577}"/>
    <hyperlink ref="G689" r:id="rId196" display="https://static1.squarespace.com/static/53924649e4b010f4651fd393/t/551c3193e4b0cf5ef5899d68/1427911059234/%5BPUB%5D+Informe+Anual+2014+del+FAP+%28FINAL%29.pdf" xr:uid="{1AC59584-72F0-48EA-B95D-2255C793E496}"/>
    <hyperlink ref="G690" r:id="rId197" display="https://static1.squarespace.com/static/53924649e4b010f4651fd393/t/56fdc40655598610f75d1ed5/1459471434417/Informe+Anual+2015+del+FAP+%28FINAL%29.pdf" xr:uid="{31964AF8-2400-4542-A722-DD7210D19295}"/>
    <hyperlink ref="G691" r:id="rId198" display="https://static1.squarespace.com/static/53924649e4b010f4651fd393/t/58e3b311b3db2b46d4635395/1491317565285/Informe+Anual+2016+del+FAP+%28FINAL%29.pdf" xr:uid="{355CEFBE-80B4-42A5-9F0C-EB2915872B64}"/>
    <hyperlink ref="G692" r:id="rId199" display="https://static1.squarespace.com/static/53924649e4b010f4651fd393/t/5ac38d280e2e722b065a7602/1522765150975/FAP+IA2017+FINAL.pdf" xr:uid="{B1520423-332C-4559-BD5D-D67F8262712F}"/>
    <hyperlink ref="G693" r:id="rId200" display="https://static1.squarespace.com/static/53924649e4b010f4651fd393/t/5cc1c0ebe5e5f0f36f16fb29/1556201728227/IA+FINAL+2018.pdf" xr:uid="{242D5138-746B-4433-9E4D-98BC4E4D81E3}"/>
    <hyperlink ref="G694" r:id="rId201" display="https://static1.squarespace.com/static/53924649e4b010f4651fd393/t/5e9e1193c3ef2e2ce082a030/1587417515324/IA2019-EF+N.pdf" xr:uid="{BCD852B1-1F09-4F44-8942-00ABCDD45623}"/>
    <hyperlink ref="G695" r:id="rId202" display="https://static1.squarespace.com/static/53924649e4b010f4651fd393/t/6064e01a9a950e6e693f0696/1617223737950/IA2020_Version+Final.pdf" xr:uid="{8C8762A1-D470-4A93-9537-AD31AF265A58}"/>
    <hyperlink ref="G696" r:id="rId203" display="https://static1.squarespace.com/static/53924649e4b010f4651fd393/t/62460aaa65f9144b3a5425af/1648757425835/IA2021_Version+Final.pdf" xr:uid="{35D64071-C289-4C6D-8378-EB2E16ADEFC4}"/>
    <hyperlink ref="G697" r:id="rId204" display="https://static1.squarespace.com/static/53924649e4b010f4651fd393/t/642712fa5d266945cbfb2795/1680282368588/IA2022+Version+Final.pdf" xr:uid="{CC03C447-D4D2-409D-A26D-56459C1C2D0F}"/>
    <hyperlink ref="G698" r:id="rId205" display="https://static1.squarespace.com/static/53924649e4b010f4651fd393/t/66031f12a1ad007dc03700aa/1711480604176/IA2023+Version+Final.pdf" xr:uid="{57CF41DE-4AC7-4CF8-853B-269A5611A771}"/>
    <hyperlink ref="G699" r:id="rId206" display="https://static1.squarespace.com/static/53924649e4b010f4651fd393/t/67e6e475646c886b2f754498/1743185037974/IA2024+Version+Final.pdf" xr:uid="{42B77E90-F825-49F7-92E7-359CD12FAE56}"/>
    <hyperlink ref="F688" r:id="rId207" display="https://www.fondoahorropanama.com/informes-anuales" xr:uid="{997E325C-FF9A-42E0-9D0A-5D3553DE22E8}"/>
    <hyperlink ref="F689:F699" r:id="rId208" display="https://www.fondoahorropanama.com/informes-anuales" xr:uid="{9D2E38B5-05F1-47C4-A6F1-A1E18B890241}"/>
    <hyperlink ref="G34" r:id="rId209" xr:uid="{587DB790-A7EE-49CD-9CE2-027B5874FCB0}"/>
    <hyperlink ref="G35" r:id="rId210" xr:uid="{0EB5298F-BD0C-46CC-A48A-494FB2E8FD7C}"/>
    <hyperlink ref="G37" r:id="rId211" xr:uid="{31307164-5821-4100-B766-D559248CF90E}"/>
    <hyperlink ref="G26" r:id="rId212" xr:uid="{18F2F5BD-E7DE-4190-B569-BA9BFFD4B367}"/>
    <hyperlink ref="G29" r:id="rId213" xr:uid="{F62B3CB2-B151-4411-8125-DC227B07CC09}"/>
    <hyperlink ref="G33" r:id="rId214" xr:uid="{4D1AC8E5-C271-4FC9-ACA3-D897E9E6D1DE}"/>
    <hyperlink ref="G38" r:id="rId215" xr:uid="{818B0044-492E-452C-B9CC-1D02352F1DF6}"/>
    <hyperlink ref="G27" r:id="rId216" xr:uid="{FBC92D67-C947-4289-BD05-06FC661C58FD}"/>
    <hyperlink ref="G28" r:id="rId217" xr:uid="{058340FC-13C8-4EF5-ACEA-F29CC4F0ACC9}"/>
    <hyperlink ref="G36" r:id="rId218" xr:uid="{0E1DF105-806E-4DF0-870A-1952EE38877C}"/>
    <hyperlink ref="G53" r:id="rId219" xr:uid="{3C373FB5-5B63-460C-9C94-2B0DD3385DF9}"/>
    <hyperlink ref="G47" r:id="rId220" xr:uid="{ADEDBA74-25D0-456A-A6FA-D5AB2BBF6739}"/>
    <hyperlink ref="G41" r:id="rId221" xr:uid="{A826BB7A-58D3-484A-8A56-05883636FB56}"/>
    <hyperlink ref="G49" r:id="rId222" xr:uid="{83E52E1D-7CF3-46FA-94BB-7E804E27E9E3}"/>
    <hyperlink ref="G46" r:id="rId223" xr:uid="{BE069C15-6768-46E4-84BB-435A84D4C4A8}"/>
    <hyperlink ref="G44" r:id="rId224" xr:uid="{E1F55438-1AF3-44C9-ADBD-E0374F6A8BFB}"/>
    <hyperlink ref="G43" r:id="rId225" xr:uid="{F96F4956-4C36-4366-8620-EE56286628A9}"/>
    <hyperlink ref="G57" r:id="rId226" xr:uid="{1DE8BD4D-C384-4E17-BFDE-0C81FF21128D}"/>
    <hyperlink ref="G56" r:id="rId227" xr:uid="{A9CE70BA-E0D8-4D67-AF41-00023FD9A8BD}"/>
    <hyperlink ref="G55" r:id="rId228" xr:uid="{1AE05130-B331-47B0-BB22-1557E7CBB123}"/>
    <hyperlink ref="G54" r:id="rId229" xr:uid="{8FB4707B-8C86-453D-9DAA-CD90430CF555}"/>
    <hyperlink ref="G52" r:id="rId230" xr:uid="{6CF4BF80-463E-444C-A97B-E2F4B807A663}"/>
    <hyperlink ref="G51" r:id="rId231" xr:uid="{3A53ED04-1230-49B8-8B3B-D507F0C48015}"/>
    <hyperlink ref="G50" r:id="rId232" xr:uid="{24128638-7FDE-4E2D-AC05-1E3770BD1CFE}"/>
    <hyperlink ref="G48" r:id="rId233" xr:uid="{0C50CDA5-E4AE-48C9-908A-0FCD2B100F1C}"/>
    <hyperlink ref="G45" r:id="rId234" xr:uid="{B6F4D434-47EE-477A-9254-C6F0CE99665C}"/>
    <hyperlink ref="G42" r:id="rId235" xr:uid="{0E1E931F-116B-46B1-AF25-077D82C7393D}"/>
    <hyperlink ref="G40" r:id="rId236" xr:uid="{2F10644A-2D70-4CF3-BBA8-4E08D2C8822D}"/>
    <hyperlink ref="G39" r:id="rId237" xr:uid="{449B8FBC-891B-4E4F-B86F-422775689CC4}"/>
    <hyperlink ref="G142" r:id="rId238" display="https://fundosoberano.cv/index.php/resources/documents/Relatorio_de_contas_2024_eng.pdf" xr:uid="{67EA0FDA-F410-4E2D-8849-E34D9D88DBF5}"/>
    <hyperlink ref="G157" r:id="rId239" xr:uid="{AEE1C8D0-C480-4799-AD8A-70B6F4DF2D1F}"/>
    <hyperlink ref="G154" r:id="rId240" xr:uid="{74DF5C19-5EF0-4435-AE4C-73E8B60A8B0C}"/>
    <hyperlink ref="G152" r:id="rId241" xr:uid="{B1A847D9-3826-472D-8432-A1C9A54D0377}"/>
    <hyperlink ref="G149" r:id="rId242" xr:uid="{EAAAB3F9-4D46-4B05-BBB4-9A96DE10A95B}"/>
    <hyperlink ref="G143" r:id="rId243" xr:uid="{917463B0-4559-41E7-8589-B1CF0FD46B09}"/>
    <hyperlink ref="F143" r:id="rId244" xr:uid="{F298CE84-A825-4D6D-A8FF-F3F825CFECC4}"/>
    <hyperlink ref="F144:F146" r:id="rId245" display="https://www.hacienda.cl/english/work-areas/international-finance/sovereign-wealth-funds/pension-reserve-fund/financial-situation/market-value" xr:uid="{CDA5BFBD-4747-463F-A4F6-FADC355293D5}"/>
    <hyperlink ref="F161" r:id="rId246" xr:uid="{F9307CC0-CEB7-41E1-AFD1-A91BF17AB81E}"/>
    <hyperlink ref="G175" r:id="rId247" xr:uid="{499796B5-17D3-4F40-AD3B-A3557E68D14B}"/>
    <hyperlink ref="G172" r:id="rId248" xr:uid="{A5176FB1-ACE0-4451-BD34-0C24FC2E4389}"/>
    <hyperlink ref="G170" r:id="rId249" xr:uid="{43DD8A7D-4376-4242-BE86-3F0CF82E224F}"/>
    <hyperlink ref="G167" r:id="rId250" xr:uid="{619CAA3C-7D40-44C7-8FDE-FFD6393029E0}"/>
    <hyperlink ref="G162" r:id="rId251" xr:uid="{289EF838-C7EB-43CD-9ECC-DB117267347A}"/>
    <hyperlink ref="F340" r:id="rId252" display="https://www.ntma.ie/publications/p4" xr:uid="{0CFED934-4859-47AF-9C38-63A02AF9BC5E}"/>
    <hyperlink ref="G341" r:id="rId253" display="C:\Users\ASHIMINE\AppData\Local\Temp\MicrosoftEdgeDownloads\7cb16580-2bc7-4255-8aa5-e84c2e14570f\NTMAAnnualReportAndAccounts2015.pdf" xr:uid="{214498CA-6F60-4E4A-9DBA-493FAB6C40D6}"/>
    <hyperlink ref="G340" r:id="rId254" display="C:\Users\ASHIMINE\AppData\Local\Temp\MicrosoftEdgeDownloads\7cb16580-2bc7-4255-8aa5-e84c2e14570f\NTMAAnnualReportAndAccounts2015.pdf" xr:uid="{87332D5D-CD4D-493C-958B-1742D997B408}"/>
    <hyperlink ref="G342" r:id="rId255" display="C:\Users\ASHIMINE\AppData\Local\Temp\MicrosoftEdgeDownloads\5df45883-2720-4aeb-9f32-29986ab38601\NTMAAnnualReport2016_2.pdf" xr:uid="{98669D44-4D51-4B6C-B0F3-4086979BA68C}"/>
    <hyperlink ref="G343" r:id="rId256" display="C:\Users\ASHIMINE\AppData\Local\Temp\MicrosoftEdgeDownloads\06b719ff-a69e-4a03-9861-d246243a23bc\NTMA-Annual-Report-2017.pdf" xr:uid="{45C0A34E-A7FB-4CE4-834A-9D838A918E9B}"/>
    <hyperlink ref="G344" r:id="rId257" display="C:\Users\ASHIMINE\AppData\Local\Temp\MicrosoftEdgeDownloads\e87a3c5d-0a14-460b-b743-74e0de1ebcd5\NTMA-Annual-Report-2018.pdf" xr:uid="{C06D6E52-6342-45AD-8BBB-15FD18874B47}"/>
    <hyperlink ref="G345" r:id="rId258" display="C:\Users\ASHIMINE\AppData\Local\Temp\MicrosoftEdgeDownloads\26b05cec-7c56-4cb1-8c45-b192dc1c8662\NTMA-Annual-Report-2019-English.pdf" xr:uid="{59D5167C-AF77-4CA0-AB1B-4AAD9094D51A}"/>
    <hyperlink ref="G347" r:id="rId259" display="C:\Users\ASHIMINE\AppData\Local\Temp\MicrosoftEdgeDownloads\599c8b38-2d82-4dd0-ae63-d271411ea84e\NTMA-Annual-Report-2021-English.pdf" xr:uid="{49D9B823-522B-4D3E-93BC-AC7C61887C60}"/>
    <hyperlink ref="G346" r:id="rId260" display="C:\Users\ASHIMINE\AppData\Local\Temp\MicrosoftEdgeDownloads\51b635f4-381a-47ad-97ad-ab066fa67042\NTMA-Annual-Report-2020-English_2021-10-07-160213_mnlq.pdf" xr:uid="{9EEAF63E-4A9C-42E8-B283-5DCDA8844721}"/>
    <hyperlink ref="G348" r:id="rId261" display="C:\Users\ASHIMINE\AppData\Local\Temp\MicrosoftEdgeDownloads\6293a113-89a1-4ac5-b02d-361f6954cd18\NTMA-Annual-Report-2022-English.pdf" xr:uid="{0E478DCF-2F55-4A79-BB69-6FA57F5B99BD}"/>
    <hyperlink ref="G349" r:id="rId262" display="C:\Users\ASHIMINE\AppData\Local\Temp\MicrosoftEdgeDownloads\b1b20091-cc89-4e32-8dc3-a091536e9ee8\NTMA-Annual-Report-and-Financial-Statements-2023.pdf" xr:uid="{803E2ECC-2841-497C-BAD8-A0EA7AF00B39}"/>
    <hyperlink ref="G350" r:id="rId263" display="https://www.ntma.ie/annualreport2024/documents/NTMA-Annual-Report-2024.pdf" xr:uid="{4C1FCF45-8397-4753-8604-BE7224694FBB}"/>
    <hyperlink ref="G341:G350" r:id="rId264" display="https://www.ntma.ie/publications/p4" xr:uid="{23BC3A6A-3F70-44A1-8DA3-B4976083F187}"/>
    <hyperlink ref="F839" r:id="rId265" display="https://www.bancocentral.tl/en/go/publications-key-report-petroleum-fund-report?utm_source=chatgpt.com" xr:uid="{42DBE29C-EA38-418C-A2F0-4F439E7414A1}"/>
    <hyperlink ref="F840:F857" r:id="rId266" display="https://www.bancocentral.tl/en/go/publications-key-report-petroleum-fund-report?utm_source=chatgpt.com" xr:uid="{3BD27E88-4DDF-450D-AEEF-C93FEA496772}"/>
    <hyperlink ref="G839" r:id="rId267" display="https://www.bancocentral.tl/uploads/documentos/documento_1474853000_2323.pdf" xr:uid="{DA94BDF5-FD21-4F97-9B1C-CA7BC047C41E}"/>
    <hyperlink ref="G840" r:id="rId268" display="https://www.bancocentral.tl/uploads/documentos/documento_1474853103_1477.pdf" xr:uid="{D5A534BB-574A-41A3-B781-33F6307566D5}"/>
    <hyperlink ref="G841" r:id="rId269" display="https://www.bancocentral.tl/uploads/documentos/documento_1474853136_1660.pdf" xr:uid="{3E0F9E23-2655-4A21-B415-77A9DCD9F25D}"/>
    <hyperlink ref="G842" r:id="rId270" display="https://www.bancocentral.tl/uploads/documentos/documento_1474853526_4283.pdf" xr:uid="{3B4139BD-6CB7-482D-BCE9-FB413D58F373}"/>
    <hyperlink ref="G843" r:id="rId271" display="https://www.bancocentral.tl/uploads/documentos/documento_1474853526_4283.pdf" xr:uid="{3DF88C71-6421-4C0F-A1CF-356A7E8B85F0}"/>
    <hyperlink ref="G844" r:id="rId272" display="https://www.bancocentral.tl/uploads/documentos/documento_1474853562_7176.pdf" xr:uid="{74CFF1AD-BEF6-419D-BB35-58CB30D5678A}"/>
    <hyperlink ref="G845" r:id="rId273" display="https://www.bancocentral.tl/uploads/documentos/documento_1474853617_9174.pdf" xr:uid="{36C754AF-4891-454F-93F7-16072B714ADF}"/>
    <hyperlink ref="G846" r:id="rId274" display="https://www.bancocentral.tl/uploads/documentos/documento_1474853655_8570.pdf" xr:uid="{F859BD5B-81BF-4D79-9818-0525DA586816}"/>
    <hyperlink ref="G847" r:id="rId275" display="https://www.bancocentral.tl/uploads/documentos/documento_1474853702_6261.pdf" xr:uid="{A9571BC7-1D0F-41E7-B471-44B84BCB4235}"/>
    <hyperlink ref="G848" r:id="rId276" display="https://www.bancocentral.tl/uploads/documentos/documento_1474853743_8013.pdf" xr:uid="{2DD086FD-F382-4906-8D6F-84289CB8826A}"/>
    <hyperlink ref="G849" r:id="rId277" display="https://www.bancocentral.tl/uploads/documentos/documento_1506558376_4574.pdf" xr:uid="{F3316D72-7C6C-4762-8ED4-7C1F283A8249}"/>
    <hyperlink ref="G850" r:id="rId278" display="https://www.bancocentral.tl/uploads/documentos/documento_1534826066_1536.pdf" xr:uid="{A0CDD469-ABC8-4575-89E9-FAB69EA6A028}"/>
    <hyperlink ref="G857" r:id="rId279" display="https://www.bancocentral.tl/uploads/documentos/documento_1759145853_3697.pdf" xr:uid="{E4C94445-D5E8-42E0-A109-72AA94243A21}"/>
    <hyperlink ref="G856" r:id="rId280" display="https://www.bancocentral.tl/uploads/documentos/documento_1759189096_1147.pdf" xr:uid="{E501075B-7937-4345-A0E6-5B8E8E4D0557}"/>
    <hyperlink ref="G855" r:id="rId281" display="https://www.bancocentral.tl/uploads/documentos/documento_1759189128_2301.pdf" xr:uid="{CA0F65BE-9599-4A26-8CBB-FDFC84A4CBCB}"/>
    <hyperlink ref="G854" r:id="rId282" display="https://www.bancocentral.tl/uploads/documentos/documento_1759189128_2301.pdf" xr:uid="{1A06094F-F693-42A6-B76A-726CE063AE02}"/>
    <hyperlink ref="G851" r:id="rId283" display="https://www.bancocentral.tl/uploads/documentos/documento_1733365071_3436.pdf" xr:uid="{77EB301A-CAFE-48B1-BD8D-B6C0D8317267}"/>
    <hyperlink ref="G852" r:id="rId284" display="https://www.bancocentral.tl/uploads/documentos/documento_1733365071_3436.pdf" xr:uid="{FA1405A5-15D3-4851-BB9F-3A4AC85315F4}"/>
    <hyperlink ref="G853" r:id="rId285" display="https://www.bancocentral.tl/uploads/documentos/documento_1733285325_8031.pdf" xr:uid="{91459932-6921-4199-9B49-BBE26D4906F6}"/>
    <hyperlink ref="G858" r:id="rId286" display="https://www.finance.gov.tt/wp-content/uploads/2014/02/pub88F5D5.pdf" xr:uid="{EB1731AA-D9D6-4CBC-ACE9-46CF5A26C4BD}"/>
    <hyperlink ref="G859" r:id="rId287" display="https://www.finance.gov.tt/wp-content/uploads/2014/02/pubFF5CD4.pdf" xr:uid="{F1B0F540-FFB4-418A-B514-75CB4A7A28F4}"/>
    <hyperlink ref="G860" r:id="rId288" display="https://www.finance.gov.tt/wp-content/uploads/2014/02/pubA7E350.pdf" xr:uid="{E04F2002-8B67-4F7F-B97F-6A69C430B1F9}"/>
    <hyperlink ref="G863" r:id="rId289" display="https://www.finance.gov.tt/wp-content/uploads/2014/02/HSF_2012.pdf" xr:uid="{0822E20B-4EF7-4318-93CB-291C982939C6}"/>
    <hyperlink ref="G861:G862" r:id="rId290" display="https://www.finance.gov.tt/wp-content/uploads/2014/02/HSF_2012.pdf" xr:uid="{3504C0A1-443F-4E7D-B426-6D65FD2270BA}"/>
    <hyperlink ref="G864" r:id="rId291" display="https://www.finance.gov.tt/wp-content/uploads/2014/06/HSF-2013-Annual-Report.pdf" xr:uid="{5F0556AD-3FDA-4FF8-98D8-4824CA53687E}"/>
    <hyperlink ref="G865" r:id="rId292" display="https://www.finance.gov.tt/wp-content/uploads/2015/07/HSF-2014-Annual-Report.pdf" xr:uid="{18DCA02E-3F8E-4E18-B0B4-6BDB29AC560D}"/>
    <hyperlink ref="G866" r:id="rId293" display="https://www.finance.gov.tt/wp-content/uploads/2017/07/HSF-Annual-Report-2016.pdf" xr:uid="{E1588946-13CB-435F-9D3F-C6B5DC1BBFAC}"/>
    <hyperlink ref="G867" r:id="rId294" display="https://www.finance.gov.tt/wp-content/uploads/2017/07/HSF-Annual-Report-2016.pdf" xr:uid="{245B40CD-CBEF-495B-84B1-21F79E13A9C6}"/>
    <hyperlink ref="G868" r:id="rId295" display="https://www.finance.gov.tt/wp-content/uploads/2019/08/HSF-Annual-Report-2017.pdf" xr:uid="{209F91A4-F377-407B-933E-93CF7D75E991}"/>
    <hyperlink ref="G869" r:id="rId296" display="https://www.finance.gov.tt/wp-content/uploads/2019/08/HSF-Annual-Report-2018.pdf" xr:uid="{58834B81-16DF-44D1-B7C0-35DFD6517D98}"/>
    <hyperlink ref="G870" r:id="rId297" display="https://www.finance.gov.tt/wp-content/uploads/2020/07/HSF-Annual-Report-2019-1.pdf" xr:uid="{99DE8B1C-C7E6-405D-8118-A8E425601D51}"/>
    <hyperlink ref="G871" r:id="rId298" display="https://www.finance.gov.tt/wp-content/uploads/2021/05/HSF-Annual-Report-2020.pdf" xr:uid="{E2196007-1032-46BB-8634-FFBA2C378336}"/>
    <hyperlink ref="G872" r:id="rId299" display="https://www.finance.gov.tt/wp-content/uploads/2022/04/HSF-AR-2021-web-1.pdf" xr:uid="{FE56C759-AA92-40F7-B1CE-76385038A0BB}"/>
    <hyperlink ref="G873" r:id="rId300" display="https://www.finance.gov.tt/wp-content/uploads/2023/06/HSF-AR-2022.pdf" xr:uid="{CC45BFE7-2EE8-4707-A86C-CC463213136C}"/>
    <hyperlink ref="G874" r:id="rId301" display="https://www.finance.gov.tt/wp-content/uploads/2024/08/WEB-%E2%80%A2-HSF-AR-2023.pdf" xr:uid="{F3DBFDB4-0C23-49FB-88A2-11EAEFD5698E}"/>
    <hyperlink ref="G875" r:id="rId302" display="https://www.finance.gov.tt/wp-content/uploads/2025/07/Heritage-and-Stabilisation-Fund-2024-Annual-Report-and-Audited-Financial-statements.pdf" xr:uid="{DD3F11B1-0D5D-4A67-8B56-42E8D7655794}"/>
    <hyperlink ref="F858" r:id="rId303" display="https://www.finance.gov.tt/publications/heritage-and-stabilisation-fund/" xr:uid="{B81BEFD0-3526-43A6-8542-E771FD95F72E}"/>
    <hyperlink ref="F859:F875" r:id="rId304" display="https://www.finance.gov.tt/publications/heritage-and-stabilisation-fund/" xr:uid="{D8127175-8567-4A4D-A075-E413F9A11AA9}"/>
    <hyperlink ref="G877" r:id="rId305" display="https://www.tvf.com.tr/uploads/file/2018-twf-consolidated-financial-statements-31-december-2018.pdf" xr:uid="{A058267D-6275-40E5-A490-AEE92324E920}"/>
    <hyperlink ref="G876" r:id="rId306" display="https://www.tvf.com.tr/uploads/file/2018-twf-consolidated-financial-statements-31-december-2018.pdf" xr:uid="{EB4FF346-05B5-4198-839F-7BF812D450DE}"/>
    <hyperlink ref="G879" r:id="rId307" display="https://www.tvf.com.tr/uploads/file/twf-consolidated-financial-statement-31-december-2020.pdf" xr:uid="{DCA5C710-0358-4EF9-9DA2-DEC077F66935}"/>
    <hyperlink ref="G878" r:id="rId308" display="https://www.tvf.com.tr/uploads/file/twf-consolidated-financial-statement-31-december-2020.pdf" xr:uid="{A4601D58-7A3E-452A-AC77-E64FB22C0D12}"/>
    <hyperlink ref="G883" r:id="rId309" display="https://www.tvf.com.tr/uploads/file/twf-consolidated-financial-statement-31-december-2024.pdf" xr:uid="{ADE6E094-6B0B-4ACB-B2D2-B4FD507AD92A}"/>
    <hyperlink ref="G882" r:id="rId310" display="https://www.tvf.com.tr/uploads/file/twf-consolidated-financial-statement-31-december-2023.pdf" xr:uid="{2E4FCDA5-A8CB-4483-A58B-6D9A9D4A1854}"/>
    <hyperlink ref="G881" r:id="rId311" display="https://www.tvf.com.tr/uploads/file/twf-consolidated-financial-statement-31-december-2023.pdf" xr:uid="{160E33D8-978D-4E7A-ADD2-33AD2251EE51}"/>
    <hyperlink ref="G880" r:id="rId312" display="https://www.tvf.com.tr/uploads/file/turkiye-varlik-fonu-ve-bagli-oliklari-31122022-eng-final.pdf" xr:uid="{97FFD998-D8F2-472F-904D-0EBCA8B4EC53}"/>
    <hyperlink ref="F876" r:id="rId313" display="https://www.tvf.com.tr/en/who-we-are/about-us/general-info" xr:uid="{8D2F9F82-52A7-41C5-B937-22A2A61301D8}"/>
    <hyperlink ref="F877:F883" r:id="rId314" display="https://www.tvf.com.tr/en/who-we-are/about-us/general-info" xr:uid="{302D6AE5-5A88-4C5C-A0F5-852B0688E127}"/>
    <hyperlink ref="G491" r:id="rId315" xr:uid="{FB07EF82-714C-4339-A75A-D9E16846D08F}"/>
    <hyperlink ref="F321" r:id="rId316" xr:uid="{2F2806FC-4CFF-4A1D-B703-7FA5E86DBFC0}"/>
    <hyperlink ref="F25" r:id="rId317" xr:uid="{969D7177-0AC3-4560-AD9F-01DF89F58794}"/>
    <hyperlink ref="G885" r:id="rId318" display="https://www.mubadala.com/en/investors/overview?utm_source=chatgpt.com" xr:uid="{466D8D95-D641-4E43-95D7-9F6BC379EBAF}"/>
    <hyperlink ref="G886:G901" r:id="rId319" display="https://www.mubadala.com/en/investors/overview?utm_source=chatgpt.com" xr:uid="{8248171C-7EE0-427E-B1AE-F0B74AEBBA77}"/>
    <hyperlink ref="G675" r:id="rId320" xr:uid="{06BA0E19-F986-46BB-8084-8FDCFF589001}"/>
    <hyperlink ref="G288" r:id="rId321" xr:uid="{1D3F1358-6816-4BD9-9992-6E04E561C034}"/>
    <hyperlink ref="F616" r:id="rId322" display="https://www.nbim.no/en/news-and-insights/reports/" xr:uid="{39F3314A-D361-498A-BF61-44AB8C9CD9CE}"/>
    <hyperlink ref="F617:F643" r:id="rId323" display="https://www.nbim.no/en/news-and-insights/reports/" xr:uid="{6065740C-224C-45EC-957F-403DA1FADE58}"/>
    <hyperlink ref="G701" r:id="rId324" display="https://www.mef.gob.pe/contenidos/tesoro_pub/fef/FEF2007.pdf" xr:uid="{7C6DE4E7-B897-495E-9057-AB993CE7A628}"/>
    <hyperlink ref="G700" r:id="rId325" display="https://www.mef.gob.pe/contenidos/tesoro_pub/fef/FEF2007.pdf" xr:uid="{33DC2AF2-F509-4726-B710-5B1EB6232D2A}"/>
    <hyperlink ref="G718" r:id="rId326" xr:uid="{835B950C-8C5F-4ADB-8F76-31B92D6800FB}"/>
    <hyperlink ref="G716" r:id="rId327" xr:uid="{841C4AC1-FEA8-495A-92B0-E7DD0432B9D1}"/>
    <hyperlink ref="G710" r:id="rId328" xr:uid="{389FE244-AA4E-4469-87DC-6F0C8B65DA01}"/>
    <hyperlink ref="G708" r:id="rId329" display="https://www.mef.gob.pe/contenidos/tesoro_pub/fef/FEF2014.pdf" xr:uid="{98775F79-2185-41F9-8D82-4676C8B85F94}"/>
    <hyperlink ref="G707" r:id="rId330" display="https://www.mef.gob.pe/contenidos/tesoro_pub/fef/FEF2013.pdf" xr:uid="{20785C60-7797-4581-9D69-C62D5DAE35DF}"/>
    <hyperlink ref="G706" r:id="rId331" display="https://www.mef.gob.pe/contenidos/tesoro_pub/fef/FEF2012.pdf" xr:uid="{85B9E992-B5E6-4E58-9292-FADE80F5615C}"/>
    <hyperlink ref="G705" r:id="rId332" display="https://www.mef.gob.pe/contenidos/tesoro_pub/fef/FEF2011.pdf" xr:uid="{E2E62311-A099-4CE8-A8DB-30EC1C01540B}"/>
    <hyperlink ref="G704" r:id="rId333" display="https://www.mef.gob.pe/contenidos/tesoro_pub/fef/FEF2010.pdf" xr:uid="{A26F28DB-0068-44B5-B723-A3FD56F6FF58}"/>
    <hyperlink ref="G703" r:id="rId334" display="https://www.mef.gob.pe/contenidos/tesoro_pub/fef/FEF2009.pdf" xr:uid="{4F5F5015-085C-4140-BE7D-9EE5F35A57DE}"/>
    <hyperlink ref="G702" r:id="rId335" display="https://www.mef.gob.pe/contenidos/tesoro_pub/fef/FEF2008.pdf" xr:uid="{45575442-9695-44B2-A14F-263972D6A8D0}"/>
    <hyperlink ref="G717" r:id="rId336" xr:uid="{3C3419BE-E1B0-49C9-962F-1E021A754427}"/>
    <hyperlink ref="F700:F711" r:id="rId337" display="https://www.mef.gob.pe/es/?utm_source=chatgpt.com&amp;option=com_content&amp;language=es-ES&amp;Itemid=100303&amp;lang=es-ES&amp;view=article&amp;id=1067" xr:uid="{B8D12A03-83A3-40F6-B508-6222C16DF43A}"/>
    <hyperlink ref="F712:F718" r:id="rId338" display="https://www.mef.gob.pe/es/?utm_source=chatgpt.com&amp;option=com_content&amp;language=es-ES&amp;Itemid=100303&amp;lang=es-ES&amp;view=article&amp;id=1067" xr:uid="{8899D31A-5EB7-4611-A8A5-884A2A7B4A93}"/>
    <hyperlink ref="F214:F231" r:id="rId339" display="https://www.bpifrance.fr/investor-relations" xr:uid="{83F1903F-C711-419A-8C81-7937EA9D7914}"/>
    <hyperlink ref="F351" r:id="rId340" display="https://www.cif.gov.il/en/publications/" xr:uid="{E70770E1-3EA8-43EB-8998-1442EF2D62E7}"/>
    <hyperlink ref="F352:F353" r:id="rId341" display="https://www.cif.gov.il/en/publications/" xr:uid="{DCD5B2F5-78BE-46B1-9567-E36451D167D6}"/>
    <hyperlink ref="G353" r:id="rId342" display="https://www.cif.gov.il/media/trbbkvab/annual-report-2024-cif-en.pdf" xr:uid="{ECE5A3B6-7E86-443B-85BD-EC2AA1D10577}"/>
    <hyperlink ref="G351" r:id="rId343" display="https://www.cif.gov.il/media/zm3hyvk2/annual-report-2022-israel-citizens-foundation.pdf" xr:uid="{E6DD643F-C628-4064-8903-19EE95C7CB08}"/>
    <hyperlink ref="G352" r:id="rId344" display="https://www.cif.gov.il/media/j24nqbne/annual-report-2023-israel-citizens-foundation.pdf" xr:uid="{98C60B9A-7DD7-4F3C-B04A-0D11CDC36953}"/>
    <hyperlink ref="F414:F423" r:id="rId345" display="https://sk.kz/investors/financial-performance/fin-report.php?lang=en&amp;utm_source=chatgpt.com" xr:uid="{F8AF3B36-F7DC-4524-B5A7-BE25682F3D91}"/>
    <hyperlink ref="F409:F413" r:id="rId346" display="https://sk.kz/investors/financial-performance/fin-report.php?lang=en&amp;utm_source=chatgpt.com" xr:uid="{ECAFCE87-78C8-4845-982E-A19BC1B1678D}"/>
    <hyperlink ref="F420" r:id="rId347" display="https://sk.kz/investors/financial-performance/fin-report.php?lang=en&amp;utm_source=chatgpt.com" xr:uid="{661253F9-D664-4FFC-AA72-D674F5873C0C}"/>
    <hyperlink ref="F415:F419" r:id="rId348" display="https://sk.kz/investors/financial-performance/fin-report.php?lang=en&amp;utm_source=chatgpt.com" xr:uid="{700CC073-559B-4E94-A177-4479D0FB529D}"/>
    <hyperlink ref="F421:F425" r:id="rId349" display="https://sk.kz/investors/financial-performance/fin-report.php?lang=en&amp;utm_source=chatgpt.com" xr:uid="{3431C284-6460-4D11-8252-265D69C7AE60}"/>
    <hyperlink ref="G425" r:id="rId350" display="https://sk.kz/our2024/en/fund-in-numbers.html" xr:uid="{E4696B20-A360-48AC-A8A6-3E78AE158098}"/>
    <hyperlink ref="G424" r:id="rId351" display="https://sk.kz/upload/iblock/001/Consolidated financial statements for the year ended December 31, 2024.pdf" xr:uid="{33FAD4C0-FAE7-48C9-B549-D6F8A2AE2F51}"/>
    <hyperlink ref="G423" r:id="rId352" display="https://sk.kz/upload/iblock/001/consolidated-financial-statements-year-12-2023-236-en.pdf" xr:uid="{44467F9F-C2E1-47CF-A402-27D81DAFAD9A}"/>
    <hyperlink ref="G422" r:id="rId353" display="https://sk.kz/upload/iblock/r99/ng9m455ec14tsq5zzjtm3hi32p3o2hpi.pdf" xr:uid="{917F89EB-03A2-4D56-B8C8-E49278078D32}"/>
    <hyperlink ref="G421" r:id="rId354" display="https://sk.kz/upload/iblock/bc1/bc1e0e9690d55fa5426f823a0c1796db.pdf" xr:uid="{30C70AA5-91A9-41AA-BBB0-74E5BBA59D7A}"/>
    <hyperlink ref="G420" r:id="rId355" display="https://sk.kz/upload/iblock/bc1/bc1e0e9690d55fa5426f823a0c1796db.pdf" xr:uid="{D2995137-E9CB-4CF3-96EE-19DF7CD415B4}"/>
    <hyperlink ref="G409" r:id="rId356" display="https://sk.kz/upload/iblock/1b7/1b70f736693643272f6504d19bbd90b9.pdf" xr:uid="{9D688427-5F42-410C-8A27-2ABE529EA272}"/>
    <hyperlink ref="G419" r:id="rId357" display="https://sk.kz/upload/iblock/ede/edeb42c6cc1774a74e8420e572cf9dee.pdf" xr:uid="{21B4D444-408D-4963-8F13-A3D6379CE809}"/>
    <hyperlink ref="G418" r:id="rId358" display="https://sk.kz/upload/iblock/429/429419df3c5197242b9c33f0dcdc6fb6.pdf" xr:uid="{3AA87301-556E-4B3C-ACDA-2EE84A1A02B4}"/>
    <hyperlink ref="G416" r:id="rId359" display="https://sk.kz/upload/iblock/f30/f30e9ede37e17443377d7701423c3f81.pdf" xr:uid="{CA63EFAF-069F-4665-8E54-6CAA3650075A}"/>
    <hyperlink ref="G417" r:id="rId360" display="https://sk.kz/upload/iblock/cd7/cd7bfe4cf20164232254b34d961db501.PDF" xr:uid="{920AF286-0344-4FDF-B954-29EDC598407D}"/>
    <hyperlink ref="G415" r:id="rId361" display="https://sk.kz/upload/iblock/52a/52a92748730d811a6f9f81d8be75f750.pdf" xr:uid="{532A8399-1E0F-4C86-9498-C908173E7F14}"/>
    <hyperlink ref="G414" r:id="rId362" display="https://sk.kz/upload/iblock/52a/52a92748730d811a6f9f81d8be75f750.pdf" xr:uid="{6E6792F3-5A38-4CAD-A3F7-90926C598888}"/>
    <hyperlink ref="G413" r:id="rId363" display="https://sk.kz/upload/iblock/419/419897d50e217eb2035eab6b63f6eb55.pdf" xr:uid="{A7FE9705-0D57-40AC-B2CB-0FE84E6C98FC}"/>
    <hyperlink ref="G412" r:id="rId364" display="https://sk.kz/upload/iblock/533/533f714fef18b18ea8fd56736d682f5b.pdf" xr:uid="{3A13176C-40CD-40B3-91CA-AB33DA887BF6}"/>
    <hyperlink ref="G411" r:id="rId365" display="https://sk.kz/upload/iblock/533/533f714fef18b18ea8fd56736d682f5b.pdf" xr:uid="{CEEC2366-0D06-4ABE-9F76-367BC0216AD0}"/>
    <hyperlink ref="G410" r:id="rId366" display="https://sk.kz/upload/iblock/48b/48b6b9e82377a09d1926e6874a2dbcd1.pdf" xr:uid="{6AA0EE52-A920-471A-852D-C5409272B303}"/>
    <hyperlink ref="G511" r:id="rId367" display="https://www.khazanah.com.my/media/uploads/2020/05/2013.pdf" xr:uid="{D3274B9B-52AB-4104-923E-702BE2F9D382}"/>
    <hyperlink ref="G502" r:id="rId368" display="https://www.khazanah.com.my/media/uploads/2020/05/2014.pdf" xr:uid="{E74459D5-0B58-4445-9CD7-F4C22BF4513A}"/>
    <hyperlink ref="G503:G510" r:id="rId369" display="https://www.khazanah.com.my/media/uploads/2020/05/2014.pdf" xr:uid="{B780DCCD-EB48-4C69-B1A7-D589803341D3}"/>
    <hyperlink ref="G512" r:id="rId370" display="https://www.khazanah.com.my/media/uploads/2020/05/2014.pdf" xr:uid="{7BF951EF-29E1-4E76-85F8-EC72AB8B7199}"/>
    <hyperlink ref="G521" r:id="rId371" display="https://www.khazanah.com.my/downloads/TKR2024_ENG.pdf" xr:uid="{5864DDF9-07E4-4D33-B3ED-57ACCF5B7D1A}"/>
    <hyperlink ref="G516" r:id="rId372" display="https://www.khazanah.com.my/media/uploads/2020/05/2018.pdf" xr:uid="{0A8C10C9-92C2-459C-9D2C-99BC69FC0B28}"/>
    <hyperlink ref="G515" r:id="rId373" display="https://www.khazanah.com.my/media/uploads/2020/05/2018.pdf" xr:uid="{FE16D33F-0A7C-4234-89F8-09EC398FFE19}"/>
    <hyperlink ref="G514" r:id="rId374" display="https://www.khazanah.com.my/media/uploads/2020/05/2016.pdf" xr:uid="{76BF20C0-B9F5-449D-9757-67496B4A0794}"/>
    <hyperlink ref="G513" r:id="rId375" display="https://www.khazanah.com.my/media/uploads/2020/05/2015.pdf" xr:uid="{EF38B796-A43F-4E5C-AFB9-8246773FD879}"/>
    <hyperlink ref="G517" r:id="rId376" display="https://www.khazanah.com.my/media/uploads/2020/07/TKR2019_ENG.pdf" xr:uid="{1727AD78-53B8-482A-BDB0-D4F520B81427}"/>
    <hyperlink ref="G519" r:id="rId377" display="https://www.khazanah.com.my/media/uploads/2022/07/TKR2021_ENG.pdf" xr:uid="{BC342C8F-7FC6-452D-99A5-C77F81E40394}"/>
    <hyperlink ref="G518" r:id="rId378" display="https://www.khazanah.com.my/media/uploads/2022/07/TKR2021_ENG.pdf" xr:uid="{8B158D39-2A00-4B6A-B90B-AAF5487C3836}"/>
    <hyperlink ref="G520" r:id="rId379" display="https://www.khazanah.com.my/media/uploads/2023/07/TKR2022_ENG.pdf" xr:uid="{71B6ADDF-455D-42EE-A4CB-F9733E50ED93}"/>
    <hyperlink ref="F743" r:id="rId380" display="https://www.pif.gov.sa/en/investors/annual-reports/" xr:uid="{EAF6F536-366C-4B0E-9ABF-4302B620AAE0}"/>
    <hyperlink ref="F744:F749" r:id="rId381" display="https://www.pif.gov.sa/en/investors/annual-reports/" xr:uid="{8415EE0B-5785-4F2E-B721-3108E51D3BA8}"/>
    <hyperlink ref="G743" r:id="rId382" xr:uid="{8953D50A-1447-492E-B00A-6618F71AC555}"/>
    <hyperlink ref="G744" r:id="rId383" xr:uid="{359169DF-CDD6-43AA-88A7-F32125FE48BD}"/>
    <hyperlink ref="G904" r:id="rId384" display="https://icd.gov.ae/wp-content/uploads/2020/02/ICD-Consol-Dec-2013.pdf" xr:uid="{D06A8829-88DC-416F-9AB9-F08A6ED84210}"/>
    <hyperlink ref="G902:G903" r:id="rId385" display="https://icd.gov.ae/wp-content/uploads/2020/02/ICD-Consol-Dec-2013.pdf" xr:uid="{CFE73426-E024-4F44-ACBD-6A2192760CEC}"/>
    <hyperlink ref="G915" r:id="rId386" display="https://icd.gov.ae/wp-content/uploads/2025/05/ICD_Consolidated_FS_YE_2024_Signed.pdf" xr:uid="{816695AC-563F-4619-BCC9-F3467D114ECF}"/>
    <hyperlink ref="G914" r:id="rId387" display="https://icd.gov.ae/wp-content/uploads/2024/05/ICD_Consolidated_FS_YE_2023_Signed.pdf" xr:uid="{324AC5C1-3F29-4EDB-B533-933E9856530D}"/>
    <hyperlink ref="G913" r:id="rId388" display="https://icd.gov.ae/wp-content/uploads/2023/05/ICD_Consolidated_FS_YE_2022_Signed.pdf" xr:uid="{7B866351-0AB0-4207-8120-9B1309EFA668}"/>
    <hyperlink ref="G912" r:id="rId389" display="https://icd.gov.ae/wp-content/uploads/2022/05/ICD_Consolidated_FS_YE_2021_Signed.pdf" xr:uid="{5C43904E-8A89-4DDE-BE14-8CF409D07398}"/>
    <hyperlink ref="G911" r:id="rId390" display="https://icd.gov.ae/wp-content/uploads/2021/06/ICD_Consolidated_FS_YE_2020_Signed.pdf" xr:uid="{AFA97ADB-557E-47A2-82BC-FDEA96D2331C}"/>
    <hyperlink ref="G910" r:id="rId391" display="https://icd.gov.ae/wp-content/uploads/2020/09/ICD-Audited-Consolidated-FS-Dec-2019.pdf" xr:uid="{3764E69B-D1EA-4C69-B364-AFB2654BDFFD}"/>
    <hyperlink ref="G909" r:id="rId392" display="https://icd.gov.ae/wp-content/uploads/2020/09/ICD-Audited-Consolidated-FS-Dec-2019.pdf" xr:uid="{6688D81C-B0DF-4F01-AC1D-34BB27D141C5}"/>
    <hyperlink ref="G908" r:id="rId393" display="https://icd.gov.ae/wp-content/uploads/2020/02/ICD-Audited-Consolidated-FS-Dec-2017.pdf" xr:uid="{4F5B3084-42A2-4179-A3AC-BE5653BED509}"/>
    <hyperlink ref="G907" r:id="rId394" display="https://icd.gov.ae/wp-content/uploads/2020/02/ICD-Audited-Consolidated-FS-Dec-2016.pdf" xr:uid="{0955B6AA-BEC7-47E3-89DF-BEFDCA62DC3C}"/>
    <hyperlink ref="G906" r:id="rId395" display="https://icd.gov.ae/wp-content/uploads/2020/02/ICD-Audited-Consolidated-FS-Dec-2015.pdf" xr:uid="{DB4BCA63-6382-4D36-B6AC-F06E7F72A9DD}"/>
    <hyperlink ref="G905" r:id="rId396" display="https://icd.gov.ae/wp-content/uploads/2020/02/ICD-Audited-Consolidated-FS-Dec-2014.pdf" xr:uid="{B6578E9D-4600-4A77-9748-97DDD7F5E385}"/>
    <hyperlink ref="F884" r:id="rId397" xr:uid="{F17D542E-3657-4290-9ED0-D64D1F4A673E}"/>
    <hyperlink ref="G750" r:id="rId398" display="https://tr23.temasekreview.com.sg/group-financials/group-balance-sheets.html" xr:uid="{10E9FB20-A5C6-4D95-AA90-3FF3EDF34E94}"/>
    <hyperlink ref="G751:G771" r:id="rId399" display="https://tr23.temasekreview.com.sg/group-financials/group-balance-sheets.html" xr:uid="{62DE7195-77E1-44D3-BB66-7DDC545FFFCD}"/>
    <hyperlink ref="G772" r:id="rId400" location="performance-overview" display="https://tr24.temasekreview.com.sg/performance-and-portfolio.html - performance-overview" xr:uid="{756C4565-881C-4A75-8F61-D5F06E1EA50A}"/>
    <hyperlink ref="F750" r:id="rId401" display="https://www.temasek.com.sg/en/our-financials/library/temasek-review" xr:uid="{0040229F-ACE8-4424-A3E0-9A93ED1470D2}"/>
    <hyperlink ref="F751:F772" r:id="rId402" display="https://www.temasek.com.sg/en/our-financials/library/temasek-review" xr:uid="{F302681E-F669-471D-8635-F562CF290467}"/>
    <hyperlink ref="F199:F203" r:id="rId403" display="https://www.minhacienda.gov.co/fondo-de-ahorro-y-estabilizaci%C3%B3n-fae" xr:uid="{526C5C62-8F25-49FA-A558-076CEA3FAC2D}"/>
    <hyperlink ref="F198" r:id="rId404" display="https://www.minhacienda.gov.co/fondo-de-ahorro-y-estabilizaci%C3%B3n-fae" xr:uid="{4888FFF6-5FD9-4500-86AC-C4B4922361A8}"/>
    <hyperlink ref="G203" r:id="rId405" display="https://www.minhacienda.gov.co/informe-mensual-y-trimestral-2024/-/document_library/bipi/view_file/2226380?_com_liferay_document_library_web_portlet_DLPortlet_INSTANCE_bipi_redirect=https%3A%2F%2Fwww.minhacienda.gov.co%3A443%2Finforme-mensual-y-trimestral-2024%3Fp_p_id%3Dcom_liferay_document_library_web_portlet_DLPortlet_INSTANCE_bipi%26p_p_lifecycle%3D0%26p_p_state%3Dnormal%26p_p_mode%3Dview&amp;_com_liferay_document_library_web_portlet_DLPortlet_INSTANCE_bipi_fileEntryId=2226380" xr:uid="{EFFA7D14-E765-4C81-9B8B-C0F088D0DF01}"/>
    <hyperlink ref="G202" r:id="rId406" display="https://www.minhacienda.gov.co/informe-mensual-y-trimestral-2023/-/document_library/bipi/view_file/1297749?_com_liferay_document_library_web_portlet_DLPortlet_INSTANCE_bipi_redirect=https%3A%2F%2Fwww.minhacienda.gov.co%3A443%2Finforme-mensual-y-trimestral-2023%3Fp_p_id%3Dcom_liferay_document_library_web_portlet_DLPortlet_INSTANCE_bipi%26p_p_lifecycle%3D0%26p_p_state%3Dnormal%26p_p_mode%3Dview&amp;_com_liferay_document_library_web_portlet_DLPortlet_INSTANCE_bipi_fileEntryId=1297749" xr:uid="{30EF3256-B0CB-4DDA-992F-3FB53F81A27C}"/>
    <hyperlink ref="G201" r:id="rId407" display="https://www.minhacienda.gov.co/informe-mensual-y-trimestral-2022/-/document_library/bipi/view_file/1297525?_com_liferay_document_library_web_portlet_DLPortlet_INSTANCE_bipi_redirect=https%3A%2F%2Fwww.minhacienda.gov.co%3A443%2Finforme-mensual-y-trimestral-2022%3Fp_p_id%3Dcom_liferay_document_library_web_portlet_DLPortlet_INSTANCE_bipi%26p_p_lifecycle%3D0%26p_p_state%3Dnormal%26p_p_mode%3Dview&amp;_com_liferay_document_library_web_portlet_DLPortlet_INSTANCE_bipi_fileEntryId=1297525" xr:uid="{8E371421-40C8-4B14-BFBE-56BA89A19295}"/>
    <hyperlink ref="G200" r:id="rId408" display="https://www.minhacienda.gov.co/informe-mensual-y-trimestral-2021/-/document_library/bipi/view_file/1297306?_com_liferay_document_library_web_portlet_DLPortlet_INSTANCE_bipi_redirect=https%3A%2F%2Fwww.minhacienda.gov.co%3A443%2Finforme-mensual-y-trimestral-2021%3Fp_p_id%3Dcom_liferay_document_library_web_portlet_DLPortlet_INSTANCE_bipi%26p_p_lifecycle%3D0%26p_p_state%3Dnormal%26p_p_mode%3Dview&amp;_com_liferay_document_library_web_portlet_DLPortlet_INSTANCE_bipi_fileEntryId=1297306" xr:uid="{709CDDBC-515B-484A-92E4-3778E3C76D9C}"/>
    <hyperlink ref="G199" r:id="rId409" display="https://www.minhacienda.gov.co/informe-mensual-y-trimestral-2020/-/document_library/bipi/view_file/1297147?_com_liferay_document_library_web_portlet_DLPortlet_INSTANCE_bipi_redirect=https%3A%2F%2Fwww.minhacienda.gov.co%3A443%2Finforme-mensual-y-trimestral-2020%3Fp_p_id%3Dcom_liferay_document_library_web_portlet_DLPortlet_INSTANCE_bipi%26p_p_lifecycle%3D0%26p_p_state%3Dnormal%26p_p_mode%3Dview&amp;_com_liferay_document_library_web_portlet_DLPortlet_INSTANCE_bipi_fileEntryId=1297147" xr:uid="{50E46F77-01A7-4E02-B305-10AC192D3F5E}"/>
    <hyperlink ref="F726" r:id="rId410" display="https://minfin.gov.ru/ru/document/?q_4=&amp;LIBRARY_ACTIVITY_SPHERE_4%5B%5D=5&amp;TYPE_ID_4%5B%5D=9&amp;P_DATE_from_4=&amp;P_DATE_to_4=&amp;M_DATE_from_4=&amp;M_DATE_to_4=&amp;t_4=-7284003952205215286&amp;order_4=&amp;dir_4=desc&amp;by_doc_number_4=0&amp;INF_BLOCK_ID_4=0" xr:uid="{81EE856F-3F05-4BB3-A2FF-CD9EB32DA560}"/>
    <hyperlink ref="F727:F742" r:id="rId411" display="https://minfin.gov.ru/ru/document/?q_4=&amp;LIBRARY_ACTIVITY_SPHERE_4%5B%5D=5&amp;TYPE_ID_4%5B%5D=9&amp;P_DATE_from_4=&amp;P_DATE_to_4=&amp;M_DATE_from_4=&amp;M_DATE_to_4=&amp;t_4=-7284003952205215286&amp;order_4=&amp;dir_4=desc&amp;by_doc_number_4=0&amp;INF_BLOCK_ID_4=0" xr:uid="{59575FC5-C9AF-4E48-992A-EB5F042A50F5}"/>
    <hyperlink ref="G726" r:id="rId412" display="https://minfin.gov.ru/ru/document?id_4=93488-dannye_o_dvizhenii_sredstv_i_rezultatakh_upravleniya_sredstvami_fonda_natsionalnogo_blagosostoyaniya" xr:uid="{CDBF39FC-A048-479B-95AF-1980830F10D6}"/>
    <hyperlink ref="G727:G742" r:id="rId413" display="https://minfin.gov.ru/ru/document?id_4=93488-dannye_o_dvizhenii_sredstv_i_rezultatakh_upravleniya_sredstvami_fonda_natsionalnogo_blagosostoyaniya" xr:uid="{52D87399-ED25-445C-8C22-9B15944F30B8}"/>
    <hyperlink ref="G781" r:id="rId414" display="https://www.sepi.es/sites/default/files/2017-11/informeanualsepi2012.pdf" xr:uid="{7B40F270-0C8B-4E69-9FA8-FBA957B4BA82}"/>
    <hyperlink ref="G782" r:id="rId415" display="https://www.sepi.es/sites/default/files/2017-11/informeanualsepi2012.pdf" xr:uid="{46B1D6DC-B43E-469E-B04D-18DA19B3193A}"/>
    <hyperlink ref="G780" r:id="rId416" display="https://www.sepi.es/sites/default/files/2017-11/informe_anual_2011.pdf" xr:uid="{BA6CC761-8CDD-49F9-A44C-A9DED09C008C}"/>
    <hyperlink ref="G779" r:id="rId417" display="https://www.sepi.es/sites/default/files/2017-11/informeanual2009.pdf" xr:uid="{B1D94ECD-4A02-4F7E-8959-26594DF9F0A9}"/>
    <hyperlink ref="G778" r:id="rId418" display="https://www.sepi.es/sites/default/files/2017-11/informeanual08.pdf" xr:uid="{64BED63D-813A-4A3C-BEBB-A15D4F9EE9DB}"/>
    <hyperlink ref="G777" r:id="rId419" display="https://www.sepi.es/sites/default/files/2017-11/informe2007web.pdf" xr:uid="{930AC1AA-6A8F-409B-A494-F8A7A6DE2F1E}"/>
    <hyperlink ref="G776" r:id="rId420" display="https://www.sepi.es/sites/default/files/2017-11/infanualsepi2006.pdf" xr:uid="{879E8DD2-FB5F-45E4-8419-ECB461767F4B}"/>
    <hyperlink ref="G775" r:id="rId421" display="https://www.sepi.es/sites/default/files/2017-11/informeanualsepi2005.pdf" xr:uid="{4D3FD1C9-9CB3-49B3-A48B-33365C5D148E}"/>
    <hyperlink ref="G774" r:id="rId422" display="https://www.sepi.es/sites/default/files/2017-11/memoria_sepi_2005.pdf" xr:uid="{3C29F8AB-6701-4FDF-B062-46DCAD6816F2}"/>
    <hyperlink ref="G773" r:id="rId423" display="https://www.sepi.es/sites/default/files/2017-11/memoria_sepi_2005.pdf" xr:uid="{EBF44A5B-1D60-447F-8E97-3544EC7A2D89}"/>
    <hyperlink ref="F794" r:id="rId424" display="https://www.pap.hacienda.gob.es/Recuenta/Views/Buscador.aspx" xr:uid="{7B0B8281-8A80-4B25-8C12-5AF335FABBA2}"/>
    <hyperlink ref="F773" r:id="rId425" display="https://www.sepi.es/es/sala-de-prensa/ultimos-informes/buscador-informes?tid=24" xr:uid="{978D823E-BBF2-4E9F-8C1A-04C47FCB8D7B}"/>
    <hyperlink ref="F774:F782" r:id="rId426" display="https://www.sepi.es/es/sala-de-prensa/ultimos-informes/buscador-informes?tid=24" xr:uid="{6B5909DF-4DE3-4BC3-B0F5-D4C7ECA6AA1A}"/>
    <hyperlink ref="F783:F793" r:id="rId427" display="https://www.pap.hacienda.gob.es/Recuenta/Views/Buscador.aspx" xr:uid="{6757F392-9C12-4DA9-9D23-83387D6E3FE7}"/>
    <hyperlink ref="G921" r:id="rId428" display="https://ufrd.uz/f/2022-jil-uchun-moliyavij-hisobot_eng.pdf" xr:uid="{CA57C724-E790-438F-88D8-F75A6FC35F7D}"/>
    <hyperlink ref="G920" r:id="rId429" display="https://en.ufrd.uz/f/2021_yil_uchun_moliyaviy_hisobot_eng.pdf" xr:uid="{1B7D279C-7216-46F1-971E-3E6B1DADFA7A}"/>
    <hyperlink ref="G919" r:id="rId430" display="https://en.ufrd.uz/f/2020_yil_uchun_moliyaviy_hisobot_eng.pdf" xr:uid="{A6D99121-6B0E-4AC0-90E6-EFF3A7B72A98}"/>
    <hyperlink ref="G918" r:id="rId431" display="https://en.ufrd.uz/f/2020_yil_uchun_moliyaviy_hisobot_eng.pdf" xr:uid="{2CF81F3C-E2A6-4777-94A0-71F67BE292F5}"/>
    <hyperlink ref="G917" r:id="rId432" display="https://en.ufrd.uz/f/2018-yil_uchun_buxgalteriya_balansi_va_moliyaviy_natijalar_togrisida_hisobot.pdf" xr:uid="{482080B5-F76A-4FFB-B48D-01884D389635}"/>
    <hyperlink ref="G916" r:id="rId433" display="https://en.ufrd.uz/f/2018-yil_uchun_buxgalteriya_balansi_va_moliyaviy_natijalar_togrisida_hisobot.pdf" xr:uid="{E89DF2B8-A483-4EF7-A2ED-B41048DD2CDE}"/>
    <hyperlink ref="G922" r:id="rId434" display="https://en.ufrd.uz/f/frru_fo_2023_eng_compressed.pdf" xr:uid="{DC959233-224C-4280-9010-F01A5893E947}"/>
    <hyperlink ref="F917:F922" r:id="rId435" display="https://en.ufrd.uz/open-data" xr:uid="{2CF227E9-ACCE-4354-A6F4-F29700C6C3AD}"/>
    <hyperlink ref="F369" r:id="rId436" display="https://www.j-ic.co.jp/jp/notice/report/" xr:uid="{26C0A4E7-4742-434E-9AD6-0AB15A6D3420}"/>
    <hyperlink ref="F370:F374" r:id="rId437" display="https://www.j-ic.co.jp/jp/notice/report/" xr:uid="{5F7728E2-35E3-43AA-A1CE-B12EED181622}"/>
    <hyperlink ref="G369" r:id="rId438" display="https://www.j-ic.co.jp/jp/finance/report/pdf/report200701_02.pdf" xr:uid="{90790BAD-2C3C-4E6A-A0E8-A85B0E0C6806}"/>
    <hyperlink ref="G370" r:id="rId439" display="https://www.j-ic.co.jp/jp/finance/report/pdf/report210701_02.pdf" xr:uid="{514EFF75-5FAB-44C4-8528-B4BF0634A551}"/>
    <hyperlink ref="G371" r:id="rId440" display="https://www.j-ic.co.jp/jp/finance/report/pdf/report220701_02.pdf" xr:uid="{5CB31990-1B0E-48F7-ABFE-C207D904290C}"/>
    <hyperlink ref="G372" r:id="rId441" display="https://www.j-ic.co.jp/jp/finance/report/pdf/report230703_02.pdf" xr:uid="{E7C6A68C-81B1-4D93-BDE7-457C35497524}"/>
    <hyperlink ref="G373" r:id="rId442" display="https://www.j-ic.co.jp/jp/finance/report/pdf/report2406_02.pdf" xr:uid="{789D2B5E-A85A-494C-9F07-A97FD3B9FEBC}"/>
    <hyperlink ref="G374" r:id="rId443" display="https://www.j-ic.co.jp/jp/finance/report/pdf/report2506_02.pdf" xr:uid="{F7D2F8C0-9446-432D-9615-CF43AF9E9BAE}"/>
    <hyperlink ref="G368" r:id="rId444" display="https://www.j-ic.co.jp/jp/finance/report/pdf/report190701_02.pdf" xr:uid="{23761A6A-4086-4A46-BCFB-672EE9EA70E5}"/>
    <hyperlink ref="F368" r:id="rId445" display="https://www.j-ic.co.jp/jp/notice/report/" xr:uid="{69B88838-3FDB-4071-B57B-E505275886DB}"/>
    <hyperlink ref="H213" r:id="rId446" xr:uid="{70411244-9CE1-4FBC-B3E4-75D2B5F9AE0C}"/>
    <hyperlink ref="F250" r:id="rId447" display="https://tesi.fi/en/news/reports/?filters=1&amp;tags=1327&amp;total=21" xr:uid="{78EC972B-31C6-4A9E-89A0-53C2A2B1DAB9}"/>
    <hyperlink ref="F245:F249" r:id="rId448" display="https://tesi.fi/en/news/reports/?filters=1&amp;tags=1327&amp;total=21" xr:uid="{7207ECC7-8613-4CB7-95E8-5931E8B4FC6A}"/>
    <hyperlink ref="G250" r:id="rId449" display="https://tesi.fi/wp-content/uploads/2025/03/Financial-Review_2024_final.pdf" xr:uid="{73788B3C-F7D9-4980-B5C1-BD0CD82DFAF8}"/>
    <hyperlink ref="G246:G249" r:id="rId450" display="https://tesi.fi/wp-content/uploads/2025/03/Financial-Review_2024_final.pdf" xr:uid="{B5AC6309-1EE2-4D46-857E-BD5DF682F8F7}"/>
    <hyperlink ref="G245" r:id="rId451" display="https://tesi.fi/wp-content/uploads/2024/03/Financial-Review_2023_final.pdf" xr:uid="{1809A615-0FFF-4ECA-8F0C-C0EF83E3A119}"/>
    <hyperlink ref="F280" r:id="rId452" display="https://fund.ge/en/for-investors/financial-reporting/" xr:uid="{610418B0-5FAC-4CD4-AF98-689835C44D48}"/>
    <hyperlink ref="F267:F279" r:id="rId453" display="https://fund.ge/en/for-investors/financial-reporting/" xr:uid="{F54F3187-8372-4094-AC37-97A6D3F74A69}"/>
    <hyperlink ref="G280" r:id="rId454" display="https://fund.ge/wp-content/uploads/DFG-Consolidated-FS-2024-ENG.pdf" xr:uid="{5F88AFAF-96AA-434E-A5FB-0475D9110775}"/>
    <hyperlink ref="G279" r:id="rId455" display="https://fund.ge/wp-content/uploads/DFG-Consolidated-FS-2024-ENG.pdf" xr:uid="{EDA92CA2-A92B-472D-9BC1-66AC85559DB0}"/>
    <hyperlink ref="G278" r:id="rId456" display="https://fund.ge/wp-content/uploads/PF-Consolidated-FS-2022-ENG.pdf" xr:uid="{A9C367DF-0283-451E-AA7D-2423DBEF72CD}"/>
    <hyperlink ref="G277" r:id="rId457" display="https://fund.ge/wp-content/uploads/PF-Consolidated-FS-2022-ENG.pdf" xr:uid="{50995006-96B9-411E-8726-5A6203CE854E}"/>
    <hyperlink ref="G276" r:id="rId458" display="https://fund.ge/wp-content/uploads/PF-Consolidated-FS-2021-ENG.pdf" xr:uid="{B7C77C30-A0E4-4A23-A798-64E83A291945}"/>
    <hyperlink ref="G275" r:id="rId459" display="https://fund.ge/wp-content/uploads/PF-Consolidated-FS-2020-ENG.pdf" xr:uid="{8C95136E-7BEE-4744-9207-FCBFF1793A38}"/>
    <hyperlink ref="G274" r:id="rId460" display="https://fund.ge/wp-content/uploads/PF-Consolidated-FS-2018-ENG.pdf" xr:uid="{40FB83CF-282C-4092-BAFB-69C8400A63FC}"/>
    <hyperlink ref="G273" r:id="rId461" display="https://fund.ge/wp-content/uploads/PF-Consolidated-FS-2017-ENG.pdf" xr:uid="{F3059CCB-2672-4F76-B394-C7832AEB1B2B}"/>
    <hyperlink ref="G272" r:id="rId462" display="https://fund.ge/wp-content/uploads/PF-Consolidated-FS-2016-ENG.pdf" xr:uid="{C5710AB7-3BFA-4846-9086-B81606D17C03}"/>
    <hyperlink ref="G271" r:id="rId463" display="https://fund.ge/wp-content/uploads/PF_FS_2015.pdf" xr:uid="{C56CE957-F871-4F2D-B1A9-6CEC35684110}"/>
    <hyperlink ref="G270" r:id="rId464" display="https://fund.ge/wp-content/uploads/PF_FS_2014.pdf" xr:uid="{4D0B6B80-342E-4A2D-A7A6-3E65B36A9676}"/>
    <hyperlink ref="G269" r:id="rId465" display="https://fund.ge/wp-content/uploads/PF_FS_2013.pdf" xr:uid="{C9522496-8846-4B03-B3D6-025408A55D1B}"/>
    <hyperlink ref="G268" r:id="rId466" display="https://fund.ge/wp-content/uploads/PF_FS_2012.pdf" xr:uid="{959BEFC5-34B7-423B-A1EE-76E956E01BA4}"/>
    <hyperlink ref="G267" r:id="rId467" display="https://fund.ge/wp-content/uploads/PF_FS_2012.pdf" xr:uid="{A3999C91-40BF-4C8A-9A5E-A1858D7E70C8}"/>
    <hyperlink ref="F523" r:id="rId468" display="https://mgis.com.mt/annual-reports/" xr:uid="{8DB5451B-AFA0-4DAC-B0D3-166DC5B6CF9E}"/>
    <hyperlink ref="F524:F528" r:id="rId469" display="https://mgis.com.mt/annual-reports/" xr:uid="{AF167FEC-1733-4EF8-A80D-29F15F21D88D}"/>
    <hyperlink ref="G528" r:id="rId470" display="https://mgis.com.mt/wp-content/uploads/2025/10/MGI-Investment-Activity-2023.pdf" xr:uid="{A28F1F05-B072-4ABA-93F7-E28146554823}"/>
    <hyperlink ref="G527" r:id="rId471" display="https://mgis.com.mt/wp-content/uploads/2025/10/22A-MGI-Agency-Signed-Statement-of-Account-AFS-31.12.2022-1.pdf" xr:uid="{94DF3C41-66E6-4654-8858-0891C6639533}"/>
    <hyperlink ref="G526" r:id="rId472" display="https://mgis.com.mt/wp-content/uploads/2025/10/MGI-Agency-Year-2021-Signed-compressed.pdf" xr:uid="{C4D70EE0-E71F-4A14-BD4F-3C76F1ABBCE4}"/>
    <hyperlink ref="G525" r:id="rId473" display="https://mgis.com.mt/wp-content/uploads/2025/10/MGI-Agency-Year2020-Signed-compressed.pdf" xr:uid="{FF2D528E-8124-49F3-8DCA-09BAE57003E3}"/>
    <hyperlink ref="G524" r:id="rId474" display="https://mgis.com.mt/wp-content/uploads/2022/10/MGI-Investment-Activity-2019.pdf" xr:uid="{A04D61C7-0725-4EC5-9DD4-EBAF365E0D5F}"/>
    <hyperlink ref="G523" r:id="rId475" display="https://mgis.com.mt/wp-content/uploads/2022/10/MGI-Investment-Activity-2019.pdf" xr:uid="{3C256348-35E7-4DE3-B496-51B8D7219CFD}"/>
    <hyperlink ref="G568" r:id="rId476" display="https://www.fmped.org.mx/informes/%7BF5053D62-DDFD-1D6F-B977-E116C1AC90C3%7D.pdf" xr:uid="{02864499-AF5D-499A-9762-4DCA1082096E}"/>
    <hyperlink ref="G566" r:id="rId477" display="https://www.fmped.org.mx/informes/%7BEE17B43B-D440-989F-2110-F74E6F72E221%7D.pdf" xr:uid="{12A5C1A4-D794-422A-A2EB-05CB02536ADC}"/>
    <hyperlink ref="G565" r:id="rId478" display="https://www.fmped.org.mx/informes/%7BEE17B43B-D440-989F-2110-F74E6F72E221%7D.pdf" xr:uid="{0F6696C5-D8A3-42B8-AA9D-81B972935D7E}"/>
    <hyperlink ref="G567" r:id="rId479" display="https://www.fmped.org.mx/informes/%7BF5053D62-DDFD-1D6F-B977-E116C1AC90C3%7D.pdf" xr:uid="{23BC65FA-C2A2-419F-B40B-B105A33BA591}"/>
    <hyperlink ref="G564" r:id="rId480" display="https://www.fmped.org.mx/informes/%7BE49279F3-9902-08C1-9D72-7D506A4248CF%7D.pdf" xr:uid="{8A876378-ADF4-466E-BA51-BF8C628842E0}"/>
    <hyperlink ref="G563" r:id="rId481" display="https://www.fmped.org.mx/informes/%7BD6C25C33-88D3-8004-377E-3F2A0D473607%7D.pdf" xr:uid="{4FD1B777-F28B-43D7-9866-3E503412CD2C}"/>
    <hyperlink ref="G562" r:id="rId482" display="https://www.fmped.org.mx/transparencia/%7B6BA8FB0E-26B0-993D-532C-AFCBC875AC9D%7D.pdf" xr:uid="{5B3D0D89-5179-4DBF-A68E-B8489F3CD8D1}"/>
    <hyperlink ref="G561" r:id="rId483" display="https://www.fmped.org.mx/transparencia/%7BFF5EC50F-7250-8FED-EE87-19563671227B%7D.pdf" xr:uid="{1E7C6CDB-3BFC-4912-B337-9F1360B5DFC7}"/>
    <hyperlink ref="G560" r:id="rId484" display="https://www.fmped.org.mx/transparencia/%7B2917A6FA-869E-4A67-E354-91AF0BD45513%7D.pdf" xr:uid="{2340B739-E3BD-4B89-B210-EBDE69C23456}"/>
    <hyperlink ref="G559" r:id="rId485" display="https://www.fmped.org.mx/informes/%7B7DBA511A-28DB-82A0-9C7D-73921B4858F7%7D.pdf" xr:uid="{0B2627B5-8410-4DE0-A8A3-649ED614CD12}"/>
    <hyperlink ref="G558" r:id="rId486" display="https://www.fmped.org.mx/transparencia/%7B2E794633-3CB8-6B2C-EBC3-81DB3E03F899%7D.pdf" xr:uid="{B7A55E39-C129-42BA-B491-CAFB024B71A0}"/>
    <hyperlink ref="F600" r:id="rId487" display="https://www.monacostatistics.mc/Publications/Focus" xr:uid="{7A35B153-233D-45B8-A01D-0B83A63C5DD0}"/>
    <hyperlink ref="F601:F614" r:id="rId488" display="https://www.monacostatistics.mc/Publications/Focus" xr:uid="{7E819654-E757-4A66-8435-6B5564EA6B2B}"/>
    <hyperlink ref="G613" r:id="rId489" xr:uid="{56B48277-11C2-4FA6-9BD6-E7BB355EFE5E}"/>
    <hyperlink ref="G725" r:id="rId490" display="https://pfr.pl/raporty-okresowe-i-biezace" xr:uid="{5B1F3CEA-E81B-4B78-B631-32B685811D4E}"/>
    <hyperlink ref="G720:G724" r:id="rId491" display="https://pfr.pl/raporty-okresowe-i-biezace" xr:uid="{14CCE07E-5273-410D-BE88-1768E9DF8E1B}"/>
    <hyperlink ref="G719" r:id="rId492" display="https://pfr.pl/raporty-okresowe-i-biezace" xr:uid="{652A7A80-9DDC-42D2-9D56-BE575DC6BDBC}"/>
    <hyperlink ref="F725" r:id="rId493" display="https://pfr.pl/raporty-okresowe-i-biezace" xr:uid="{8F6ED074-0018-4C94-9E55-6A06BA2CB5F1}"/>
    <hyperlink ref="F720:F724" r:id="rId494" display="https://pfr.pl/raporty-okresowe-i-biezace" xr:uid="{F47ED148-DF6B-4689-B605-0615014A82F2}"/>
    <hyperlink ref="F719" r:id="rId495" display="https://pfr.pl/raporty-okresowe-i-biezace" xr:uid="{1A1254BB-25D6-4A8E-8498-B4936CB7133E}"/>
    <hyperlink ref="G522" r:id="rId496" display="https://www.khazanah.com.my/downloads/TKR2024_ENG.pdf" xr:uid="{AEDBF063-F416-412F-A6A1-F21C9CCF5C16}"/>
    <hyperlink ref="F66" r:id="rId497" xr:uid="{22A5E2AC-95CE-4BC8-B204-F925D1031137}"/>
    <hyperlink ref="F67" r:id="rId498" xr:uid="{1EE3FE6D-3091-4628-9993-513C72DEECFC}"/>
    <hyperlink ref="F68" r:id="rId499" xr:uid="{289A2B85-E0FD-49C7-A715-2EBE86817406}"/>
    <hyperlink ref="F139" r:id="rId500" display="https://www.mf.gov.cv/web/mf/informa%C3%A7%C3%B5es-individuais-das-empresas-p%C3%BAblicas-e-participadas-do-estado/-/document_library/0Hex4KiPTOcH/view/3630088" xr:uid="{7D338818-D974-4787-ADC4-8F3441D93F6A}"/>
    <hyperlink ref="F140:F142" r:id="rId501" display="https://www.mf.gov.cv/web/mf/informa%C3%A7%C3%B5es-individuais-das-empresas-p%C3%BAblicas-e-participadas-do-estado/-/document_library/0Hex4KiPTOcH/view/3630088" xr:uid="{71C3F86E-0BC5-444A-811D-5242E9894C1A}"/>
    <hyperlink ref="G179" r:id="rId502" xr:uid="{E48BBE79-79CE-48AE-AB49-8E0DEB9CD0BA}"/>
    <hyperlink ref="F615" r:id="rId503" display="https://www.nbim.no/en/news-and-insights/reports/" xr:uid="{534C4B48-0C4C-4BD4-B8CF-EB55D8E4790A}"/>
    <hyperlink ref="G655" r:id="rId504" xr:uid="{F4F1665C-0D69-408E-98B1-7DE6D0D52773}"/>
    <hyperlink ref="G654" r:id="rId505" xr:uid="{95600958-DCCB-4DC5-BB30-B8AF9391BEAE}"/>
    <hyperlink ref="G128" r:id="rId506" xr:uid="{0C1541A2-93C5-4B13-96EF-6811195BCF2C}"/>
    <hyperlink ref="G147" r:id="rId507" xr:uid="{B1E3F8DF-0F63-441D-8418-11D9A0908A9F}"/>
    <hyperlink ref="F58" r:id="rId508" display="https://oebag.gv.at/en/berichte-downloads/" xr:uid="{2746BF92-E80B-48CF-8A1A-E5EC0338C914}"/>
    <hyperlink ref="F59:F65" r:id="rId509" display="https://oebag.gv.at/en/berichte-downloads/" xr:uid="{0D44F5C7-2384-44BA-BC0B-DB58A189B74D}"/>
    <hyperlink ref="G58" r:id="rId510" xr:uid="{096F6A31-AB9E-404C-BFB7-47B80C030B82}"/>
    <hyperlink ref="G59" r:id="rId511" xr:uid="{62E9C589-79A7-4266-8D8A-1F4DFD0BB89D}"/>
    <hyperlink ref="G60" r:id="rId512" xr:uid="{92B03A65-67DE-4D50-96F8-83AF7CB08187}"/>
    <hyperlink ref="G61" r:id="rId513" xr:uid="{0D466A15-6C06-4F98-B25C-5C792D9C5E1B}"/>
    <hyperlink ref="G62" r:id="rId514" xr:uid="{3601D861-9838-4D4C-96ED-6302034662EB}"/>
    <hyperlink ref="G63" r:id="rId515" xr:uid="{7BCB73D9-F30B-48CB-A494-7B25FC65E37D}"/>
    <hyperlink ref="F2" r:id="rId516" xr:uid="{2E174F94-F3DA-4B5B-AFDF-BB433BF46102}"/>
    <hyperlink ref="F26" r:id="rId517" xr:uid="{EA79EBF6-BAD7-453F-8800-05B8D1704DB4}"/>
    <hyperlink ref="F39" r:id="rId518" xr:uid="{1E540FC2-4836-483A-A504-6E5A3CAF335C}"/>
    <hyperlink ref="F204" r:id="rId519" xr:uid="{CB9F9F81-2FD8-47F7-BF65-8ACF89229DB4}"/>
    <hyperlink ref="G281" r:id="rId520" xr:uid="{0130DCD4-08DB-4B2D-B340-4703F729B200}"/>
    <hyperlink ref="F281" r:id="rId521" display="https://www.kenfo.de/start" xr:uid="{824C9C03-1311-4B67-AB4C-063AEB636AD8}"/>
    <hyperlink ref="F282:F288" r:id="rId522" display="https://www.kenfo.de/start" xr:uid="{2EF23BB1-A4A6-4F30-A765-7832B4538425}"/>
    <hyperlink ref="F313" r:id="rId523" xr:uid="{7310D1E5-8230-4E41-9CAF-924474834132}"/>
    <hyperlink ref="F341:F350" r:id="rId524" display="https://www.ntma.ie/publications/p4" xr:uid="{71400A6C-75C3-4854-8F1E-ADE0BAAA2CEB}"/>
    <hyperlink ref="F473" r:id="rId525" location="scr_body_top" display="https://www.kic.kr/en/news/reports?p=7 - scr_body_top" xr:uid="{3E54B4AC-38CB-4432-8B31-EEE5786F850C}"/>
    <hyperlink ref="F474:F489" r:id="rId526" location="scr_body_top" display="https://www.kic.kr/en/news/reports?p=7 - scr_body_top" xr:uid="{F95D1718-B1AA-484D-B215-2DA5579F95B5}"/>
    <hyperlink ref="F490" r:id="rId527" location="scr_body_top" display="https://www.kic.kr/en/news/reports?p=7 - scr_body_top" xr:uid="{2D311F6F-A8F5-4965-B524-4875FFDE0596}"/>
    <hyperlink ref="F491" r:id="rId528" location="scr_body_top" display="https://www.kic.kr/en/news/reports?p=7 - scr_body_top" xr:uid="{76F14E14-82A3-4221-86B3-BED14978A10C}"/>
    <hyperlink ref="F502" r:id="rId529" display="https://www.khazanah.com.my/media-downloads/the-khazanah-report/" xr:uid="{715A84FA-00DE-4DB1-A99F-1D23B765DA38}"/>
    <hyperlink ref="F503:F522" r:id="rId530" display="https://www.khazanah.com.my/media-downloads/the-khazanah-report/" xr:uid="{9787D245-3CEA-4C97-B6AA-70B7F1CB8DFC}"/>
    <hyperlink ref="F558" r:id="rId531" display="https://www.fmped.org.mx/rendicion-cuentas.html" xr:uid="{F5B0369D-99F7-4449-88DF-29B508CD1321}"/>
    <hyperlink ref="F559:F578" r:id="rId532" display="https://www.fmped.org.mx/rendicion-cuentas.html" xr:uid="{B967B18A-C995-4B73-B1CA-D98C9D98CA66}"/>
    <hyperlink ref="F579" r:id="rId533" display="https://www.fmped.org.mx/rendicion-cuentas.html" xr:uid="{36B5503D-1415-46C9-96B0-7646267AE32A}"/>
    <hyperlink ref="F916" r:id="rId534" display="https://en.ufrd.uz/open-data" xr:uid="{5644FD9D-9B67-41D8-811E-9CD533B33FC2}"/>
    <hyperlink ref="F902" r:id="rId535" location="financial-reports" display="https://icd.gov.ae/financial-information/ - financial-reports" xr:uid="{FA8B543E-F412-46F5-9EF2-A713EDD2C785}"/>
    <hyperlink ref="F903:F915" r:id="rId536" location="financial-reports" display="https://icd.gov.ae/financial-information/ - financial-reports" xr:uid="{C96A6759-F43F-4F6C-A4A3-D24180B4DE13}"/>
    <hyperlink ref="F395" r:id="rId537" display="https://nationalbank.kz/en/news/godovoy-otchet-nbk?page=1" xr:uid="{D78653F0-35F7-480B-B84E-A93B11F16C66}"/>
    <hyperlink ref="F375:F394" r:id="rId538" display="https://nationalbank.kz/en/news/godovoy-otchet-nbk?page=1" xr:uid="{02FC7E8E-2255-4C27-A377-22BCA2FFD226}"/>
    <hyperlink ref="G395" r:id="rId539" xr:uid="{2ADE54AB-E23E-46FB-A4BF-FAB7961F8593}"/>
    <hyperlink ref="G380" r:id="rId540" xr:uid="{48730D7B-E18A-43C9-93EF-7361D7EAA6DD}"/>
    <hyperlink ref="G376" r:id="rId541" xr:uid="{81433238-86C1-4709-9565-E5290BF1B109}"/>
    <hyperlink ref="G375" r:id="rId542" xr:uid="{1226B468-5C44-43C5-807E-76E5C91B91B9}"/>
    <hyperlink ref="G378" r:id="rId543" xr:uid="{DDAC1D19-F514-4B4B-A992-43D49E8C86A0}"/>
    <hyperlink ref="G377" r:id="rId544" display="https://web.archive.org/web/20081122105248/http:/www.nationalbank.kz/cont/publish740891_3716.pdf" xr:uid="{F60CDA4F-D257-44F2-BF8D-833A0812321D}"/>
    <hyperlink ref="G113" r:id="rId545" xr:uid="{24FC93ED-3658-4C6F-9F94-F1BC8C770F37}"/>
    <hyperlink ref="G118" r:id="rId546" xr:uid="{2F7E4C91-E52E-441C-AB3D-625F0EC973DF}"/>
    <hyperlink ref="G119" r:id="rId547" xr:uid="{586F19F0-6818-4698-BFE0-ABD3070FFCF2}"/>
    <hyperlink ref="G121" r:id="rId548" xr:uid="{954A401A-0102-4235-BAB8-372A30F59512}"/>
    <hyperlink ref="G126" r:id="rId549" xr:uid="{94540313-DCF0-4DEB-8B8D-1336AB2809C5}"/>
    <hyperlink ref="G127" r:id="rId550" location="resultat" display="https://sfpim.be/en/about/the-figures/ - resultat" xr:uid="{42D2DBA8-65A4-421E-B924-94D3EA2A5BBF}"/>
    <hyperlink ref="G111" r:id="rId551" xr:uid="{12EFFB97-CE83-4E64-B866-78C2389E2686}"/>
    <hyperlink ref="G112" r:id="rId552" xr:uid="{8AACC5F9-C8FD-4CE1-8E42-68E70E50A738}"/>
    <hyperlink ref="G115" r:id="rId553" xr:uid="{46DDEEFD-034A-42DB-88E5-EBEF1AAD6FCC}"/>
    <hyperlink ref="G116" r:id="rId554" xr:uid="{1CA71797-D67E-496C-9C07-443EC611E05C}"/>
    <hyperlink ref="G117" r:id="rId555" xr:uid="{1DE8B9BC-D7F3-4D9F-91DE-C6C2DDF8F67A}"/>
    <hyperlink ref="G120" r:id="rId556" xr:uid="{FE4CF4BA-31BF-4EEE-A9BC-3B4356254030}"/>
    <hyperlink ref="G114" r:id="rId557" xr:uid="{543FF329-F48E-45F8-A8A7-A018BE849FE1}"/>
    <hyperlink ref="G110" r:id="rId558" xr:uid="{77288479-132E-49C1-9597-BE1066D63589}"/>
    <hyperlink ref="G109" r:id="rId559" display="https://sfpim.be/uploads/2022/05/sfpi_rapport_annuel_2007_0.pdf" xr:uid="{FE1F3AED-922A-4F67-9B39-8BD7FB1C76BE}"/>
    <hyperlink ref="G643" r:id="rId560" display="https://www.nbim.no/en/news-and-insights/reports/2024/annual-report-2024/web-report-annual-report-2024/" xr:uid="{84B53EFC-7B6F-4E0D-9654-7585BA8BDF18}"/>
    <hyperlink ref="G642" r:id="rId561" display="https://www.nbim.no/contentassets/594a78d6810040b8931d01306d502caa/gpfg-annual-report_2023.pdf" xr:uid="{7D357EB2-B480-44B5-ABFD-290C2508F1C8}"/>
    <hyperlink ref="G641" r:id="rId562" display="https://www.nbim.no/contentassets/99de366397a847db99ab7a156e15aaa0/gpfg_annual-report-2022.pdf" xr:uid="{E1B0930F-1EF6-461C-9D4F-5CC10AC983D7}"/>
    <hyperlink ref="G640" r:id="rId563" display="https://www.nbim.no/contentassets/f8c5e301ff804c09881b1beb5299dc30/gpfg-annual-report-2021.pdf" xr:uid="{32AC02E8-FFBA-4950-8E72-0BDB83C94049}"/>
    <hyperlink ref="G639" r:id="rId564" display="https://www.nbim.no/contentassets/fd871d2a4e2d4c1ab9d3d66c98fa6ba1/annual-report_2020_government-pension-fund-global_web/" xr:uid="{E811B8B2-8BC2-4790-ABF9-DC79B4025B87}"/>
    <hyperlink ref="G638" r:id="rId565" display="https://www.nbim.no/contentassets/3d447c795db84a18b54df8dd87d3b60e/spu_annual_report_2019_en_web.pdf" xr:uid="{6B1B4763-1A56-4803-816E-F28EC56568F6}"/>
    <hyperlink ref="G637" r:id="rId566" display="https://www.nbim.no/contentassets/02bfbbef416f4014b043e74b8405fa97/annual-report-2018-government-pension-fund-global.pdf" xr:uid="{3DA6DFE5-F859-496D-8A05-E12AF84C81BA}"/>
    <hyperlink ref="G636" r:id="rId567" display="https://www.nbim.no/contentassets/49715a01ed684b1686ff3c017f1efa12/annual-report-2017---government-pension-fund-global.pdf" xr:uid="{620A20B1-D8D6-4CEF-AEA1-CA2278733E46}"/>
    <hyperlink ref="G635" r:id="rId568" display="https://www.nbim.no/contentassets/41460fa6a42b4bd4a758429b90f80da2/government-pension-fund-global---annual-report-2016.pdf" xr:uid="{173226E7-0074-4A73-A58E-FB7D5CB5FA54}"/>
    <hyperlink ref="G634" r:id="rId569" display="https://www.nbim.no/contentassets/70de238e3f6747228b76a99ec24c53ed/annual_report_2015_web2.pdf" xr:uid="{994C4B04-330B-4CE8-836B-A492FD83F166}"/>
    <hyperlink ref="G633" r:id="rId570" display="https://www.nbim.no/contentassets/0ff9cd1d5c8e4737a7b7262d3ec167d4/norges-bank-investment-management-annual-report-2014.pdf" xr:uid="{092C6064-59A7-4C45-80EB-AA9835BED4F5}"/>
    <hyperlink ref="G631" r:id="rId571" display="https://www.nbim.no/globalassets/reports/2012/annual-report/annual-report-2012.pdf" xr:uid="{5932F2C6-1478-4D9C-8C7F-E8C772045D29}"/>
    <hyperlink ref="G632" r:id="rId572" display="https://www.nbim.no/contentassets/0ff9cd1d5c8e4737a7b7262d3ec167d4/norges-bank-investment-management-annual-report-2014.pdf" xr:uid="{B588D38A-DA46-49EB-A2FB-1D1A6A00F4EB}"/>
    <hyperlink ref="G630" r:id="rId573" display="https://www.nbim.no/globalassets/reports/2011/annual-report-2011/arsrapport_11_eng_web.pdf" xr:uid="{782A32FA-55CF-4B01-AA1C-0C7C6C14BDA1}"/>
    <hyperlink ref="G629" r:id="rId574" display="https://www.nbim.no/globalassets/reports/2010/english-annual-report-2010-24-march-printed.pdf" xr:uid="{D8B694C8-FFE8-4C92-BEC2-67DB0BD4D074}"/>
    <hyperlink ref="G626" r:id="rId575" display="https://www.nbim.no/globalassets/reports/2008/2008-annual-report.pdf" xr:uid="{98B1DA56-CD7A-4BE9-A402-0D35FCBAB1A8}"/>
    <hyperlink ref="G627" r:id="rId576" display="https://www.nbim.no/globalassets/reports/2009/nbim_annualreport09.pdf" xr:uid="{7D3292BB-DEF8-4EDF-9C3B-F93B5DE639B1}"/>
    <hyperlink ref="G628" r:id="rId577" display="https://www.nbim.no/globalassets/reports/2010/english-annual-report-2010-24-march-printed.pdf" xr:uid="{A65DD6EA-ECE5-4194-B5B9-CCAA3F7E8AF0}"/>
    <hyperlink ref="G625" r:id="rId578" display="https://www.nbim.no/globalassets/reports/2007/nbim_07_eng.pdf" xr:uid="{F2C1708E-1AC0-4BB7-9377-753F7EE7A0AC}"/>
    <hyperlink ref="G624" r:id="rId579" display="https://www.nbim.no/globalassets/reports/2005/2005-annual-report-eng.pdf" xr:uid="{FFB4DD8B-0D7E-432D-A9F5-9B6D34FDFE8B}"/>
    <hyperlink ref="G622" r:id="rId580" display="https://www.nbim.no/globalassets/reports/2003/2003-annual-report-english.pdf" xr:uid="{1A52E3FB-BEE2-41BF-9E70-7BE0B28B0108}"/>
    <hyperlink ref="G620" r:id="rId581" display="https://www.nbim.no/globalassets/reports/2001/annual-report-2001.pdf" xr:uid="{D600A80E-DFF3-436D-9BB1-19CDCD308BBD}"/>
    <hyperlink ref="G619" r:id="rId582" display="https://www.nbim.no/globalassets/reports/2000_1999_-1998/2000-annual-report.pdf" xr:uid="{544FE657-74E6-4421-978E-3430F8A26F42}"/>
    <hyperlink ref="G618" r:id="rId583" display="https://www.nbim.no/globalassets/reports/2000_1999_-1998/1999-annual-report-eng.pdf" xr:uid="{F1F50A14-FF6D-4421-9530-3D73BD8B4872}"/>
    <hyperlink ref="G616" r:id="rId584" display="https://www.nbim.no/globalassets/reports/2000_1999_-1998/1998-en.pdf" xr:uid="{8B676C24-6E9B-47CC-AFB3-47D8B1366E48}"/>
    <hyperlink ref="G617" r:id="rId585" display="https://www.nbim.no/globalassets/reports/2000_1999_-1998/1998-en.pdf" xr:uid="{42C5F1E5-507C-40A1-AB95-81D0760FF1EC}"/>
    <hyperlink ref="G621" r:id="rId586" display="https://www.nbim.no/globalassets/reports/2002/2002-annual-report-eng.pdf" xr:uid="{874061BF-2B10-4302-B984-C45C6BB3018D}"/>
    <hyperlink ref="G623" r:id="rId587" display="https://www.nbim.no/globalassets/reports/2004/2004-annual-report-english.pdf" xr:uid="{FCB6AB19-10F7-4087-A2AD-BDC056985751}"/>
    <hyperlink ref="G615" r:id="rId588" display="https://www.nbim.no/globalassets/reports/2002/2002-annual-report-eng.pdf" xr:uid="{2F81781B-C051-4E5D-B929-DF9248F83152}"/>
    <hyperlink ref="F90" r:id="rId589" display="https://mumtalakat.bh/annual-reports" xr:uid="{0237F69F-4653-4A85-9CE2-E94F34A98797}"/>
    <hyperlink ref="F91:F108" r:id="rId590" display="https://mumtalakat.bh/annual-reports" xr:uid="{7CF13048-00FC-4FB1-B6FC-485A0791C38C}"/>
    <hyperlink ref="G108" r:id="rId591" display="https://d22x99z9pyemfq.cloudfront.net/Annual-Report-2024_LR_2025-09-11-192447_widx.pdf" xr:uid="{56246B9D-1E6C-44FE-BB34-F2FD6C48C280}"/>
    <hyperlink ref="G106" r:id="rId592" display="https://d22x99z9pyemfq.cloudfront.net/Mumtalakat-AnnualReports2022-FV_2023-06-26-082119_lgex.pdf" xr:uid="{0BCE62CE-853F-4F5A-B3E3-596DF96039DF}"/>
    <hyperlink ref="G105" r:id="rId593" display="https://d22x99z9pyemfq.cloudfront.net/mumtalakat-annual_report-2021.pdf" xr:uid="{B415390F-4D57-43F1-B0D4-B92AA7FEA142}"/>
    <hyperlink ref="G103" r:id="rId594" display="https://d22x99z9pyemfq.cloudfront.net/Mumtalakat-Annual_Report-2019.pdf" xr:uid="{DBA84C62-744C-4A3A-BFEB-7D8F4B3C1946}"/>
    <hyperlink ref="G104" r:id="rId595" display="https://d22x99z9pyemfq.cloudfront.net/Mumtalakat-2020_AnnualReport_2022-05-13-152000_ixaa.pdf" xr:uid="{637353BD-F6AF-40E2-AF13-0B0A7DD5C9E1}"/>
    <hyperlink ref="G101" r:id="rId596" display="https://d22x99z9pyemfq.cloudfront.net/mumtalakat-annual_report-2017.pdf" xr:uid="{E1150D09-CE3E-4BEE-B7F9-CF19D7CC00DA}"/>
    <hyperlink ref="G100" r:id="rId597" display="https://d22x99z9pyemfq.cloudfront.net/mumtalakat-annual_report-2016.pdf" xr:uid="{B3E94A79-1ABC-4605-AB53-A80F2B01D48A}"/>
    <hyperlink ref="G99" r:id="rId598" display="https://d22x99z9pyemfq.cloudfront.net/Mumtalakat-Annual_Report-2015.pdf" xr:uid="{34637471-F09E-4911-869B-AD268318AF16}"/>
    <hyperlink ref="G98" r:id="rId599" display="https://d22x99z9pyemfq.cloudfront.net/Mumtalakat-Annual_Report-2014.pdf" xr:uid="{70FA79E1-B7A2-422A-8EEA-3696FE29A982}"/>
    <hyperlink ref="G97" r:id="rId600" display="https://d22x99z9pyemfq.cloudfront.net/Mumtalakat-Annual_Report-2013.pdf" xr:uid="{DB4EF91B-C6C2-4CFA-8A4B-72AF1E72E4E4}"/>
    <hyperlink ref="G96" r:id="rId601" display="https://d22x99z9pyemfq.cloudfront.net/Mumtalakat-Annual_Report-2012.pdf" xr:uid="{9E676317-D15D-48E0-A959-7D0ECBB35DE9}"/>
    <hyperlink ref="G95" r:id="rId602" display="https://d22x99z9pyemfq.cloudfront.net/Mumtalakat-Annual_Report-2011.pdf" xr:uid="{61F99E94-4CC1-47AF-88C8-1CBADA9A5DB3}"/>
    <hyperlink ref="G94" r:id="rId603" display="https://d22x99z9pyemfq.cloudfront.net/Mumtalakat-Annual_Report-2010.pdf" xr:uid="{AAB1483C-ECDE-4C17-8BFF-26496D6FAF74}"/>
    <hyperlink ref="G93" r:id="rId604" display="https://d22x99z9pyemfq.cloudfront.net/Mumtalakat-Annual_Report-2009.pdf" xr:uid="{0FC7A29B-929F-4897-8991-12805525B51F}"/>
    <hyperlink ref="G92" r:id="rId605" display="https://d22x99z9pyemfq.cloudfront.net/Mumtalakat-Annual_Report-2009.pdf" xr:uid="{1F477A83-4F2D-4493-B07B-E8431E7392F7}"/>
    <hyperlink ref="G91" r:id="rId606" display="https://d22x99z9pyemfq.cloudfront.net/Mumtalakat-Annual_Report-2007.pdf" xr:uid="{BD37034E-11D3-4FD9-9C1A-0DA5B4606EA8}"/>
    <hyperlink ref="G90" r:id="rId607" display="https://d22x99z9pyemfq.cloudfront.net/Mumtalakat-Annual_Report-2007.pdf" xr:uid="{F1A169F1-5339-4778-8E18-357DE1E24631}"/>
    <hyperlink ref="G107" r:id="rId608" display="https://d22x99z9pyemfq.cloudfront.net/Annual-Report-2024_LR_2025-09-11-192447_widx.pdf" xr:uid="{D0A1C9F8-4AF9-4786-82C3-698E9DEF1FFE}"/>
    <hyperlink ref="G102" r:id="rId609" display="https://d22x99z9pyemfq.cloudfront.net/mumtalakat-annual_report-2018.pdf" xr:uid="{E0BC2680-D6BA-4AD7-B8E6-D5BCD8232ABE}"/>
    <hyperlink ref="G472" r:id="rId610" display="https://mfed.gov.ki/sites/default/files/2025-08/RERF Annual Report 2024_Final.pdf" xr:uid="{C2DF65B7-16B5-4D16-B28E-3B47B1BFE3AE}"/>
    <hyperlink ref="G464:G471" r:id="rId611" display="https://mfed.gov.ki/sites/default/files/2025-08/RERF Annual Report 2024_Final.pdf" xr:uid="{CC5546C5-A009-4F45-B522-2ECE23861E03}"/>
    <hyperlink ref="G463" r:id="rId612" display="https://web.archive.org/web/20241126040650/https:/www.mfed.gov.ki/sites/default/files/Final - RERF Report to Parliament 24-8-21.pdf" xr:uid="{A073E5D5-FD74-4D63-A617-93590E285923}"/>
    <hyperlink ref="G426:G462" r:id="rId613" display="https://web.archive.org/web/20241126040650/https:/www.mfed.gov.ki/sites/default/files/Final - RERF Report to Parliament 24-8-21.pdf" xr:uid="{90D1EA36-46C6-444B-9563-5E74A8B82498}"/>
    <hyperlink ref="H472" r:id="rId614" display="https://mfed.gov.ki/node/141" xr:uid="{47348924-1DE1-4620-9AC4-390C104E277B}"/>
    <hyperlink ref="F472" r:id="rId615" display="https://mfed.gov.ki/node/141" xr:uid="{2757BE2A-2942-47E8-B85B-E4D34AF3BFF7}"/>
    <hyperlink ref="F464:F471" r:id="rId616" display="https://mfed.gov.ki/node/141" xr:uid="{C015947E-7BAD-4240-A215-0D282F6F78AC}"/>
    <hyperlink ref="F676:F687" r:id="rId617" display="https://nsia.com.ng/investor-relations/" xr:uid="{D7169F66-9AF7-444C-8CE6-5C0809AAC3E2}"/>
    <hyperlink ref="G677" r:id="rId618" display="https://nsia.com.ng/investor-relations/nsia-2013-annual-report/" xr:uid="{D0CB390C-2F1D-45C5-9F46-539BDEBF4A26}"/>
    <hyperlink ref="G676" r:id="rId619" display="https://nsia.com.ng/investor-relations/nsia-2013-annual-report/" xr:uid="{70B1E617-FAD1-4FDE-8D38-6A5947BB17DC}"/>
    <hyperlink ref="G244" r:id="rId620" display="https://drive.google.com/file/d/1cyCDX5W_9tSshkuQAD8wv2vhSKHWcx5t/view" xr:uid="{D854B5B2-0A45-4092-A965-DC8CDBB9FFD4}"/>
    <hyperlink ref="G232:G243" r:id="rId621" display="https://drive.google.com/file/d/1cyCDX5W_9tSshkuQAD8wv2vhSKHWcx5t/view" xr:uid="{DFFFAE03-0989-4DB1-933C-9D64148C650C}"/>
    <hyperlink ref="F232" r:id="rId622" display="https://www.fgis-gabon.com/about" xr:uid="{4F83BC80-2012-4E86-A036-BEEE2C9F0BBD}"/>
    <hyperlink ref="F233:F244" r:id="rId623" display="https://www.fgis-gabon.com/about" xr:uid="{DE04F3D9-8B6C-400E-8C6B-A3FFCFBCA1F7}"/>
    <hyperlink ref="F290" r:id="rId624" display="https://web.archive.org/web/20220926095933/https:/www.bog.gov.gh/ghana-petroleum-funds/gpf-financial-statements/" xr:uid="{499262C2-3A2F-419A-B3FC-0ABE00A15B09}"/>
    <hyperlink ref="F291" r:id="rId625" display="https://web.archive.org/web/20220926095933/https:/www.bog.gov.gh/ghana-petroleum-funds/gpf-financial-statements/" xr:uid="{EFB8C632-CDBC-46AC-9B65-EDABF1CBACF7}"/>
    <hyperlink ref="F292" r:id="rId626" display="https://web.archive.org/web/20220926095933/https:/www.bog.gov.gh/ghana-petroleum-funds/gpf-financial-statements/" xr:uid="{7294E525-89A4-4110-8FDE-76069E86BBC6}"/>
    <hyperlink ref="F293" r:id="rId627" display="https://web.archive.org/web/20220926095933/https:/www.bog.gov.gh/ghana-petroleum-funds/gpf-financial-statements/" xr:uid="{2F0EEC16-2081-40F6-BC59-ACC0DDAD2868}"/>
    <hyperlink ref="F300" r:id="rId628" display="https://www.bog.gov.gh/ghana-petroleum-funds/gpf-financial-statements/" xr:uid="{E4123F4C-78CA-4944-A204-0850A433F906}"/>
    <hyperlink ref="F299" r:id="rId629" display="https://www.bog.gov.gh/ghana-petroleum-funds/gpf-financial-statements/" xr:uid="{E92CF9D4-C134-41EF-8BDA-603F058196C0}"/>
    <hyperlink ref="F298" r:id="rId630" display="https://www.bog.gov.gh/ghana-petroleum-funds/gpf-financial-statements/" xr:uid="{93E116C8-A5DC-4B03-A49F-F4DF4CE2A928}"/>
    <hyperlink ref="F297" r:id="rId631" display="https://www.bog.gov.gh/ghana-petroleum-funds/gpf-financial-statements/" xr:uid="{B44014E6-CC80-48DE-AFDE-7499EE3777BB}"/>
    <hyperlink ref="F296" r:id="rId632" display="https://www.bog.gov.gh/ghana-petroleum-funds/gpf-financial-statements/" xr:uid="{179EF9AD-0685-4DB2-A085-4D3804B14F02}"/>
    <hyperlink ref="F295" r:id="rId633" display="https://www.bog.gov.gh/ghana-petroleum-funds/gpf-financial-statements/" xr:uid="{36A2508C-B711-462B-9F97-459277424431}"/>
    <hyperlink ref="G290" r:id="rId634" display="https://web.archive.org/web/20220926095933/https:/www.bog.gov.gh/ghana-petroleum-funds/gpf-financial-statements/" xr:uid="{29EDB149-F219-4907-98A0-ECE8AEB6C0F5}"/>
    <hyperlink ref="G291" r:id="rId635" display="https://web.archive.org/web/20220926095933/https:/www.bog.gov.gh/ghana-petroleum-funds/gpf-financial-statements/" xr:uid="{78DF44FA-899B-4BEF-AE37-8559452C42DE}"/>
    <hyperlink ref="G292" r:id="rId636" display="https://web.archive.org/web/20220926095933/https:/www.bog.gov.gh/ghana-petroleum-funds/gpf-financial-statements/" xr:uid="{11005E28-198B-4E76-A2CF-7783C5D65296}"/>
    <hyperlink ref="G293" r:id="rId637" display="https://web.archive.org/web/20220926095933/https:/www.bog.gov.gh/ghana-petroleum-funds/gpf-financial-statements/" xr:uid="{3F477EB9-DEB9-4A89-B807-7B647E87BA14}"/>
    <hyperlink ref="G300" r:id="rId638" display="https://www.bog.gov.gh/ghana-petroleum-funds/gpf-financial-statements/" xr:uid="{E4682697-A609-48B5-81A4-FAAA99F8350C}"/>
    <hyperlink ref="G299" r:id="rId639" display="https://www.bog.gov.gh/ghana-petroleum-funds/gpf-financial-statements/" xr:uid="{D18FD968-36E9-4AF6-ADD5-E1FDB10DC2E2}"/>
    <hyperlink ref="G298" r:id="rId640" display="https://www.bog.gov.gh/ghana-petroleum-funds/gpf-financial-statements/" xr:uid="{B8632342-A062-45DE-A6AC-7CB4CC17574E}"/>
    <hyperlink ref="G297" r:id="rId641" display="https://www.bog.gov.gh/ghana-petroleum-funds/gpf-financial-statements/" xr:uid="{82DE0600-6DB5-4BBC-842E-4B97C6AD3268}"/>
    <hyperlink ref="G296" r:id="rId642" display="https://www.bog.gov.gh/ghana-petroleum-funds/gpf-financial-statements/" xr:uid="{3453637C-924E-4FD9-BF57-9DCEE7414FCD}"/>
    <hyperlink ref="G295" r:id="rId643" display="https://www.bog.gov.gh/ghana-petroleum-funds/gpf-financial-statements/" xr:uid="{7EA0F238-4794-4668-9909-3A3F8465F7BE}"/>
    <hyperlink ref="F289" r:id="rId644" display="https://web.archive.org/web/20220926095933/https:/www.bog.gov.gh/ghana-petroleum-funds/gpf-financial-statements/" xr:uid="{69BB136F-0D8D-4E7C-A914-57E919AF7B88}"/>
    <hyperlink ref="G289" r:id="rId645" display="https://web.archive.org/web/20220926095933/https:/www.bog.gov.gh/ghana-petroleum-funds/gpf-financial-statements/" xr:uid="{55BD2D35-6415-4035-9848-D26C904E6DB8}"/>
    <hyperlink ref="G294" r:id="rId646" display="https://web.archive.org/web/20220926095933/https:/www.bog.gov.gh/ghana-petroleum-funds/gpf-financial-statements/" xr:uid="{526735CD-16E9-4E57-95BE-C4390809D2B3}"/>
    <hyperlink ref="F294" r:id="rId647" display="https://www.bog.gov.gh/ghana-petroleum-funds/gpf-financial-statements/" xr:uid="{E8E19476-28E6-4555-86E8-06E5F572E74E}"/>
    <hyperlink ref="G309" r:id="rId648" display="https://www.bog.gov.gh/wp-content/uploads/2022/11/Petroleum-Funds-2021-FS.pdf" xr:uid="{0A0D4469-332B-4FE6-A940-67C4DF65C432}"/>
    <hyperlink ref="G311" r:id="rId649" display="https://www.bog.gov.gh/wp-content/uploads/2024/06/Petroleum-Funds-2023-FS.pdf" xr:uid="{5A97D255-3D74-49D1-ADC3-FE2970670CB1}"/>
    <hyperlink ref="G308" r:id="rId650" display="https://www.bog.gov.gh/wp-content/uploads/2022/11/Petroleum-Funds-2020-FS.pdf" xr:uid="{FFEB48C9-53F0-42FB-9739-48E4D4534224}"/>
    <hyperlink ref="G307" r:id="rId651" display="https://www.bog.gov.gh/wp-content/uploads/2022/11/Petroleum-Funds-2019-FS.pdf" xr:uid="{E4637174-06C3-4503-86B5-48ABB48B7BE9}"/>
    <hyperlink ref="G310" r:id="rId652" display="https://www.bog.gov.gh/wp-content/uploads/2023/05/Petroleum-Funds-2022-FS-Signed-Accounts.pdf" xr:uid="{2B457B8D-9E0D-4E91-AE07-3E0392DCF9D0}"/>
    <hyperlink ref="G306" r:id="rId653" display="https://www.bog.gov.gh/wp-content/uploads/2021/07/GPF-Annual-Report-and-Financial-Statement-2018-Signed-Accounts.pdf" xr:uid="{7671DA10-7FA0-4F2C-A6D7-42FFB87BD6F6}"/>
    <hyperlink ref="G304" r:id="rId654" display="https://www.bog.gov.gh/wp-content/uploads/2021/07/GPF-FS-2016-SIGNED-ACCOUNTS.pdf" xr:uid="{8EC1BCB0-8E13-4422-ABC7-72B9D0ABF84D}"/>
    <hyperlink ref="G303" r:id="rId655" display="https://www.bog.gov.gh/wp-content/uploads/2021/07/GPF-FS-2015-SIGNED-ACCOUNTS-3.pdf" xr:uid="{20344AD8-44FC-41A5-8825-97B2492C65B7}"/>
    <hyperlink ref="G302" r:id="rId656" display="https://www.bog.gov.gh/wp-content/uploads/2021/07/GPF-FS-2015-SIGNED-ACCOUNTS-3.pdf" xr:uid="{5DFD9BE8-40F8-408F-8E70-75AF1B2CB124}"/>
    <hyperlink ref="G305" r:id="rId657" display="https://www.bog.gov.gh/wp-content/uploads/2021/07/GPF-Annual-Report-and-Financial-Statement-2018-Signed-Accounts.pdf" xr:uid="{6C8C5D39-3232-4CF8-B2CD-61504C006AE0}"/>
    <hyperlink ref="G312" r:id="rId658" xr:uid="{660506E1-8C07-4EB5-B56B-0B7B33C9CDFC}"/>
    <hyperlink ref="G301" r:id="rId659" display="https://www.bog.gov.gh/wp-content/uploads/2021/07/GPF-FS-2015-SIGNED-ACCOUNTS-3.pdf" xr:uid="{AA3B7ACE-00BE-4E95-97A9-EEED965408B5}"/>
    <hyperlink ref="F302" r:id="rId660" display="https://web.archive.org/web/20220926095933/https:/www.bog.gov.gh/ghana-petroleum-funds/gpf-financial-statements/" xr:uid="{DFC3889E-B41C-4EFA-9EA0-8EB74FD4BF76}"/>
    <hyperlink ref="F303" r:id="rId661" display="https://web.archive.org/web/20220926095933/https:/www.bog.gov.gh/ghana-petroleum-funds/gpf-financial-statements/" xr:uid="{C04ED523-72BE-439A-A282-ECC0A7F1DFB1}"/>
    <hyperlink ref="F304" r:id="rId662" display="https://web.archive.org/web/20220926095933/https:/www.bog.gov.gh/ghana-petroleum-funds/gpf-financial-statements/" xr:uid="{38436106-442E-450B-8C59-7135345BAFC6}"/>
    <hyperlink ref="F305" r:id="rId663" display="https://web.archive.org/web/20220926095933/https:/www.bog.gov.gh/ghana-petroleum-funds/gpf-financial-statements/" xr:uid="{257B953D-5160-4FF0-B4BD-47D8C2535C36}"/>
    <hyperlink ref="F312" r:id="rId664" display="https://www.bog.gov.gh/ghana-petroleum-funds/gpf-financial-statements/" xr:uid="{794B4189-B4E4-4D34-A4D8-6EE6F4580362}"/>
    <hyperlink ref="F311" r:id="rId665" display="https://www.bog.gov.gh/ghana-petroleum-funds/gpf-financial-statements/" xr:uid="{9718E296-00C8-4DD6-9E23-9E7A8ECC99A1}"/>
    <hyperlink ref="F310" r:id="rId666" display="https://www.bog.gov.gh/ghana-petroleum-funds/gpf-financial-statements/" xr:uid="{26F0D6CB-1E16-4F63-A69C-8CE6642C0A4F}"/>
    <hyperlink ref="F309" r:id="rId667" display="https://www.bog.gov.gh/ghana-petroleum-funds/gpf-financial-statements/" xr:uid="{95DCCAA0-D468-4C1B-86A4-7B7506119814}"/>
    <hyperlink ref="F308" r:id="rId668" display="https://www.bog.gov.gh/ghana-petroleum-funds/gpf-financial-statements/" xr:uid="{58AB5290-0883-48BD-ACD5-E83CDEB95039}"/>
    <hyperlink ref="F307" r:id="rId669" display="https://www.bog.gov.gh/ghana-petroleum-funds/gpf-financial-statements/" xr:uid="{1F121E30-FE45-4156-85BE-F3FE67F82BFC}"/>
    <hyperlink ref="F301" r:id="rId670" display="https://web.archive.org/web/20220926095933/https:/www.bog.gov.gh/ghana-petroleum-funds/gpf-financial-statements/" xr:uid="{5EDCED2B-8E51-4D0F-BA97-6934EC414260}"/>
    <hyperlink ref="F306" r:id="rId671" display="https://www.bog.gov.gh/ghana-petroleum-funds/gpf-financial-statements/" xr:uid="{0110FA08-3827-487E-8D3E-B9E484FAD839}"/>
    <hyperlink ref="F214" r:id="rId672" display="https://www.eifo.dk/en/about/annual-report/" xr:uid="{8A54B146-2471-4D24-A5C0-A11E4421768C}"/>
    <hyperlink ref="F215" r:id="rId673" display="https://www.eifo.dk/en/about/annual-report/" xr:uid="{10CDB17E-E1F5-47B7-8F71-E02AB746D088}"/>
    <hyperlink ref="F216" r:id="rId674" display="https://www.eifo.dk/en/about/annual-report/" xr:uid="{DD7092E2-E7A7-487F-B9FD-B8BD0D8086A2}"/>
    <hyperlink ref="F217" r:id="rId675" display="https://www.eifo.dk/en/about/annual-report/" xr:uid="{041C7E9F-A7C6-4248-B621-64841F4BE9BE}"/>
    <hyperlink ref="F218" r:id="rId676" display="https://www.eifo.dk/en/about/annual-report/" xr:uid="{64A2AD24-33B6-4B22-A306-5C2932190CF1}"/>
    <hyperlink ref="F219:F220" r:id="rId677" display="https://www.eifo.dk/en/about/annual-report/" xr:uid="{C4A3EE43-36E4-4E04-A0DB-2EEE0E0302C4}"/>
    <hyperlink ref="G218" r:id="rId678" display="https://eifo.dk/media/pcplswda/vf-aarsrapport-2022.pdf" xr:uid="{4CCE2A42-D5B0-4F40-8C29-8583F0C256DD}"/>
    <hyperlink ref="G215:G217" r:id="rId679" display="https://eifo.dk/media/pcplswda/vf-aarsrapport-2022.pdf" xr:uid="{FE775DE4-18CF-464F-98B2-5C45357AE87F}"/>
    <hyperlink ref="G214" r:id="rId680" display="https://eifo.dk/media/pcplswda/vf-aarsrapport-2022.pdf" xr:uid="{F40BBFF6-B09A-48C1-B65C-C2A925F214B8}"/>
    <hyperlink ref="G220" r:id="rId681" display="https://www.eifo.dk/media/ia3lvn0l/eifo-annual-report-2024.pdf" xr:uid="{A6B87B3F-4E8F-41BC-9A9F-4DFA766019A7}"/>
    <hyperlink ref="G219" r:id="rId682" display="https://www.eifo.dk/media/ia3lvn0l/eifo-annual-report-2024.pdf" xr:uid="{4B8CEE4F-15BC-4765-9D8F-2A6A81F5FD6B}"/>
    <hyperlink ref="F221:F227" r:id="rId683" display="https://www.bpifrance.fr/investor-relations" xr:uid="{AC297B78-BF6A-4FBA-8AA9-DC28719F457F}"/>
    <hyperlink ref="G221" r:id="rId684" xr:uid="{6934D83B-4C51-4F8A-A1E1-3FFF78A5C6D0}"/>
    <hyperlink ref="G226" r:id="rId685" xr:uid="{12581C2D-9EB6-4E56-86D1-F6923D96FFCF}"/>
    <hyperlink ref="F197" r:id="rId686" display="https://www.china-inv.cn/chinainven/Media/Annual_Report.shtml" xr:uid="{9B221ABD-5080-467A-9AC0-B77C12B955C6}"/>
    <hyperlink ref="G197" r:id="rId687" display="https://www.china-inv.cn/chinainven/xhtml/Media/2024EN.pdf" xr:uid="{52016F7E-0D49-4580-9D4E-72E5C1AE2797}"/>
    <hyperlink ref="F819" r:id="rId688" display="https://www.mof.gov.tw/multiplehtml/384" xr:uid="{7EB60654-BEE3-4629-86AE-A184AD155761}"/>
    <hyperlink ref="F820:F838" r:id="rId689" display="https://www.mof.gov.tw/multiplehtml/384" xr:uid="{88D4C587-BE1C-4395-BD4E-641AEE6178AD}"/>
    <hyperlink ref="G832" r:id="rId690" xr:uid="{D100186D-E88E-4527-B0AE-BED4EE6743E2}"/>
    <hyperlink ref="G834" r:id="rId691" xr:uid="{2D62AD8C-7E76-4BA6-A1CB-789E5CB48525}"/>
    <hyperlink ref="G819" r:id="rId692" xr:uid="{D054D449-A662-482D-8E99-530D2FFDF53C}"/>
    <hyperlink ref="G827" r:id="rId693" xr:uid="{1ED089EB-F546-47B5-B66F-B35570A1770B}"/>
    <hyperlink ref="G838" r:id="rId694" xr:uid="{9B48E8B0-1B19-43F8-A6F0-7C0868F64DCA}"/>
    <hyperlink ref="F807" r:id="rId695" display="https://www.df.gov.tw/eng/News11.aspx?n=16841C88DAE4CCCE&amp;sms=24D4F1B081C7825E&amp;utm_source=chatgpt.com" xr:uid="{997AEF67-621F-4E2D-910E-5B9E7F73BCD6}"/>
    <hyperlink ref="F808:F818" r:id="rId696" display="https://www.df.gov.tw/eng/News11.aspx?n=16841C88DAE4CCCE&amp;sms=24D4F1B081C7825E&amp;utm_source=chatgpt.com" xr:uid="{4BD78274-C6E3-482C-BA9C-05C1173DDC69}"/>
    <hyperlink ref="F795" r:id="rId697" display="https://www.df.gov.tw/News8.aspx?n=EDE29795B79855E0&amp;sms=84DF8AE86BF2C378&amp;page=3&amp;PageSize=10" xr:uid="{F16480F3-8E25-47F6-853F-66B29A328F79}"/>
    <hyperlink ref="F796:F806" r:id="rId698" display="https://www.df.gov.tw/News8.aspx?n=EDE29795B79855E0&amp;sms=84DF8AE86BF2C378&amp;page=3&amp;PageSize=10" xr:uid="{456B1C56-83FE-42DD-8E35-901F12DAEBDD}"/>
    <hyperlink ref="G818" r:id="rId699" display="https://ws.ndc.gov.tw/001/administrator/33/relfile/7098/39032/ca34a3ff-589d-4e65-9226-19f6c66f8722.pdf" xr:uid="{0127C890-A3F4-4131-9A4B-8F8F931FE988}"/>
    <hyperlink ref="G814:G817" r:id="rId700" display="https://ws.ndc.gov.tw/001/administrator/33/relfile/7098/39032/ca34a3ff-589d-4e65-9226-19f6c66f8722.pdf" xr:uid="{19BCF459-40E2-445A-B58A-0FAB5E48862E}"/>
    <hyperlink ref="G813" r:id="rId701" display="https://ws.ndc.gov.tw/001/administrator/33/relfile/7098/34321/eb5861b4-4bb7-45f5-b32a-2311be3a4df3.pdf" xr:uid="{1C8353DC-1F34-4964-AB5F-21A2C288A690}"/>
    <hyperlink ref="G812" r:id="rId702" display="https://ws.ndc.gov.tw/001/administrator/33/relfile/7098/34321/eb5861b4-4bb7-45f5-b32a-2311be3a4df3.pdf" xr:uid="{7A5417E4-9E9D-474A-8BF8-B23382918608}"/>
    <hyperlink ref="G808" r:id="rId703" display="https://ws.ndc.gov.tw/001/administrator/32/relfile/7030/33523/c9b71182-a0a1-43ee-a3d5-b6746954e81e.pdf" xr:uid="{0CD5A5F0-D9B9-4357-9C9A-176579D5F16F}"/>
    <hyperlink ref="G802" r:id="rId704" display="https://ws.ndc.gov.tw/001/administrator/32/relfile/7030/33512/2d9791b4-5f89-4e31-b23b-7a7c9699f7f3.pdf" xr:uid="{C6E37E02-D2C6-450E-8807-7FBB49057908}"/>
    <hyperlink ref="G806" r:id="rId705" display="https://ws.ndc.gov.tw/001/administrator/32/relfile/7030/33516/329b7df5-51f6-4b03-b5a3-4259a946f7b0.pdf" xr:uid="{20744934-0CEF-49A7-A52F-42164406D1F4}"/>
    <hyperlink ref="G800" r:id="rId706" display="https://ws.ndc.gov.tw/001/administrator/32/relfile/7030/33509/b7c37769-cd6f-4892-a989-fe07c96bce49.pdf" xr:uid="{24120CC7-CF8C-49C7-B373-4F1F681D2638}"/>
    <hyperlink ref="G796:G799" r:id="rId707" display="https://ws.ndc.gov.tw/001/administrator/32/relfile/7030/33509/b7c37769-cd6f-4892-a989-fe07c96bce49.pdf" xr:uid="{8960AEA1-8CFF-4D69-B23B-4D9B7A8556C2}"/>
    <hyperlink ref="G795" r:id="rId708" display="https://ws.ndc.gov.tw/001/administrator/32/relfile/7030/33507/fb97a829-99a9-41bd-8fc0-8a13e237a961.pdf" xr:uid="{4E0AB1D4-391A-4A3C-A74A-915FFD8AF75C}"/>
    <hyperlink ref="G803:G805" r:id="rId709" display="https://ws.ndc.gov.tw/001/administrator/32/relfile/7030/33516/329b7df5-51f6-4b03-b5a3-4259a946f7b0.pdf" xr:uid="{BA9558A3-D769-4413-82EB-F2B35D2DBDDE}"/>
    <hyperlink ref="F397" r:id="rId710" location="corporation" xr:uid="{63C73D85-E5B6-4226-97B9-40EA280CA4B4}"/>
  </hyperlinks>
  <pageMargins left="0.7" right="0.7" top="0.75" bottom="0.75" header="0.3" footer="0.3"/>
  <pageSetup paperSize="9" orientation="portrait" r:id="rId7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0007C-BEFE-46EA-9C72-8FB2293F4525}">
  <dimension ref="A1:J7"/>
  <sheetViews>
    <sheetView workbookViewId="0">
      <selection activeCell="H22" sqref="H22"/>
    </sheetView>
  </sheetViews>
  <sheetFormatPr baseColWidth="10" defaultRowHeight="14.4" x14ac:dyDescent="0.3"/>
  <cols>
    <col min="9" max="9" width="15.77734375" customWidth="1"/>
  </cols>
  <sheetData>
    <row r="1" spans="1:10" x14ac:dyDescent="0.3">
      <c r="A1" t="s">
        <v>1415</v>
      </c>
      <c r="B1" t="s">
        <v>1416</v>
      </c>
      <c r="C1" t="s">
        <v>568</v>
      </c>
      <c r="D1" t="s">
        <v>1417</v>
      </c>
      <c r="E1" t="s">
        <v>26</v>
      </c>
      <c r="F1" t="s">
        <v>1418</v>
      </c>
      <c r="H1" t="s">
        <v>1419</v>
      </c>
      <c r="I1" t="s">
        <v>1432</v>
      </c>
      <c r="J1" t="s">
        <v>1420</v>
      </c>
    </row>
    <row r="2" spans="1:10" x14ac:dyDescent="0.3">
      <c r="A2" t="s">
        <v>111</v>
      </c>
      <c r="B2" t="s">
        <v>112</v>
      </c>
      <c r="C2" t="s">
        <v>1421</v>
      </c>
      <c r="D2" s="48">
        <v>2019</v>
      </c>
      <c r="E2" s="48">
        <v>2018</v>
      </c>
      <c r="F2" s="1" t="s">
        <v>1422</v>
      </c>
      <c r="H2" t="s">
        <v>1423</v>
      </c>
      <c r="I2" t="s">
        <v>1423</v>
      </c>
      <c r="J2" t="s">
        <v>1424</v>
      </c>
    </row>
    <row r="3" spans="1:10" x14ac:dyDescent="0.3">
      <c r="A3" t="s">
        <v>161</v>
      </c>
      <c r="B3" t="s">
        <v>162</v>
      </c>
      <c r="C3" t="s">
        <v>583</v>
      </c>
      <c r="D3" s="48">
        <v>2011</v>
      </c>
      <c r="E3" s="48">
        <v>1995</v>
      </c>
      <c r="F3" s="8" t="s">
        <v>1425</v>
      </c>
      <c r="H3" t="s">
        <v>1423</v>
      </c>
      <c r="I3" t="s">
        <v>1423</v>
      </c>
      <c r="J3" t="s">
        <v>1431</v>
      </c>
    </row>
    <row r="4" spans="1:10" x14ac:dyDescent="0.3">
      <c r="A4" t="s">
        <v>216</v>
      </c>
      <c r="B4" t="s">
        <v>212</v>
      </c>
      <c r="C4" t="s">
        <v>830</v>
      </c>
      <c r="D4" s="48">
        <v>2012</v>
      </c>
      <c r="E4" s="48">
        <v>1971</v>
      </c>
      <c r="F4" s="1" t="s">
        <v>1426</v>
      </c>
      <c r="H4" t="s">
        <v>1427</v>
      </c>
      <c r="I4" t="s">
        <v>1427</v>
      </c>
      <c r="J4" t="s">
        <v>1428</v>
      </c>
    </row>
    <row r="5" spans="1:10" x14ac:dyDescent="0.3">
      <c r="A5" t="s">
        <v>270</v>
      </c>
      <c r="B5" t="s">
        <v>267</v>
      </c>
      <c r="C5" t="s">
        <v>1429</v>
      </c>
      <c r="D5" s="48">
        <v>2011</v>
      </c>
      <c r="E5" s="48">
        <v>2000</v>
      </c>
      <c r="F5" s="1" t="s">
        <v>271</v>
      </c>
      <c r="H5" s="49" t="s">
        <v>1427</v>
      </c>
      <c r="I5" s="49" t="s">
        <v>1423</v>
      </c>
      <c r="J5" t="s">
        <v>1434</v>
      </c>
    </row>
    <row r="6" spans="1:10" x14ac:dyDescent="0.3">
      <c r="A6" t="s">
        <v>342</v>
      </c>
      <c r="B6" t="s">
        <v>343</v>
      </c>
      <c r="C6" t="s">
        <v>599</v>
      </c>
      <c r="D6" s="48">
        <v>2016</v>
      </c>
      <c r="E6" s="48">
        <v>2004</v>
      </c>
      <c r="F6" s="8" t="s">
        <v>1051</v>
      </c>
      <c r="H6" t="s">
        <v>1427</v>
      </c>
      <c r="I6" t="s">
        <v>1427</v>
      </c>
      <c r="J6" t="s">
        <v>347</v>
      </c>
    </row>
    <row r="7" spans="1:10" x14ac:dyDescent="0.3">
      <c r="A7" t="s">
        <v>365</v>
      </c>
      <c r="B7" t="s">
        <v>366</v>
      </c>
      <c r="C7" t="s">
        <v>601</v>
      </c>
      <c r="D7" s="48">
        <v>2016</v>
      </c>
      <c r="E7" s="48">
        <v>2005</v>
      </c>
      <c r="F7" s="8" t="s">
        <v>1085</v>
      </c>
      <c r="H7" t="s">
        <v>1427</v>
      </c>
      <c r="I7" t="s">
        <v>1427</v>
      </c>
      <c r="J7" t="s">
        <v>1433</v>
      </c>
    </row>
  </sheetData>
  <hyperlinks>
    <hyperlink ref="F2" r:id="rId1" display="https://documents1.worldbank.org/curated/en/099062923235023642/pdf/P1750421bc28de0961aadc1edbd7b705ea8.pdf?_gl=1%2A1etop0y%2A_gcl_au%2AMTkyODg5Mzc3NC4xNzIyODM5NjMw&amp;" xr:uid="{851C36EE-5AF2-4E90-B692-C799F98160EB}"/>
    <hyperlink ref="F3" r:id="rId2" display="https://www.funcionpublica.gov.co/eva/gestornormativo/norma.php?i=75013" xr:uid="{ED86BCD2-F106-471F-9985-DA29AA92D88F}"/>
    <hyperlink ref="F4" r:id="rId3" display="http://caistab.ga/a-propos-de/" xr:uid="{29876896-6136-4F02-B72C-156D02F104F4}"/>
    <hyperlink ref="F5" r:id="rId4" display="https://web.archive.org/web/20160331213035/http:/en.ndf.ir/About-NDF/History" xr:uid="{E7089C82-F342-4866-9015-6A0101D142A1}"/>
    <hyperlink ref="F6" r:id="rId5" display="https://rmicfatf.com/file-repository/" xr:uid="{347E7786-90E7-465A-A8BC-887AE8E66109}"/>
    <hyperlink ref="F7" r:id="rId6" display="https://fsmcfatf.com/file-repository/" xr:uid="{2F9DE4EF-4832-472B-91B2-4D83CBA90A27}"/>
  </hyperlinks>
  <pageMargins left="0.7" right="0.7" top="0.75" bottom="0.75" header="0.3" footer="0.3"/>
</worksheet>
</file>

<file path=docMetadata/LabelInfo.xml><?xml version="1.0" encoding="utf-8"?>
<clbl:labelList xmlns:clbl="http://schemas.microsoft.com/office/2020/mipLabelMetadata">
  <clbl:label id="{6f509eeb-56d7-4078-8c25-542621925144}" enabled="1" method="Standard" siteId="{d1bf4087-52c2-42b9-913e-a262f9f8319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Read me</vt:lpstr>
      <vt:lpstr>Variables</vt:lpstr>
      <vt:lpstr>raw_data_national</vt:lpstr>
      <vt:lpstr>SWF_panel</vt:lpstr>
      <vt:lpstr>Exchange_rate</vt:lpstr>
      <vt:lpstr>Metadata</vt:lpstr>
      <vt:lpstr>casos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Alberto Undurraga</dc:creator>
  <cp:keywords/>
  <dc:description/>
  <cp:lastModifiedBy>Iris Ashimine</cp:lastModifiedBy>
  <cp:revision/>
  <dcterms:created xsi:type="dcterms:W3CDTF">2015-06-05T18:19:34Z</dcterms:created>
  <dcterms:modified xsi:type="dcterms:W3CDTF">2026-02-02T11:14:28Z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{6D3E8F95-B6E1-4D7B-BB22-48747AFBE7D4}</vt:lpwstr>
  </property>
</Properties>
</file>